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9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048cfb2a38b9d482</t>
        </is>
      </c>
      <c r="B67" s="2" t="inlineStr">
        <is>
          <t>2026-10-19 17:30</t>
        </is>
      </c>
      <c r="C67" s="3" t="inlineStr">
        <is>
          <t>Buscamos Asesores de Soporte Técnico // Teletrabajo</t>
        </is>
      </c>
      <c r="D67" s="3" t="inlineStr">
        <is>
          <t>emtelco</t>
        </is>
      </c>
      <c r="E67" s="4" t="n">
        <v>0.73</v>
      </c>
      <c r="F67" s="2" t="inlineStr">
        <is>
          <t>Remoto</t>
        </is>
      </c>
      <c r="G67" s="5">
        <f>HYPERLINK("https://co.computrabajo.com/ofertas-de-trabajo/oferta-de-trabajo-de-buscamos-asesores-de-soporte-tecnico-teletrabajo-bachilleres-con-experiencia-en-el-area-en-medellin-1B5720BBA7ED612461373E686DCF3405", "Ver Vacante")</f>
        <v/>
      </c>
      <c r="H67" s="6" t="inlineStr">
        <is>
          <t>$ 1.750.905,00 (Mensual)</t>
        </is>
      </c>
      <c r="I67" s="3" t="inlineStr">
        <is>
          <t>[Afinidad: 73/100 - Alta Afinidad]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4f7da6e4dec08863</t>
        </is>
      </c>
      <c r="B68" s="2" t="inlineStr">
        <is>
          <t>2026-10-20 15:43</t>
        </is>
      </c>
      <c r="C68" s="3" t="inlineStr">
        <is>
          <t>Buscamos Bachilleres con experiencia en Soporte Técnico // Teletrabajo</t>
        </is>
      </c>
      <c r="D68" s="3" t="inlineStr">
        <is>
          <t>emtelco</t>
        </is>
      </c>
      <c r="E68" s="4" t="n">
        <v>0.73</v>
      </c>
      <c r="F68" s="2" t="inlineStr">
        <is>
          <t>Remoto</t>
        </is>
      </c>
      <c r="G68" s="5">
        <f>HYPERLINK("https://co.computrabajo.com/ofertas-de-trabajo/oferta-de-trabajo-de-buscamos-bachilleres-con-experiencia-en-soporte-tecnico-teletrabajo-bachilleres-con-experiencia-en-el-area-en-medellin-1B5720BBA7ED612461373E686DCF3405", "Ver Vacante")</f>
        <v/>
      </c>
      <c r="H68" s="6" t="inlineStr">
        <is>
          <t>$ 1.750.905,00 (Mensual)</t>
        </is>
      </c>
      <c r="I68" s="3" t="inlineStr">
        <is>
          <t>[Afinidad: 73/100 - Alta Afinidad]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623999ab44df9605</t>
        </is>
      </c>
      <c r="B69" s="2" t="inlineStr">
        <is>
          <t>2026-10-22 15:57</t>
        </is>
      </c>
      <c r="C69" s="3" t="inlineStr">
        <is>
          <t>Agente de Service Desk Mesa de Ayuda – Soporte Técnico / Zona franca</t>
        </is>
      </c>
      <c r="D69" s="3" t="inlineStr">
        <is>
          <t>Redes Humanas</t>
        </is>
      </c>
      <c r="E69" s="4" t="n">
        <v>0.73</v>
      </c>
      <c r="F69" s="2" t="inlineStr">
        <is>
          <t>Remoto</t>
        </is>
      </c>
      <c r="G69" s="5">
        <f>HYPERLINK("https://co.computrabajo.com/ofertas-de-trabajo/oferta-de-trabajo-de-agente-de-service-desk-mesa-de-ayuda-soporte-tecnico-zona-franca-en-bogota-dc-2136808CA681AC2D61373E686DCF3405", "Ver Vacante")</f>
        <v/>
      </c>
      <c r="H69" s="6" t="inlineStr">
        <is>
          <t>$ 1.750.905,00 (Mensual)</t>
        </is>
      </c>
      <c r="I69" s="3" t="inlineStr">
        <is>
          <t>[Afinidad: 73/100 - Alta Afinidad]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2ad6be817d734484</t>
        </is>
      </c>
      <c r="B70" s="2" t="inlineStr">
        <is>
          <t>2026-10-22 15:57</t>
        </is>
      </c>
      <c r="C70" s="3" t="inlineStr">
        <is>
          <t>Auxiliar soporte tecnico - pasto</t>
        </is>
      </c>
      <c r="D70" s="3" t="inlineStr">
        <is>
          <t>ALFA TRADING S.A.S.</t>
        </is>
      </c>
      <c r="E70" s="4" t="n">
        <v>0.73</v>
      </c>
      <c r="F70" s="2" t="inlineStr">
        <is>
          <t>Remoto</t>
        </is>
      </c>
      <c r="G70" s="5">
        <f>HYPERLINK("https://www.elempleo.com/co/ofertas-trabajo/auxiliar-soporte-tecnico-pasto-1886783562", "Ver Vacante")</f>
        <v/>
      </c>
      <c r="H70" s="6" t="inlineStr"/>
      <c r="I70" s="3" t="inlineStr">
        <is>
          <t>[Afinidad: 73/100 - Alta Afinidad]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ae736277661dc78b</t>
        </is>
      </c>
      <c r="B71" s="2" t="inlineStr">
        <is>
          <t>2026-09-24 15:23</t>
        </is>
      </c>
      <c r="C71" s="3" t="inlineStr">
        <is>
          <t>Analista de redes cisco</t>
        </is>
      </c>
      <c r="D71" s="3" t="inlineStr">
        <is>
          <t>ATCG DE COLOMBIA S.A.S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HYPERLINK("https://www.elempleo.com/co/ofertas-trabajo/analista-de-redes-cisco-1886760389", "Ver Vacante")</f>
        <v/>
      </c>
      <c r="H71" s="6" t="inlineStr"/>
      <c r="I71" s="3" t="inlineStr">
        <is>
          <t>[Afinidad: 68/100 - Afinidad Moderada] Alta coincidencia técnica en Soporte Técnico de Sistemas, Hardware y Redes.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e29676fac3409ad6</t>
        </is>
      </c>
      <c r="B72" s="2" t="inlineStr">
        <is>
          <t>2026-09-24 15:23</t>
        </is>
      </c>
      <c r="C72" s="3" t="inlineStr">
        <is>
          <t>Analista de redes y telecomunicaciones - nivel 1</t>
        </is>
      </c>
      <c r="D72" s="3" t="inlineStr">
        <is>
          <t>MANPOWER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HYPERLINK("https://www.elempleo.com/co/ofertas-trabajo/analista-de-redes-y-telecomunicaciones-nivel-1-1886760565", "Ver Vacante")</f>
        <v/>
      </c>
      <c r="H72" s="6" t="inlineStr"/>
      <c r="I72" s="3" t="inlineStr">
        <is>
          <t>[Afinidad: 68/100 - Afinidad Moderada] Alta coincidencia técnica en Soporte Técnico de Sistemas, Hardware y Redes.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baf000f38713dc11</t>
        </is>
      </c>
      <c r="B73" s="2" t="inlineStr">
        <is>
          <t>2026-10-07 17:50</t>
        </is>
      </c>
      <c r="C73" s="3" t="inlineStr">
        <is>
          <t>Helpdesk / Analista soporte TI / trilingüe</t>
        </is>
      </c>
      <c r="D73" s="3" t="inlineStr">
        <is>
          <t>Confidential</t>
        </is>
      </c>
      <c r="E73" s="7" t="n">
        <v>0.66</v>
      </c>
      <c r="F73" s="2" t="inlineStr">
        <is>
          <t>Remoto</t>
        </is>
      </c>
      <c r="G73" s="5">
        <f>HYPERLINK("https://co.linkedin.com/jobs/view/helpdesk-analista-soporte-ti-triling%C3%BCe-ingles-portugu%C3%A9s-at-confidential-4469673592", "Ver Vacante")</f>
        <v/>
      </c>
      <c r="H73" s="6" t="inlineStr"/>
      <c r="I73" s="3" t="inlineStr">
        <is>
          <t>[Afinidad: 66/100 - Afinidad Moderada] Alta coincidencia técnica en Soporte Técnico de Sistemas, Hardware y Redes.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422a27df3967ecbb</t>
        </is>
      </c>
      <c r="B74" s="2" t="inlineStr">
        <is>
          <t>2026-10-14 15:52</t>
        </is>
      </c>
      <c r="C74" s="3" t="inlineStr">
        <is>
          <t>Técnico de sistemas y soporte ti</t>
        </is>
      </c>
      <c r="D74" s="3" t="inlineStr">
        <is>
          <t>AGENCIA DE EMPLEO CAFAM</t>
        </is>
      </c>
      <c r="E74" s="7" t="n">
        <v>0.66</v>
      </c>
      <c r="F74" s="2" t="inlineStr">
        <is>
          <t>Remoto</t>
        </is>
      </c>
      <c r="G74" s="5">
        <f>HYPERLINK("https://www.elempleo.com/co/ofertas-trabajo/tecnico-de-sistemas-y-soporte-ti-1886780022", "Ver Vacante")</f>
        <v/>
      </c>
      <c r="H74" s="6" t="inlineStr"/>
      <c r="I74" s="3" t="inlineStr">
        <is>
          <t>[Afinidad: 66/100 - Afinidad Moderada]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73882c81e04abc7e</t>
        </is>
      </c>
      <c r="B75" s="2" t="inlineStr">
        <is>
          <t>2026-10-05 19:45</t>
        </is>
      </c>
      <c r="C75" s="3" t="inlineStr">
        <is>
          <t>Soporte L1 Junior</t>
        </is>
      </c>
      <c r="D75" s="3" t="inlineStr">
        <is>
          <t>Hublance</t>
        </is>
      </c>
      <c r="E75" s="7" t="n">
        <v>0.6</v>
      </c>
      <c r="F75" s="2" t="inlineStr">
        <is>
          <t>Remoto</t>
        </is>
      </c>
      <c r="G75" s="5">
        <f>HYPERLINK("https://co.linkedin.com/jobs/view/soporte-l1-junior-at-hublance-4475841269", "Ver Vacante")</f>
        <v/>
      </c>
      <c r="H75" s="6" t="inlineStr"/>
      <c r="I75" s="3" t="inlineStr">
        <is>
          <t>[Afinidad: 60/100 -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8d7f304ffb8625b5</t>
        </is>
      </c>
      <c r="B76" s="2" t="inlineStr">
        <is>
          <t>2026-09-25 15:54</t>
        </is>
      </c>
      <c r="C76" s="3" t="inlineStr">
        <is>
          <t>Auxiliar de sistemas</t>
        </is>
      </c>
      <c r="D76" s="3" t="inlineStr">
        <is>
          <t>Confidencial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HYPERLINK("https://www.elempleo.com/co/ofertas-trabajo/auxiliar-de-sistemas-1886751888",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3b5b26f92a305c0c</t>
        </is>
      </c>
      <c r="B77" s="2" t="inlineStr">
        <is>
          <t>2026-09-25 15:54</t>
        </is>
      </c>
      <c r="C77" s="3" t="inlineStr">
        <is>
          <t>Auxiliar de sistemas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HYPERLINK("https://www.elempleo.com/co/ofertas-trabajo/auxiliar-de-sistemas-1886749497",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e760bcd88d90fbbe</t>
        </is>
      </c>
      <c r="B78" s="2" t="inlineStr">
        <is>
          <t>2026-09-25 15:54</t>
        </is>
      </c>
      <c r="C78" s="3" t="inlineStr">
        <is>
          <t>Agente de mesa de ayuda</t>
        </is>
      </c>
      <c r="D78" s="3" t="inlineStr">
        <is>
          <t>SELCOMP INGENIERÍA SAS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HYPERLINK("https://www.elempleo.com/co/ofertas-trabajo/agente-de-mesa-de-ayuda-1886758623",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86dcab5c5d802693</t>
        </is>
      </c>
      <c r="B79" s="2" t="inlineStr">
        <is>
          <t>2026-09-25 15:54</t>
        </is>
      </c>
      <c r="C79" s="3" t="inlineStr">
        <is>
          <t>Analista mesa de ayuda para tunja</t>
        </is>
      </c>
      <c r="D79" s="3" t="inlineStr">
        <is>
          <t>Gestión de Seguridad Electrónica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HYPERLINK("https://www.elempleo.com/co/ofertas-trabajo/analista-mesa-de-ayuda-para-tunja-1886766955",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55fdaa0983ef9124</t>
        </is>
      </c>
      <c r="B80" s="2" t="inlineStr">
        <is>
          <t>2026-09-25 15:54</t>
        </is>
      </c>
      <c r="C80" s="3" t="inlineStr">
        <is>
          <t>Lider técnico con itil practice manager</t>
        </is>
      </c>
      <c r="D80" s="3" t="inlineStr">
        <is>
          <t>Sinergy &amp; Lowells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HYPERLINK("https://www.elempleo.com/co/ofertas-trabajo/lider-tecnico-con-itil-practice-manager-1886753953",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a1ca7bc58cd48fad</t>
        </is>
      </c>
      <c r="B81" s="2" t="inlineStr">
        <is>
          <t>2026-09-25 15:54</t>
        </is>
      </c>
      <c r="C81" s="3" t="inlineStr">
        <is>
          <t>Tecnico de mesa de ayuda/mujeres contratacion inmediata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HYPERLINK("https://www.elempleo.com/co/ofertas-trabajo/tecnico-de-mesa-de-ayuda-mujeres-contratacion-inmediata-1886770931",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e28aba5df8a2d3ae</t>
        </is>
      </c>
      <c r="B82" s="2" t="inlineStr">
        <is>
          <t>2026-09-25 15:54</t>
        </is>
      </c>
      <c r="C82" s="3" t="inlineStr">
        <is>
          <t>Tecnico de mesa de ayuda/mujeres contratacion inmediata</t>
        </is>
      </c>
      <c r="D82" s="3" t="inlineStr">
        <is>
          <t>Confidencial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HYPERLINK("https://www.elempleo.com/co/ofertas-trabajo/tecnico-de-mesa-de-ayuda-mujeres-contratacion-inmediata-1886769701",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9326784c1a2726fb</t>
        </is>
      </c>
      <c r="B83" s="2" t="inlineStr">
        <is>
          <t>2026-09-25 15:54</t>
        </is>
      </c>
      <c r="C83" s="3" t="inlineStr">
        <is>
          <t>Técnico de soporte y mesa de ayuda / medellín</t>
        </is>
      </c>
      <c r="D83" s="3" t="inlineStr">
        <is>
          <t>Colsof S.A.S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HYPERLINK("https://www.elempleo.com/co/ofertas-trabajo/tecnico-de-soporte-y-mesa-de-ayuda-medellin-1886738118",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b67dc9a9be4a1a6f</t>
        </is>
      </c>
      <c r="B84" s="2" t="inlineStr">
        <is>
          <t>2026-09-25 15:54</t>
        </is>
      </c>
      <c r="C84" s="3" t="inlineStr">
        <is>
          <t>Service desk agent</t>
        </is>
      </c>
      <c r="D84" s="3" t="inlineStr">
        <is>
          <t>Confidencial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HYPERLINK("https://www.elempleo.com/co/ofertas-trabajo/service-desk-agent-soporte-tecnico-nivel-1-1886755112", "Ver Vacante")</f>
        <v/>
      </c>
      <c r="H84" s="6" t="inlineStr"/>
      <c r="I84" s="3" t="inlineStr">
        <is>
          <t>[Afinidad: 58/100 - Afinidad Moderada] Alta coincidencia técnica en Soporte Técnico de Sistemas, Hardware y Redes.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9c65f710f43158b7</t>
        </is>
      </c>
      <c r="B85" s="2" t="inlineStr">
        <is>
          <t>2026-09-25 15:54</t>
        </is>
      </c>
      <c r="C85" s="3" t="inlineStr">
        <is>
          <t>Tecnico de instalaciones cableado de redes - licencia conte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HYPERLINK("https://www.elempleo.com/co/ofertas-trabajo/tecnico-de-instalaciones-cableado-de-redes-licencia-conte-1886749397",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a95003a0b1fc3d77</t>
        </is>
      </c>
      <c r="B86" s="2" t="inlineStr">
        <is>
          <t>2026-09-27 15:41</t>
        </is>
      </c>
      <c r="C86" s="3" t="inlineStr">
        <is>
          <t>Técnico Soporte Nivel 1 Con ITIL</t>
        </is>
      </c>
      <c r="D86" s="3" t="inlineStr">
        <is>
          <t>Importante empresa del sector de tecnología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HYPERLINK("https://co.computrabajo.com/ofertas-de-trabajo/oferta-de-trabajo-de-tecnico-soporte-nivel-1-con-itil-en-bogota-dc-59E13FA64EF5843C61373E686DCF3405", "Ver Vacante")</f>
        <v/>
      </c>
      <c r="H86" s="6" t="inlineStr">
        <is>
          <t>$ 1.750.905,00 (Mensual)</t>
        </is>
      </c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96391fd564d83616</t>
        </is>
      </c>
      <c r="B87" s="2" t="inlineStr">
        <is>
          <t>2026-09-27 15:41</t>
        </is>
      </c>
      <c r="C87" s="3" t="inlineStr">
        <is>
          <t>Tecnico de soporte IT con Moto</t>
        </is>
      </c>
      <c r="D87" s="3" t="inlineStr">
        <is>
          <t>Los Hornitos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HYPERLINK("https://co.computrabajo.com/ofertas-de-trabajo/oferta-de-trabajo-de-tecnico-de-soporte-it-con-moto-empresa-de-alimentos-en-bogota-dc-599938D46A6F4A8F61373E686DCF3405", "Ver Vacante")</f>
        <v/>
      </c>
      <c r="H87" s="6" t="inlineStr">
        <is>
          <t>$ 2.125.947,00 (Mensual)</t>
        </is>
      </c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b4f0b8c16fe5543e</t>
        </is>
      </c>
      <c r="B88" s="2" t="inlineStr">
        <is>
          <t>2026-09-27 15:41</t>
        </is>
      </c>
      <c r="C88" s="3" t="inlineStr">
        <is>
          <t>Auxiliar de Sistemas</t>
        </is>
      </c>
      <c r="D88" s="3" t="inlineStr">
        <is>
          <t>ELIS COLOMBIA SAS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HYPERLINK("https://co.computrabajo.com/ofertas-de-trabajo/oferta-de-trabajo-de-auxiliar-de-sistemas-en-bogota-dc-48C2A0A3B050945661373E686DCF3405", "Ver Vacante")</f>
        <v/>
      </c>
      <c r="H88" s="6" t="inlineStr">
        <is>
          <t>$ 2.000.000,00 (Mensual)</t>
        </is>
      </c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7e4b4e4f136a5e31</t>
        </is>
      </c>
      <c r="B89" s="2" t="inlineStr">
        <is>
          <t>2026-09-27 15:41</t>
        </is>
      </c>
      <c r="C89" s="3" t="inlineStr">
        <is>
          <t>Agente Mesa de Ayuda</t>
        </is>
      </c>
      <c r="D89" s="3" t="inlineStr">
        <is>
          <t>Importante empresa del sector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HYPERLINK("https://co.computrabajo.com/ofertas-de-trabajo/oferta-de-trabajo-de-agente-mesa-de-ayuda-en-bogota-dc-E39FE355E02E578761373E686DCF3405", "Ver Vacante")</f>
        <v/>
      </c>
      <c r="H89" s="6" t="inlineStr">
        <is>
          <t>$ 2.000.000,00 (Mensual)</t>
        </is>
      </c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0ef2cd7667600919</t>
        </is>
      </c>
      <c r="B90" s="2" t="inlineStr">
        <is>
          <t>2026-09-27 15:41</t>
        </is>
      </c>
      <c r="C90" s="3" t="inlineStr">
        <is>
          <t>Técnico de Soporte TI Regional</t>
        </is>
      </c>
      <c r="D90" s="3" t="inlineStr">
        <is>
          <t>POLICOMP COLOMBIA SAS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HYPERLINK("https://co.computrabajo.com/ofertas-de-trabajo/oferta-de-trabajo-de-tecnico-de-soporte-ti-regional-en-bogota-dc-ACF045C94E41CCDE61373E686DCF3405",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7784997bda962255</t>
        </is>
      </c>
      <c r="B91" s="2" t="inlineStr">
        <is>
          <t>2026-09-27 15:41</t>
        </is>
      </c>
      <c r="C91" s="3" t="inlineStr">
        <is>
          <t>Técnico de Soporte TI On Demand/ por horas</t>
        </is>
      </c>
      <c r="D91" s="3" t="inlineStr">
        <is>
          <t>POLICOMP COLOMBIA SAS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HYPERLINK("https://co.computrabajo.com/ofertas-de-trabajo/oferta-de-trabajo-de-tecnico-de-soporte-ti-on-demand-por-horas-en-bogota-dc-C2338FA0172D59A561373E686DCF3405",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29d0fe2e42e678f7</t>
        </is>
      </c>
      <c r="B92" s="2" t="inlineStr">
        <is>
          <t>2026-09-27 15:41</t>
        </is>
      </c>
      <c r="C92" s="3" t="inlineStr">
        <is>
          <t>Técnico mantenimiento correctivo impresoras</t>
        </is>
      </c>
      <c r="D92" s="3" t="inlineStr">
        <is>
          <t>Multinacional de Impresión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HYPERLINK("https://co.computrabajo.com/ofertas-de-trabajo/oferta-de-trabajo-de-tecnico-mantenimiento-correctivo-impresoras-en-guarne-BC0E775C0F25B27D61373E686DCF3405", "Ver Vacante")</f>
        <v/>
      </c>
      <c r="H92" s="6" t="inlineStr">
        <is>
          <t>$ 1.800.000,00 (Mensual)</t>
        </is>
      </c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98c9ab11f5b1eace</t>
        </is>
      </c>
      <c r="B93" s="2" t="inlineStr">
        <is>
          <t>2026-09-28 18:36</t>
        </is>
      </c>
      <c r="C93" s="3" t="inlineStr">
        <is>
          <t>Auxiliar de sistemas</t>
        </is>
      </c>
      <c r="D93" s="3" t="inlineStr">
        <is>
          <t>Importante empresa del sector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HYPERLINK("https://co.computrabajo.com/ofertas-de-trabajo/oferta-de-trabajo-de-auxiliar-de-sistemas-persona-con-discapacidad-remota-en-bogota-dc-5F2A812D014E159B61373E686DCF3405", "Ver Vacante")</f>
        <v/>
      </c>
      <c r="H93" s="6" t="inlineStr">
        <is>
          <t>$ 1.750.905,00 (Mensual)</t>
        </is>
      </c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58133ddc4da9c68e</t>
        </is>
      </c>
      <c r="B94" s="2" t="inlineStr">
        <is>
          <t>2026-09-28 18:36</t>
        </is>
      </c>
      <c r="C94" s="3" t="inlineStr">
        <is>
          <t>Auxiliar de sistemas</t>
        </is>
      </c>
      <c r="D94" s="3" t="inlineStr">
        <is>
          <t>Importante empresa del sector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HYPERLINK("https://co.computrabajo.com/ofertas-de-trabajo/oferta-de-trabajo-de-auxiliar-de-sistemas-persona-con-discapacidad-remota-en-bogota-dc-A00C07C9CC9A494B61373E686DCF3405", "Ver Vacante")</f>
        <v/>
      </c>
      <c r="H94" s="6" t="inlineStr">
        <is>
          <t>$ 1.750.905,00 (Mensual)</t>
        </is>
      </c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aed3420a4cfdc248</t>
        </is>
      </c>
      <c r="B95" s="2" t="inlineStr">
        <is>
          <t>2026-09-28 18:36</t>
        </is>
      </c>
      <c r="C95" s="3" t="inlineStr">
        <is>
          <t>Consultor de servicios/ mesa de ayuda nómina y erp software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HYPERLINK("https://www.elempleo.com/co/ofertas-trabajo/consultor-de-servicios-mesa-de-ayuda-nomina-y-erp-software-inclusivo-1886716126",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2b8357189ff315da</t>
        </is>
      </c>
      <c r="B96" s="2" t="inlineStr">
        <is>
          <t>2026-09-29 17:00</t>
        </is>
      </c>
      <c r="C96" s="3" t="inlineStr">
        <is>
          <t>Auxiliar de sistemas</t>
        </is>
      </c>
      <c r="D96" s="3" t="inlineStr">
        <is>
          <t>DAVITA SAS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HYPERLINK("https://www.elempleo.com/co/ofertas-trabajo/auxiliar-de-sistemas-1886758163",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a87934e7643b2c1c</t>
        </is>
      </c>
      <c r="B97" s="2" t="inlineStr">
        <is>
          <t>2026-09-29 17:00</t>
        </is>
      </c>
      <c r="C97" s="3" t="inlineStr">
        <is>
          <t>Tecnico de instalaciones cableado de redes - licencia conte cali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HYPERLINK("https://www.elempleo.com/co/ofertas-trabajo/tecnico-de-instalaciones-cableado-de-redes-licencia-conte-cali-1886759847",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10b4265e3ad11d81</t>
        </is>
      </c>
      <c r="B98" s="2" t="inlineStr">
        <is>
          <t>2026-09-29 17:00</t>
        </is>
      </c>
      <c r="C98" s="3" t="inlineStr">
        <is>
          <t>Information Technology Help Desk Support</t>
        </is>
      </c>
      <c r="D98" s="3" t="inlineStr">
        <is>
          <t>Booth</t>
        </is>
      </c>
      <c r="E98" s="7" t="n">
        <v>0.58</v>
      </c>
      <c r="F98" s="2" t="inlineStr">
        <is>
          <t>Remoto</t>
        </is>
      </c>
      <c r="G98" s="5">
        <f>HYPERLINK("https://co.linkedin.com/jobs/view/information-technology-help-desk-support-at-booth-4471203962",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ff69ae85c8697a37</t>
        </is>
      </c>
      <c r="B99" s="2" t="inlineStr">
        <is>
          <t>2026-09-30 16:49</t>
        </is>
      </c>
      <c r="C99" s="3" t="inlineStr">
        <is>
          <t>Técnico de soporte ti - bogota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HYPERLINK("https://www.elempleo.com/co/ofertas-trabajo/tecnico-de-soporte-ti-bogota-1886774059",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bbacf7d69ab9084e</t>
        </is>
      </c>
      <c r="B100" s="2" t="inlineStr">
        <is>
          <t>2026-09-30 16:49</t>
        </is>
      </c>
      <c r="C100" s="3" t="inlineStr">
        <is>
          <t>IT Helpdesk Analyst</t>
        </is>
      </c>
      <c r="D100" s="3" t="inlineStr">
        <is>
          <t>Power Digital Marketing</t>
        </is>
      </c>
      <c r="E100" s="7" t="n">
        <v>0.58</v>
      </c>
      <c r="F100" s="2" t="inlineStr">
        <is>
          <t>Remoto</t>
        </is>
      </c>
      <c r="G100" s="5">
        <f>HYPERLINK("https://co.linkedin.com/jobs/view/it-helpdesk-analyst-at-power-digital-marketing-4472601999",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bb848f474ff4b611</t>
        </is>
      </c>
      <c r="B101" s="2" t="inlineStr">
        <is>
          <t>2026-10-01 17:26</t>
        </is>
      </c>
      <c r="C101" s="3" t="inlineStr">
        <is>
          <t>Técnico de soporte ti - bogota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HYPERLINK("https://www.elempleo.com/co/ofertas-trabajo/tecnico-de-soporte-ti-bogota-1886772292",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b44a1c6cfb004ca8</t>
        </is>
      </c>
      <c r="B102" s="2" t="inlineStr">
        <is>
          <t>2026-10-01 17:26</t>
        </is>
      </c>
      <c r="C102" s="3" t="inlineStr">
        <is>
          <t>Soporte ti nivel 2 - bogotá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HYPERLINK("https://www.elempleo.com/co/ofertas-trabajo/soporte-ti-nivel-2-bogota-1886774821",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fb0ad2b513afb97c</t>
        </is>
      </c>
      <c r="B103" s="2" t="inlineStr">
        <is>
          <t>2026-10-01 17:26</t>
        </is>
      </c>
      <c r="C103" s="3" t="inlineStr">
        <is>
          <t>IT Help Desk Support Specialist</t>
        </is>
      </c>
      <c r="D103" s="3" t="inlineStr">
        <is>
          <t>Talento</t>
        </is>
      </c>
      <c r="E103" s="7" t="n">
        <v>0.58</v>
      </c>
      <c r="F103" s="2" t="inlineStr">
        <is>
          <t>Remoto</t>
        </is>
      </c>
      <c r="G103" s="5">
        <f>HYPERLINK("https://co.linkedin.com/jobs/view/it-help-desk-support-specialist-tier-1-at-talento-4473960480",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0b2067d6ae488f4c</t>
        </is>
      </c>
      <c r="B104" s="2" t="inlineStr">
        <is>
          <t>2026-10-02 16:39</t>
        </is>
      </c>
      <c r="C104" s="3" t="inlineStr">
        <is>
          <t>Help Desk Technician level 1</t>
        </is>
      </c>
      <c r="D104" s="3" t="inlineStr">
        <is>
          <t>Solvo Global</t>
        </is>
      </c>
      <c r="E104" s="7" t="n">
        <v>0.58</v>
      </c>
      <c r="F104" s="2" t="inlineStr">
        <is>
          <t>Remoto</t>
        </is>
      </c>
      <c r="G104" s="5">
        <f>HYPERLINK("https://co.linkedin.com/jobs/view/help-desk-technician-level-1-at-solvo-global-4472590892",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07acc222a3ca2ef1</t>
        </is>
      </c>
      <c r="B105" s="2" t="inlineStr">
        <is>
          <t>2026-10-03 15:12</t>
        </is>
      </c>
      <c r="C105" s="3" t="inlineStr">
        <is>
          <t>Analista mesa de ayuda funza temporal 6 meses</t>
        </is>
      </c>
      <c r="D105" s="3" t="inlineStr">
        <is>
          <t>Axity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HYPERLINK("https://www.elempleo.com/co/ofertas-trabajo/analista-mesa-de-ayuda-funza-temporal-6-meses-1886774524",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5ec0ea33876ba2b5</t>
        </is>
      </c>
      <c r="B106" s="2" t="inlineStr">
        <is>
          <t>2026-10-05 19:45</t>
        </is>
      </c>
      <c r="C106" s="3" t="inlineStr">
        <is>
          <t>Help desk analyst l1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HYPERLINK("https://www.elempleo.com/co/ofertas-trabajo/help-desk-analyst-l1-medellin-1886776156",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e8bdf2094d1c9817</t>
        </is>
      </c>
      <c r="B107" s="2" t="inlineStr">
        <is>
          <t>2026-10-05 19:45</t>
        </is>
      </c>
      <c r="C107" s="3" t="inlineStr">
        <is>
          <t>Administrador de herramienta de gestión de mesa de ayuda-</t>
        </is>
      </c>
      <c r="D107" s="3" t="inlineStr">
        <is>
          <t>SELCOMP INGENIERÍA SAS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HYPERLINK("https://www.elempleo.com/co/ofertas-trabajo/administrador-de-herramienta-de-gestion-de-mesa-de-ayuda-1886776286",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6e9a077b42879470</t>
        </is>
      </c>
      <c r="B108" s="2" t="inlineStr">
        <is>
          <t>2026-10-05 19:45</t>
        </is>
      </c>
      <c r="C108" s="3" t="inlineStr">
        <is>
          <t>Analista de soporte de aplicaciones nivel 3</t>
        </is>
      </c>
      <c r="D108" s="3" t="inlineStr">
        <is>
          <t>TALYCAP GLOBAL SAS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HYPERLINK("https://www.elempleo.com/co/ofertas-trabajo/analista-de-soporte-de-aplicaciones-nivel-3-1886776104",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447afec244b20f9b</t>
        </is>
      </c>
      <c r="B109" s="2" t="inlineStr">
        <is>
          <t>2026-10-06 17:12</t>
        </is>
      </c>
      <c r="C109" s="3" t="inlineStr">
        <is>
          <t>Técnico de soporte ti - bogota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HYPERLINK("https://www.elempleo.com/co/ofertas-trabajo/tecnico-de-soporte-ti-bogota-1886775990",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8f14c41f3b443ac0</t>
        </is>
      </c>
      <c r="B110" s="2" t="inlineStr">
        <is>
          <t>2026-10-07 17:50</t>
        </is>
      </c>
      <c r="C110" s="3" t="inlineStr">
        <is>
          <t>Soporte mesa de ayuda</t>
        </is>
      </c>
      <c r="D110" s="3" t="inlineStr">
        <is>
          <t>MANPOWER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HYPERLINK("https://www.elempleo.com/co/ofertas-trabajo/soporte-mesa-de-ayuda-vacaciones-1886776917",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b1a9e03967fff91e</t>
        </is>
      </c>
      <c r="B111" s="2" t="inlineStr">
        <is>
          <t>2026-10-07 17:50</t>
        </is>
      </c>
      <c r="C111" s="3" t="inlineStr">
        <is>
          <t>Tecnólogo de soporte pl - mesa de ayuda</t>
        </is>
      </c>
      <c r="D111" s="3" t="inlineStr">
        <is>
          <t>Positivo S+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HYPERLINK("https://www.elempleo.com/co/ofertas-trabajo/tecnologo-de-soporte-pl-mesa-de-ayuda-1886775546",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eb49981c97933d93</t>
        </is>
      </c>
      <c r="B112" s="2" t="inlineStr">
        <is>
          <t>2026-10-07 17:50</t>
        </is>
      </c>
      <c r="C112" s="3" t="inlineStr">
        <is>
          <t>Tecnico de instalaciones cableado de redes - licencia conte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HYPERLINK("https://www.elempleo.com/co/ofertas-trabajo/tecnico-de-instalaciones-cableado-de-redes-licencia-conte-1886777333",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d39af22b6e937d28</t>
        </is>
      </c>
      <c r="B113" s="2" t="inlineStr">
        <is>
          <t>2026-10-07 17:50</t>
        </is>
      </c>
      <c r="C113" s="3" t="inlineStr">
        <is>
          <t>Analista Mesa de Ayuda Funza</t>
        </is>
      </c>
      <c r="D113" s="3" t="inlineStr">
        <is>
          <t>axity</t>
        </is>
      </c>
      <c r="E113" s="7" t="n">
        <v>0.58</v>
      </c>
      <c r="F113" s="2" t="inlineStr">
        <is>
          <t>Remoto</t>
        </is>
      </c>
      <c r="G113" s="5">
        <f>HYPERLINK("https://co.linkedin.com/jobs/view/analista-mesa-de-ayuda-funza-at-axity-4471985006",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0904912d51c5cd61</t>
        </is>
      </c>
      <c r="B114" s="2" t="inlineStr">
        <is>
          <t>2026-10-08 17:52</t>
        </is>
      </c>
      <c r="C114" s="3" t="inlineStr">
        <is>
          <t>Analista mesa de ayuda</t>
        </is>
      </c>
      <c r="D114" s="3" t="inlineStr">
        <is>
          <t>Desarrollo de Sistemas y Servicios SAS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HYPERLINK("https://www.elempleo.com/co/ofertas-trabajo/analista-mesa-de-ayuda-1886778032",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c665ada630270dce</t>
        </is>
      </c>
      <c r="B115" s="2" t="inlineStr">
        <is>
          <t>2026-10-09 17:28</t>
        </is>
      </c>
      <c r="C115" s="3" t="inlineStr">
        <is>
          <t>Técnico(a) / tecnólogo(a) / profesional de telecomunicaciones - redes de fibra óptica</t>
        </is>
      </c>
      <c r="D115" s="3" t="inlineStr">
        <is>
          <t>JAHV MC GREGOR S.A.S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HYPERLINK("https://www.elempleo.com/co/ofertas-trabajo/tecnicoa-tecnologoa-profesional-de-telecomunicaciones-redes-de-fibra-optica-1886768691",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4e5b3128aa7f8f9b</t>
        </is>
      </c>
      <c r="B116" s="2" t="inlineStr">
        <is>
          <t>2026-10-09 17:28</t>
        </is>
      </c>
      <c r="C116" s="3" t="inlineStr">
        <is>
          <t>Gestor de servicios mesa de ayuda sap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HYPERLINK("https://www.elempleo.com/co/ofertas-trabajo/gestor-de-servicios-mesa-de-ayuda-sap-1886775732",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1c92f7ef9b7af696</t>
        </is>
      </c>
      <c r="B117" s="2" t="inlineStr">
        <is>
          <t>2026-10-09 17:28</t>
        </is>
      </c>
      <c r="C117" s="3" t="inlineStr">
        <is>
          <t>Agente de mesa de ayuda nivel 1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HYPERLINK("https://www.elempleo.com/co/ofertas-trabajo/agente-de-mesa-de-ayuda-nivel-1-1886778506",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718ceee355d457ea</t>
        </is>
      </c>
      <c r="B118" s="2" t="inlineStr">
        <is>
          <t>2026-10-10 16:16</t>
        </is>
      </c>
      <c r="C118" s="3" t="inlineStr">
        <is>
          <t>IT Help Desk Support</t>
        </is>
      </c>
      <c r="D118" s="3" t="inlineStr">
        <is>
          <t>Booth</t>
        </is>
      </c>
      <c r="E118" s="7" t="n">
        <v>0.58</v>
      </c>
      <c r="F118" s="2" t="inlineStr">
        <is>
          <t>Remoto</t>
        </is>
      </c>
      <c r="G118" s="5">
        <f>HYPERLINK("https://co.linkedin.com/jobs/view/it-help-desk-support-at-booth-4471203962",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925f43273b78f188</t>
        </is>
      </c>
      <c r="B119" s="2" t="inlineStr">
        <is>
          <t>2026-10-12 20:17</t>
        </is>
      </c>
      <c r="C119" s="3" t="inlineStr">
        <is>
          <t>Mesa de ayuda ti - girón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HYPERLINK("https://www.elempleo.com/co/ofertas-trabajo/mesa-de-ayuda-ti-giron-1886745168", "Ver Vacante")</f>
        <v/>
      </c>
      <c r="H119" s="6" t="inlineStr"/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ec0c8875e04f4933</t>
        </is>
      </c>
      <c r="B120" s="2" t="inlineStr">
        <is>
          <t>2026-10-13 18:08</t>
        </is>
      </c>
      <c r="C120" s="3" t="inlineStr">
        <is>
          <t>Analista de mesa de ayuda.</t>
        </is>
      </c>
      <c r="D120" s="3" t="inlineStr">
        <is>
          <t>Softtek Colombia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HYPERLINK("https://www.elempleo.com/co/ofertas-trabajo/analista-de-mesa-de-ayuda-1886754207", "Ver Vacante")</f>
        <v/>
      </c>
      <c r="H120" s="6" t="inlineStr"/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87fac63aa714f401</t>
        </is>
      </c>
      <c r="B121" s="2" t="inlineStr">
        <is>
          <t>2026-10-13 18:08</t>
        </is>
      </c>
      <c r="C121" s="3" t="inlineStr">
        <is>
          <t>Agente mesa de ayuda.</t>
        </is>
      </c>
      <c r="D121" s="3" t="inlineStr">
        <is>
          <t>Softtek Colombia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HYPERLINK("https://www.elempleo.com/co/ofertas-trabajo/agente-mesa-de-ayuda-1886753535", "Ver Vacante")</f>
        <v/>
      </c>
      <c r="H121" s="6" t="inlineStr"/>
      <c r="I121" s="3" t="inlineStr">
        <is>
          <t>[Afinidad: 58/100 -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dfa7dd88fd24afb4</t>
        </is>
      </c>
      <c r="B122" s="2" t="inlineStr">
        <is>
          <t>2026-10-15 15:40</t>
        </is>
      </c>
      <c r="C122" s="3" t="inlineStr">
        <is>
          <t>Agente mesa de ayuda nivel 1 ingles avanzado</t>
        </is>
      </c>
      <c r="D122" s="3" t="inlineStr">
        <is>
          <t>SUSTS Colombia Ltda.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HYPERLINK("https://www.elempleo.com/co/ofertas-trabajo/agente-mesa-de-ayuda-nivel-1-ingles-avanzado-1886780371", "Ver Vacante")</f>
        <v/>
      </c>
      <c r="H122" s="6" t="inlineStr"/>
      <c r="I122" s="3" t="inlineStr">
        <is>
          <t>[Afinidad: 58/100 - Afinidad Moderada] Afinidad moderada en áreas técnicas del cargo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6ec1aeac55104810</t>
        </is>
      </c>
      <c r="B123" s="2" t="inlineStr">
        <is>
          <t>2026-10-16 15:22</t>
        </is>
      </c>
      <c r="C123" s="3" t="inlineStr">
        <is>
          <t>Analista de Mesa de Ayuda</t>
        </is>
      </c>
      <c r="D123" s="3" t="inlineStr">
        <is>
          <t>INSEPET S.A.S</t>
        </is>
      </c>
      <c r="E123" s="7" t="n">
        <v>0.58</v>
      </c>
      <c r="F123" s="2" t="inlineStr">
        <is>
          <t>Remoto</t>
        </is>
      </c>
      <c r="G123" s="5">
        <f>HYPERLINK("https://co.computrabajo.com/ofertas-de-trabajo/oferta-de-trabajo-de-analista-de-mesa-de-ayuda-en-bogota-dc-731E37A9EEFEA71561373E686DCF3405", "Ver Vacante")</f>
        <v/>
      </c>
      <c r="H123" s="6" t="inlineStr">
        <is>
          <t>$ 1.800.000,00 (Mensual)</t>
        </is>
      </c>
      <c r="I123" s="3" t="inlineStr">
        <is>
          <t>[Afinidad: 58/100 - Afinidad Moderada] Afinidad moderada en áreas técnicas del cargo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c03a3cc06e28c7bb</t>
        </is>
      </c>
      <c r="B124" s="2" t="inlineStr">
        <is>
          <t>2026-10-16 15:22</t>
        </is>
      </c>
      <c r="C124" s="3" t="inlineStr">
        <is>
          <t>Agente de mesa de ayuda portugues</t>
        </is>
      </c>
      <c r="D124" s="3" t="inlineStr">
        <is>
          <t>COMWARE S.A.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HYPERLINK("https://www.elempleo.com/co/ofertas-trabajo/agente-de-mesa-de-ayuda-portugues-1886781202", "Ver Vacante")</f>
        <v/>
      </c>
      <c r="H124" s="6" t="inlineStr"/>
      <c r="I124" s="3" t="inlineStr">
        <is>
          <t>[Afinidad: 58/100 - Afinidad Moderada] Afinidad moderada en áreas técnicas del cargo (Técnico en Sistemas / Auxiliar de Soporte TI).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2ecdc22edf2ff172</t>
        </is>
      </c>
      <c r="B125" s="2" t="inlineStr">
        <is>
          <t>2026-10-17 14:15</t>
        </is>
      </c>
      <c r="C125" s="3" t="inlineStr">
        <is>
          <t>Agente Mesa de ayuda Portugués</t>
        </is>
      </c>
      <c r="D125" s="3" t="inlineStr">
        <is>
          <t>COMWARE S.A</t>
        </is>
      </c>
      <c r="E125" s="7" t="n">
        <v>0.58</v>
      </c>
      <c r="F125" s="2" t="inlineStr">
        <is>
          <t>Remoto</t>
        </is>
      </c>
      <c r="G125" s="5">
        <f>HYPERLINK("https://co.computrabajo.com/ofertas-de-trabajo/oferta-de-trabajo-de-agente-mesa-de-ayuda-portugues-en-bogota-dc-D31C231B9F8EFFCA61373E686DCF3405", "Ver Vacante")</f>
        <v/>
      </c>
      <c r="H125" s="6" t="inlineStr">
        <is>
          <t>Remoto</t>
        </is>
      </c>
      <c r="I125" s="3" t="inlineStr">
        <is>
          <t>[Afinidad: 58/100 - Afinidad Moderada] Afinidad moderada en áreas técnicas del cargo (Técnico en Sistemas / Auxiliar de Soporte TI).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3807f82cb9f9ccdb</t>
        </is>
      </c>
      <c r="B126" s="2" t="inlineStr">
        <is>
          <t>2026-10-21 15:59</t>
        </is>
      </c>
      <c r="C126" s="3" t="inlineStr">
        <is>
          <t>Analista de Soporte TI Nivel I y II</t>
        </is>
      </c>
      <c r="D126" s="3" t="inlineStr">
        <is>
          <t>Autonomic SAS</t>
        </is>
      </c>
      <c r="E126" s="7" t="n">
        <v>0.58</v>
      </c>
      <c r="F126" s="2" t="inlineStr">
        <is>
          <t>Remoto</t>
        </is>
      </c>
      <c r="G126" s="5">
        <f>HYPERLINK("https://co.computrabajo.com/ofertas-de-trabajo/oferta-de-trabajo-de-analista-de-soporte-ti-nivel-i-y-ii-en-medellin-452D284A14726B6861373E686DCF3405", "Ver Vacante")</f>
        <v/>
      </c>
      <c r="H126" s="6" t="inlineStr">
        <is>
          <t>$ 2.000.000,00 (Mensual)</t>
        </is>
      </c>
      <c r="I126" s="3" t="inlineStr">
        <is>
          <t>[Afinidad: 58/100 - Afinidad Moderada] Afinidad moderada en áreas técnicas del cargo (Técnico en Sistemas / Auxiliar de Soporte TI).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a716d4100a0f8155</t>
        </is>
      </c>
      <c r="B127" s="2" t="inlineStr">
        <is>
          <t>2026-10-21 15:59</t>
        </is>
      </c>
      <c r="C127" s="3" t="inlineStr">
        <is>
          <t>Técnico de infraestructura y redes de telecomunicaciones - casanare</t>
        </is>
      </c>
      <c r="D127" s="3" t="inlineStr">
        <is>
          <t>SDT INGENIERIA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HYPERLINK("https://www.elempleo.com/co/ofertas-trabajo/tecnico-de-infraestructura-y-redes-de-telecomunicaciones-casanare-1886779754", "Ver Vacante")</f>
        <v/>
      </c>
      <c r="H127" s="6" t="inlineStr"/>
      <c r="I127" s="3" t="inlineStr">
        <is>
          <t>[Afinidad: 58/100 - Afinidad Moderada] Afinidad moderada en áreas técnicas del cargo (Técnico en Sistemas / Auxiliar de Soporte TI).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3802f406ec698d83</t>
        </is>
      </c>
      <c r="B128" s="2" t="inlineStr">
        <is>
          <t>2026-10-21 15:59</t>
        </is>
      </c>
      <c r="C128" s="3" t="inlineStr">
        <is>
          <t>Técnico de telecomunicaciones e instalación de redes - bogotá | experiencia en obra civil</t>
        </is>
      </c>
      <c r="D128" s="3" t="inlineStr">
        <is>
          <t>ATIEMPO S.A.S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HYPERLINK("https://www.elempleo.com/co/ofertas-trabajo/tecnico-de-telecomunicaciones-e-instalacion-de-redes-bogota-experiencia-en-obra-civil-1886760957", "Ver Vacante")</f>
        <v/>
      </c>
      <c r="H128" s="6" t="inlineStr"/>
      <c r="I128" s="3" t="inlineStr">
        <is>
          <t>[Afinidad: 58/100 - Afinidad Moderada] Afinidad moderada en áreas técnicas del cargo (Técnico en Sistemas / Auxiliar de Soporte TI).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73bbbc1e10d41363</t>
        </is>
      </c>
      <c r="B129" s="2" t="inlineStr">
        <is>
          <t>2026-10-22 15:57</t>
        </is>
      </c>
      <c r="C129" s="3" t="inlineStr">
        <is>
          <t>Analista de Soporte IT</t>
        </is>
      </c>
      <c r="D129" s="3" t="inlineStr">
        <is>
          <t>TEMPORALES DE SOPORTE S.A.S.</t>
        </is>
      </c>
      <c r="E129" s="7" t="n">
        <v>0.58</v>
      </c>
      <c r="F129" s="2" t="inlineStr">
        <is>
          <t>Remoto</t>
        </is>
      </c>
      <c r="G129" s="5">
        <f>HYPERLINK("https://co.computrabajo.com/ofertas-de-trabajo/oferta-de-trabajo-de-analista-de-soporte-it-en-bogota-dc-837CF03E481B2FAC61373E686DCF3405", "Ver Vacante")</f>
        <v/>
      </c>
      <c r="H129" s="6" t="inlineStr">
        <is>
          <t>$ 2.500.000,00 (Mensual)</t>
        </is>
      </c>
      <c r="I129" s="3" t="inlineStr">
        <is>
          <t>[Afinidad: 58/100 - Afinidad Moderada] Afinidad moderada en áreas técnicas del cargo (Técnico en Sistemas / Auxiliar de Soporte TI).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5c204537d3c4c22f</t>
        </is>
      </c>
      <c r="B130" s="2" t="inlineStr">
        <is>
          <t>2026-10-22 15:57</t>
        </is>
      </c>
      <c r="C130" s="3" t="inlineStr">
        <is>
          <t>Talento inclusivo : discapacidad | soporte | mesa de ayuda</t>
        </is>
      </c>
      <c r="D130" s="3" t="inlineStr">
        <is>
          <t>Sinergy &amp; Lowells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HYPERLINK("https://www.elempleo.com/co/ofertas-trabajo/talento-inclusivo-discapacidad-soporte-mesa-de-ayuda-1886783065", "Ver Vacante")</f>
        <v/>
      </c>
      <c r="H130" s="6" t="inlineStr"/>
      <c r="I130" s="3" t="inlineStr">
        <is>
          <t>[Afinidad: 58/100 - Afinidad Moderada] Afinidad moderada en áreas técnicas del cargo (Técnico en Sistemas / Auxiliar de Soporte TI).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0a5982e3569b3861</t>
        </is>
      </c>
      <c r="B131" s="2" t="inlineStr">
        <is>
          <t>2026-10-23 15:48</t>
        </is>
      </c>
      <c r="C131" s="3" t="inlineStr">
        <is>
          <t>Analista mesa de ayuda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HYPERLINK("https://www.elempleo.com/co/ofertas-trabajo/analista-mesa-de-ayuda-1886783910", "Ver Vacante")</f>
        <v/>
      </c>
      <c r="H131" s="6" t="inlineStr"/>
      <c r="I131" s="3" t="inlineStr">
        <is>
          <t>[Afinidad: 58/100 - Afinidad Moderada] Afinidad moderada en áreas técnicas del cargo (Técnico en Sistemas / Auxiliar de Soporte TI).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50c79dfbfd49f52d</t>
        </is>
      </c>
      <c r="B132" s="2" t="inlineStr">
        <is>
          <t>2026-10-02 16:39</t>
        </is>
      </c>
      <c r="C132" s="3" t="inlineStr">
        <is>
          <t>Analista de redes noc 1 telecomunicaciones.</t>
        </is>
      </c>
      <c r="D132" s="3" t="inlineStr">
        <is>
          <t>MANPOWER</t>
        </is>
      </c>
      <c r="E132" s="7" t="n">
        <v>0.53</v>
      </c>
      <c r="F132" s="2" t="inlineStr">
        <is>
          <t>Remoto</t>
        </is>
      </c>
      <c r="G132" s="5">
        <f>HYPERLINK("https://www.elempleo.com/co/ofertas-trabajo/analista-de-redes-noc-1-telecomunicaciones-1886772075", "Ver Vacante")</f>
        <v/>
      </c>
      <c r="H132" s="6" t="inlineStr"/>
      <c r="I132" s="3" t="inlineStr">
        <is>
          <t>[Afinidad: 53/100 - Afinidad Moderada] Afinidad moderada en áreas técnicas del cargo (Técnico en Sistemas / Auxiliar de Soporte TI).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afe94b7770349744</t>
        </is>
      </c>
      <c r="B133" s="2" t="inlineStr">
        <is>
          <t>2026-10-20 15:43</t>
        </is>
      </c>
      <c r="C133" s="3" t="inlineStr">
        <is>
          <t>Consultor de Seguridad de Redes – Akamai WAF con Inglés B2 o Superior.</t>
        </is>
      </c>
      <c r="D133" s="3" t="inlineStr">
        <is>
          <t>Adecco Colombia S.A.</t>
        </is>
      </c>
      <c r="E133" s="7" t="n">
        <v>0.53</v>
      </c>
      <c r="F133" s="2" t="inlineStr">
        <is>
          <t>Remoto</t>
        </is>
      </c>
      <c r="G133" s="5">
        <f>HYPERLINK("https://co.computrabajo.com/ofertas-de-trabajo/oferta-de-trabajo-de-consultor-de-seguridad-de-redes-akamai-waf-con-ingles-b2-o-superior-en-bogota-dc-50B87E7E33B988D461373E686DCF3405", "Ver Vacante")</f>
        <v/>
      </c>
      <c r="H133" s="6" t="inlineStr">
        <is>
          <t>$ 10.000.000,00 (Mensual)</t>
        </is>
      </c>
      <c r="I133" s="3" t="inlineStr">
        <is>
          <t>[Afinidad: 53/100 - Afinidad Moderada] Afinidad moderada en áreas técnicas del cargo (Técnico en Sistemas / Auxiliar de Soporte TI).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0b0ae49f910109bb</t>
        </is>
      </c>
      <c r="B134" s="2" t="inlineStr">
        <is>
          <t>2026-09-25 15:54</t>
        </is>
      </c>
      <c r="C134" s="3" t="inlineStr">
        <is>
          <t>Ejecutivo Técnico Arancel Junior</t>
        </is>
      </c>
      <c r="D134" s="3" t="inlineStr">
        <is>
          <t>Importante Empresa de Logística y Comercio</t>
        </is>
      </c>
      <c r="E134" s="7" t="n">
        <v>0.5</v>
      </c>
      <c r="F134" s="2" t="inlineStr">
        <is>
          <t>Remoto</t>
        </is>
      </c>
      <c r="G134" s="5">
        <f>HYPERLINK("https://co.computrabajo.com/ofertas-de-trabajo/oferta-de-trabajo-de-ejecutivo-tecnico-arancel-junior-bogota-en-bogota-dc-547866639B487E0161373E686DCF3405", "Ver Vacante")</f>
        <v/>
      </c>
      <c r="H134" s="6" t="inlineStr">
        <is>
          <t>Remoto</t>
        </is>
      </c>
      <c r="I134" s="3" t="inlineStr">
        <is>
          <t>[Afinidad: 50/100 - Afinidad Moderada] Afinidad en rol base (Técnico en Sistemas / Auxiliar de Soporte TI).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582a04b3c639bfa0</t>
        </is>
      </c>
      <c r="B135" s="2" t="inlineStr">
        <is>
          <t>2026-09-30 16:49</t>
        </is>
      </c>
      <c r="C135" s="3" t="inlineStr">
        <is>
          <t>Junior IT Support Specialist</t>
        </is>
      </c>
      <c r="D135" s="3" t="inlineStr">
        <is>
          <t>Touch Support, Inc. &amp; SNF Back Office</t>
        </is>
      </c>
      <c r="E135" s="7" t="n">
        <v>0.5</v>
      </c>
      <c r="F135" s="2" t="inlineStr">
        <is>
          <t>Remoto</t>
        </is>
      </c>
      <c r="G135" s="5">
        <f>HYPERLINK("https://co.linkedin.com/jobs/view/junior-it-support-specialist-at-touch-support-inc-snf-back-office-4472187578", "Ver Vacante")</f>
        <v/>
      </c>
      <c r="H135" s="6" t="inlineStr"/>
      <c r="I135" s="3" t="inlineStr">
        <is>
          <t>[Afinidad: 50/100 - Afinidad Moderada] Afinidad en rol base (Técnico en Sistemas / Auxiliar de Soporte TI).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6e04c4d57d3fc3c7</t>
        </is>
      </c>
      <c r="B136" s="2" t="inlineStr">
        <is>
          <t>2026-10-01 17:26</t>
        </is>
      </c>
      <c r="C136" s="3" t="inlineStr">
        <is>
          <t>Ejecutivo Técnico Arancel Junior</t>
        </is>
      </c>
      <c r="D136" s="3" t="inlineStr">
        <is>
          <t>Importante Empresa de Logística y Comercio</t>
        </is>
      </c>
      <c r="E136" s="7" t="n">
        <v>0.5</v>
      </c>
      <c r="F136" s="2" t="inlineStr">
        <is>
          <t>Remoto</t>
        </is>
      </c>
      <c r="G136" s="5">
        <f>HYPERLINK("https://co.computrabajo.com/ofertas-de-trabajo/oferta-de-trabajo-de-ejecutivo-tecnico-arancel-junior-bogota-en-bogota-dc-8444AB594560844161373E686DCF3405", "Ver Vacante")</f>
        <v/>
      </c>
      <c r="H136" s="6" t="inlineStr">
        <is>
          <t>Remoto</t>
        </is>
      </c>
      <c r="I136" s="3" t="inlineStr">
        <is>
          <t>[Afinidad: 50/100 - Afinidad Moderada] Afinidad en rol base (Técnico en Sistemas / Auxiliar de Soporte TI).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8d81bacef79435aa</t>
        </is>
      </c>
      <c r="B137" s="2" t="inlineStr">
        <is>
          <t>2026-10-20 15:43</t>
        </is>
      </c>
      <c r="C137" s="3" t="inlineStr">
        <is>
          <t>Buscamos Estudiantes en Áreas de Sistemas, Software para trabajar desde casa // sin Experiencia</t>
        </is>
      </c>
      <c r="D137" s="3" t="inlineStr">
        <is>
          <t>emtelco</t>
        </is>
      </c>
      <c r="E137" s="7" t="n">
        <v>0.5</v>
      </c>
      <c r="F137" s="2" t="inlineStr">
        <is>
          <t>Remoto</t>
        </is>
      </c>
      <c r="G137" s="5">
        <f>HYPERLINK("https://co.computrabajo.com/ofertas-de-trabajo/oferta-de-trabajo-de-buscamos-estudiantes-en-areas-de-sistemas-software-para-trabajar-desde-casa-sin-experiencia-participa-todas-las-areas-relacionadas-con-soporte-tecnico-en-medellin-D756C734FE234C3D61373E686DCF3405", "Ver Vacante")</f>
        <v/>
      </c>
      <c r="H137" s="6" t="inlineStr">
        <is>
          <t>$ 1.750.905,00 (Mensual)</t>
        </is>
      </c>
      <c r="I137" s="3" t="inlineStr">
        <is>
          <t>[Afinidad: 50/100 - Afinidad Moderada] Afinidad en rol base (Técnico en Sistemas / Auxiliar de Soporte TI). Modalidad: 100% Remoto en Colombia confirmado.</t>
        </is>
      </c>
      <c r="J137" s="2" t="inlineStr">
        <is>
          <t>Nueva</t>
        </is>
      </c>
      <c r="K137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2026-10-25T14:57:40Z</dcterms:created>
  <dcterms:modified xmlns:dcterms="http://purl.org/dc/terms/" xmlns:xsi="http://www.w3.org/2001/XMLSchema-instance" xsi:type="dcterms:W3CDTF">2026-10-25T14:57:40Z</dcterms:modified>
</cp:coreProperties>
</file>