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antes_Vias_S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color rgb="000563C1"/>
      <sz val="10"/>
      <u val="single"/>
    </font>
    <font>
      <name val="Calibri"/>
      <b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65" customWidth="1" min="3" max="3"/>
    <col width="35" customWidth="1" min="4" max="4"/>
    <col width="12" customWidth="1" min="5" max="5"/>
    <col width="18" customWidth="1" min="6" max="6"/>
    <col width="18" customWidth="1" min="7" max="7"/>
    <col width="29" customWidth="1" min="8" max="8"/>
    <col width="65" customWidth="1" min="9" max="9"/>
    <col width="16" customWidth="1" min="10" max="10"/>
    <col width="32" customWidth="1" min="11" max="11"/>
  </cols>
  <sheetData>
    <row r="1" ht="28" customHeight="1">
      <c r="A1" s="1" t="inlineStr">
        <is>
          <t>ID/Hash</t>
        </is>
      </c>
      <c r="B1" s="1" t="inlineStr">
        <is>
          <t>Fecha Detección</t>
        </is>
      </c>
      <c r="C1" s="1" t="inlineStr">
        <is>
          <t>Título</t>
        </is>
      </c>
      <c r="D1" s="1" t="inlineStr">
        <is>
          <t>Empresa</t>
        </is>
      </c>
      <c r="E1" s="1" t="inlineStr">
        <is>
          <t>Score %</t>
        </is>
      </c>
      <c r="F1" s="1" t="inlineStr">
        <is>
          <t>Modalidad</t>
        </is>
      </c>
      <c r="G1" s="1" t="inlineStr">
        <is>
          <t>Enlace Directo</t>
        </is>
      </c>
      <c r="H1" s="1" t="inlineStr">
        <is>
          <t>Salario</t>
        </is>
      </c>
      <c r="I1" s="1" t="inlineStr">
        <is>
          <t>Resumen de Afinidad</t>
        </is>
      </c>
      <c r="J1" s="1" t="inlineStr">
        <is>
          <t>Estado</t>
        </is>
      </c>
      <c r="K1" s="1" t="inlineStr">
        <is>
          <t>Notas Usuario</t>
        </is>
      </c>
    </row>
    <row r="2" ht="22" customHeight="1">
      <c r="A2" s="2" t="inlineStr">
        <is>
          <t>84d3343d319ef2ee</t>
        </is>
      </c>
      <c r="B2" s="2" t="inlineStr">
        <is>
          <t>2026-09-24 15:23</t>
        </is>
      </c>
      <c r="C2" s="3" t="inlineStr">
        <is>
          <t>Analista de soporte de aplicaciones</t>
        </is>
      </c>
      <c r="D2" s="3" t="inlineStr">
        <is>
          <t>Confidencial</t>
        </is>
      </c>
      <c r="E2" s="4" t="n">
        <v>0.93</v>
      </c>
      <c r="F2" s="2" t="inlineStr">
        <is>
          <t>Remoto</t>
        </is>
      </c>
      <c r="G2" s="5">
        <f>HYPERLINK("https://www.elempleo.com/co/ofertas-trabajo/analista-de-soporte-de-aplicaciones-1886744833", "Ver Vacante")</f>
        <v/>
      </c>
      <c r="H2" s="6" t="inlineStr"/>
      <c r="I2" s="3" t="inlineStr">
        <is>
          <t>[Afinidad: 93/100 - Alta Afinidad] Alta coincidencia técnica en Soporte Técnico de Sistemas, Hardware y Redes. Modalidad: 100% Remoto en Colombia confirmado.</t>
        </is>
      </c>
      <c r="J2" s="2" t="inlineStr">
        <is>
          <t>Nueva</t>
        </is>
      </c>
      <c r="K2" s="3" t="inlineStr"/>
    </row>
    <row r="3" ht="22" customHeight="1">
      <c r="A3" s="2" t="inlineStr">
        <is>
          <t>fb4057b60ee24f96</t>
        </is>
      </c>
      <c r="B3" s="2" t="inlineStr">
        <is>
          <t>2026-09-24 15:23</t>
        </is>
      </c>
      <c r="C3" s="3" t="inlineStr">
        <is>
          <t>Soporte de Aplicaciones</t>
        </is>
      </c>
      <c r="D3" s="3" t="inlineStr">
        <is>
          <t>Marsh</t>
        </is>
      </c>
      <c r="E3" s="4" t="n">
        <v>0.93</v>
      </c>
      <c r="F3" s="2" t="inlineStr">
        <is>
          <t>Remoto</t>
        </is>
      </c>
      <c r="G3" s="5">
        <f>HYPERLINK("https://co.linkedin.com/jobs/view/soporte-de-aplicaciones-at-marsh-4462495318", "Ver Vacante")</f>
        <v/>
      </c>
      <c r="H3" s="6" t="inlineStr"/>
      <c r="I3" s="3" t="inlineStr">
        <is>
          <t>[Afinidad: 93/100 - Alta Afinidad] Alta coincidencia técnica en Soporte Técnico de Sistemas, Hardware y Redes. Modalidad: 100% Remoto en Colombia confirmado.</t>
        </is>
      </c>
      <c r="J3" s="2" t="inlineStr">
        <is>
          <t>Nueva</t>
        </is>
      </c>
      <c r="K3" s="3" t="inlineStr"/>
    </row>
    <row r="4" ht="22" customHeight="1">
      <c r="A4" s="2" t="inlineStr">
        <is>
          <t>36d9af4a629bea69</t>
        </is>
      </c>
      <c r="B4" s="2" t="inlineStr">
        <is>
          <t>2026-09-24 15:23</t>
        </is>
      </c>
      <c r="C4" s="3" t="inlineStr">
        <is>
          <t>Soporte de Aplicaciones</t>
        </is>
      </c>
      <c r="D4" s="3" t="inlineStr">
        <is>
          <t>Marsh</t>
        </is>
      </c>
      <c r="E4" s="4" t="n">
        <v>0.93</v>
      </c>
      <c r="F4" s="2" t="inlineStr">
        <is>
          <t>Remoto</t>
        </is>
      </c>
      <c r="G4" s="5">
        <f>HYPERLINK("https://co.linkedin.com/jobs/view/soporte-de-aplicaciones-at-marsh-4462705041", "Ver Vacante")</f>
        <v/>
      </c>
      <c r="H4" s="6" t="inlineStr"/>
      <c r="I4" s="3" t="inlineStr">
        <is>
          <t>[Afinidad: 93/100 - Alta Afinidad] Alta coincidencia técnica en Soporte Técnico de Sistemas, Hardware y Redes. Modalidad: 100% Remoto en Colombia confirmado.</t>
        </is>
      </c>
      <c r="J4" s="2" t="inlineStr">
        <is>
          <t>Nueva</t>
        </is>
      </c>
      <c r="K4" s="3" t="inlineStr"/>
    </row>
    <row r="5" ht="22" customHeight="1">
      <c r="A5" s="2" t="inlineStr">
        <is>
          <t>c56208dd47729452</t>
        </is>
      </c>
      <c r="B5" s="2" t="inlineStr">
        <is>
          <t>2026-09-24 15:23</t>
        </is>
      </c>
      <c r="C5" s="3" t="inlineStr">
        <is>
          <t>Soporte de Aplicaciones</t>
        </is>
      </c>
      <c r="D5" s="3" t="inlineStr">
        <is>
          <t>Marsh Risk</t>
        </is>
      </c>
      <c r="E5" s="4" t="n">
        <v>0.93</v>
      </c>
      <c r="F5" s="2" t="inlineStr">
        <is>
          <t>Remoto</t>
        </is>
      </c>
      <c r="G5" s="5">
        <f>HYPERLINK("https://co.linkedin.com/jobs/view/soporte-de-aplicaciones-at-marsh-risk-4462800719", "Ver Vacante")</f>
        <v/>
      </c>
      <c r="H5" s="6" t="inlineStr"/>
      <c r="I5" s="3" t="inlineStr">
        <is>
          <t>[Afinidad: 93/100 - Alta Afinidad] Alta coincidencia técnica en Soporte Técnico de Sistemas, Hardware y Redes. Modalidad: 100% Remoto en Colombia confirmado.</t>
        </is>
      </c>
      <c r="J5" s="2" t="inlineStr">
        <is>
          <t>Nueva</t>
        </is>
      </c>
      <c r="K5" s="3" t="inlineStr"/>
    </row>
    <row r="6" ht="22" customHeight="1">
      <c r="A6" s="2" t="inlineStr">
        <is>
          <t>d0e25c686dd08685</t>
        </is>
      </c>
      <c r="B6" s="2" t="inlineStr">
        <is>
          <t>2026-09-24 15:23</t>
        </is>
      </c>
      <c r="C6" s="3" t="inlineStr">
        <is>
          <t>Soporte de Aplicaciones</t>
        </is>
      </c>
      <c r="D6" s="3" t="inlineStr">
        <is>
          <t>Marsh Risk</t>
        </is>
      </c>
      <c r="E6" s="4" t="n">
        <v>0.93</v>
      </c>
      <c r="F6" s="2" t="inlineStr">
        <is>
          <t>Remoto</t>
        </is>
      </c>
      <c r="G6" s="5">
        <f>HYPERLINK("https://co.linkedin.com/jobs/view/soporte-de-aplicaciones-at-marsh-risk-4462796772", "Ver Vacante")</f>
        <v/>
      </c>
      <c r="H6" s="6" t="inlineStr"/>
      <c r="I6" s="3" t="inlineStr">
        <is>
          <t>[Afinidad: 93/100 - Alta Afinidad] Alta coincidencia técnica en Soporte Técnico de Sistemas, Hardware y Redes. Modalidad: 100% Remoto en Colombia confirmado.</t>
        </is>
      </c>
      <c r="J6" s="2" t="inlineStr">
        <is>
          <t>Nueva</t>
        </is>
      </c>
      <c r="K6" s="3" t="inlineStr"/>
    </row>
    <row r="7" ht="22" customHeight="1">
      <c r="A7" s="2" t="inlineStr">
        <is>
          <t>05c483685b3940dc</t>
        </is>
      </c>
      <c r="B7" s="2" t="inlineStr">
        <is>
          <t>2026-09-24 15:23</t>
        </is>
      </c>
      <c r="C7" s="3" t="inlineStr">
        <is>
          <t>Consultor de Soporte PL/SQL</t>
        </is>
      </c>
      <c r="D7" s="3" t="inlineStr">
        <is>
          <t>GFT Technologies</t>
        </is>
      </c>
      <c r="E7" s="4" t="n">
        <v>0.93</v>
      </c>
      <c r="F7" s="2" t="inlineStr">
        <is>
          <t>Remoto</t>
        </is>
      </c>
      <c r="G7" s="5">
        <f>HYPERLINK("https://co.linkedin.com/jobs/view/consultor-de-soporte-pl-sql-at-gft-technologies-4463498852", "Ver Vacante")</f>
        <v/>
      </c>
      <c r="H7" s="6" t="inlineStr"/>
      <c r="I7" s="3" t="inlineStr">
        <is>
          <t>[Afinidad: 93/100 - Alta Afinidad] Alta coincidencia técnica en Soporte Técnico de Sistemas, Hardware y Redes. Modalidad: 100% Remoto en Colombia confirmado.</t>
        </is>
      </c>
      <c r="J7" s="2" t="inlineStr">
        <is>
          <t>Nueva</t>
        </is>
      </c>
      <c r="K7" s="3" t="inlineStr"/>
    </row>
    <row r="8" ht="22" customHeight="1">
      <c r="A8" s="2" t="inlineStr">
        <is>
          <t>c582f78c40a8cbef</t>
        </is>
      </c>
      <c r="B8" s="2" t="inlineStr">
        <is>
          <t>2026-09-24 15:23</t>
        </is>
      </c>
      <c r="C8" s="3" t="inlineStr">
        <is>
          <t>Analista de soporte técnico Software AML</t>
        </is>
      </c>
      <c r="D8" s="3" t="inlineStr">
        <is>
          <t>QUALITA CORP</t>
        </is>
      </c>
      <c r="E8" s="4" t="n">
        <v>0.73</v>
      </c>
      <c r="F8" s="2" t="inlineStr">
        <is>
          <t>Remoto</t>
        </is>
      </c>
      <c r="G8" s="5">
        <f>HYPERLINK("https://co.computrabajo.com/ofertas-de-trabajo/oferta-de-trabajo-de-analista-de-soporte-tecnico-software-aml-technical-support-analyst-en-cali-E6235476DD4F0EA861373E686DCF3405", "Ver Vacante")</f>
        <v/>
      </c>
      <c r="H8" s="6" t="inlineStr">
        <is>
          <t>$ 2.600.000,00 (Mensual)</t>
        </is>
      </c>
      <c r="I8" s="3" t="inlineStr">
        <is>
          <t>[Afinidad: 73/100 - Alta Afinidad] Alta coincidencia técnica en Soporte Técnico de Sistemas, Hardware y Redes. Modalidad: 100% Remoto en Colombia confirmado.</t>
        </is>
      </c>
      <c r="J8" s="2" t="inlineStr">
        <is>
          <t>Nueva</t>
        </is>
      </c>
      <c r="K8" s="3" t="inlineStr"/>
    </row>
    <row r="9" ht="22" customHeight="1">
      <c r="A9" s="2" t="inlineStr">
        <is>
          <t>c15b23736599b6ea</t>
        </is>
      </c>
      <c r="B9" s="2" t="inlineStr">
        <is>
          <t>2026-09-24 15:23</t>
        </is>
      </c>
      <c r="C9" s="3" t="inlineStr">
        <is>
          <t>Representante de Soporte Técnico</t>
        </is>
      </c>
      <c r="D9" s="3" t="inlineStr">
        <is>
          <t>Importante empresa del sector</t>
        </is>
      </c>
      <c r="E9" s="4" t="n">
        <v>0.73</v>
      </c>
      <c r="F9" s="2" t="inlineStr">
        <is>
          <t>Remoto</t>
        </is>
      </c>
      <c r="G9" s="5">
        <f>HYPERLINK("https://co.computrabajo.com/ofertas-de-trabajo/oferta-de-trabajo-de-representante-de-soporte-tecnico-bilingue-c1-en-bogota-dc-F55CBFF60004B2D661373E686DCF3405", "Ver Vacante")</f>
        <v/>
      </c>
      <c r="H9" s="6" t="inlineStr">
        <is>
          <t>$ 2.500.000,00 (Mensual)</t>
        </is>
      </c>
      <c r="I9" s="3" t="inlineStr">
        <is>
          <t>[Afinidad: 73/100 - Alta Afinidad] Alta coincidencia técnica en Soporte Técnico de Sistemas, Hardware y Redes. Modalidad: 100% Remoto en Colombia confirmado.</t>
        </is>
      </c>
      <c r="J9" s="2" t="inlineStr">
        <is>
          <t>Nueva</t>
        </is>
      </c>
      <c r="K9" s="3" t="inlineStr"/>
    </row>
    <row r="10" ht="22" customHeight="1">
      <c r="A10" s="2" t="inlineStr">
        <is>
          <t>a24e415f10a83868</t>
        </is>
      </c>
      <c r="B10" s="2" t="inlineStr">
        <is>
          <t>2026-09-24 15:23</t>
        </is>
      </c>
      <c r="C10" s="3" t="inlineStr">
        <is>
          <t>Asesores de Soporte Técnico desde Casa/ Salario fijo + variable</t>
        </is>
      </c>
      <c r="D10" s="3" t="inlineStr">
        <is>
          <t>emtelco</t>
        </is>
      </c>
      <c r="E10" s="4" t="n">
        <v>0.73</v>
      </c>
      <c r="F10" s="2" t="inlineStr">
        <is>
          <t>Remoto</t>
        </is>
      </c>
      <c r="G10" s="5">
        <f>HYPERLINK("https://co.computrabajo.com/ofertas-de-trabajo/oferta-de-trabajo-de-asesores-de-soporte-tecnico-desde-casa-salario-fijo-variable-en-medellin-746BA0FF31FDCC9B61373E686DCF3405", "Ver Vacante")</f>
        <v/>
      </c>
      <c r="H10" s="6" t="inlineStr">
        <is>
          <t>$ 2.000.000,00 (Mensual)</t>
        </is>
      </c>
      <c r="I10" s="3" t="inlineStr">
        <is>
          <t>[Afinidad: 73/100 - Alta Afinidad] Alta coincidencia técnica en Soporte Técnico de Sistemas, Hardware y Redes. Modalidad: 100% Remoto en Colombia confirmado.</t>
        </is>
      </c>
      <c r="J10" s="2" t="inlineStr">
        <is>
          <t>Nueva</t>
        </is>
      </c>
      <c r="K10" s="3" t="inlineStr"/>
    </row>
    <row r="11" ht="22" customHeight="1">
      <c r="A11" s="2" t="inlineStr">
        <is>
          <t>08e5d9a6ae76478b</t>
        </is>
      </c>
      <c r="B11" s="2" t="inlineStr">
        <is>
          <t>2026-09-24 15:23</t>
        </is>
      </c>
      <c r="C11" s="3" t="inlineStr">
        <is>
          <t>Analista de soporte tecnico</t>
        </is>
      </c>
      <c r="D11" s="3" t="inlineStr">
        <is>
          <t>HITSS</t>
        </is>
      </c>
      <c r="E11" s="4" t="n">
        <v>0.73</v>
      </c>
      <c r="F11" s="2" t="inlineStr">
        <is>
          <t>Remoto</t>
        </is>
      </c>
      <c r="G11" s="5">
        <f>HYPERLINK("https://www.elempleo.com/co/ofertas-trabajo/analista-de-soporte-tecnico-1886747091", "Ver Vacante")</f>
        <v/>
      </c>
      <c r="H11" s="6" t="inlineStr"/>
      <c r="I11" s="3" t="inlineStr">
        <is>
          <t>[Afinidad: 73/100 - Alta Afinidad] Alta coincidencia técnica en Soporte Técnico de Sistemas, Hardware y Redes. Modalidad: 100% Remoto en Colombia confirmado.</t>
        </is>
      </c>
      <c r="J11" s="2" t="inlineStr">
        <is>
          <t>Nueva</t>
        </is>
      </c>
      <c r="K11" s="3" t="inlineStr"/>
    </row>
    <row r="12" ht="22" customHeight="1">
      <c r="A12" s="2" t="inlineStr">
        <is>
          <t>7fc45dde38ffcf1a</t>
        </is>
      </c>
      <c r="B12" s="2" t="inlineStr">
        <is>
          <t>2026-09-24 15:23</t>
        </is>
      </c>
      <c r="C12" s="3" t="inlineStr">
        <is>
          <t>Analista mesa de ayuda help desk bogotá</t>
        </is>
      </c>
      <c r="D12" s="3" t="inlineStr">
        <is>
          <t>Pro TALENTI</t>
        </is>
      </c>
      <c r="E12" s="4" t="n">
        <v>0.73</v>
      </c>
      <c r="F12" s="2" t="inlineStr">
        <is>
          <t>Remoto</t>
        </is>
      </c>
      <c r="G12" s="5">
        <f>HYPERLINK("https://www.elempleo.com/co/ofertas-trabajo/analista-mesa-de-ayuda-help-desk-bogota-1886758291", "Ver Vacante")</f>
        <v/>
      </c>
      <c r="H12" s="6" t="inlineStr"/>
      <c r="I12" s="3" t="inlineStr">
        <is>
          <t>[Afinidad: 73/100 - Alta Afinidad] Alta coincidencia técnica en Soporte Técnico de Sistemas, Hardware y Redes. Modalidad: 100% Remoto en Colombia confirmado.</t>
        </is>
      </c>
      <c r="J12" s="2" t="inlineStr">
        <is>
          <t>Nueva</t>
        </is>
      </c>
      <c r="K12" s="3" t="inlineStr"/>
    </row>
    <row r="13" ht="22" customHeight="1">
      <c r="A13" s="2" t="inlineStr">
        <is>
          <t>a6b77694deed4eda</t>
        </is>
      </c>
      <c r="B13" s="2" t="inlineStr">
        <is>
          <t>2026-09-24 15:23</t>
        </is>
      </c>
      <c r="C13" s="3" t="inlineStr">
        <is>
          <t>Help Desk Technician Level 1</t>
        </is>
      </c>
      <c r="D13" s="3" t="inlineStr">
        <is>
          <t>SOLVO S.A.S</t>
        </is>
      </c>
      <c r="E13" s="4" t="n">
        <v>0.73</v>
      </c>
      <c r="F13" s="2" t="inlineStr">
        <is>
          <t>Remoto</t>
        </is>
      </c>
      <c r="G13" s="5">
        <f>HYPERLINK("https://co.computrabajo.com/ofertas-de-trabajo/oferta-de-trabajo-de-help-desk-technician-level-1-it-support-analyst-en-medellin-426546345875532361373E686DCF3405", "Ver Vacante")</f>
        <v/>
      </c>
      <c r="H13" s="6" t="inlineStr">
        <is>
          <t>Remoto</t>
        </is>
      </c>
      <c r="I13" s="3" t="inlineStr">
        <is>
          <t>[Afinidad: 73/100 - Alta Afinidad] Alta coincidencia técnica en Soporte Técnico de Sistemas, Hardware y Redes. Modalidad: 100% Remoto en Colombia confirmado.</t>
        </is>
      </c>
      <c r="J13" s="2" t="inlineStr">
        <is>
          <t>Nueva</t>
        </is>
      </c>
      <c r="K13" s="3" t="inlineStr"/>
    </row>
    <row r="14" ht="22" customHeight="1">
      <c r="A14" s="2" t="inlineStr">
        <is>
          <t>17bcb3c669035312</t>
        </is>
      </c>
      <c r="B14" s="2" t="inlineStr">
        <is>
          <t>2026-09-24 15:23</t>
        </is>
      </c>
      <c r="C14" s="3" t="inlineStr">
        <is>
          <t>Analista de soporte y mesa de ayuda ii</t>
        </is>
      </c>
      <c r="D14" s="3" t="inlineStr">
        <is>
          <t>TP COLOMBIA</t>
        </is>
      </c>
      <c r="E14" s="4" t="n">
        <v>0.73</v>
      </c>
      <c r="F14" s="2" t="inlineStr">
        <is>
          <t>Remoto</t>
        </is>
      </c>
      <c r="G14" s="5">
        <f>HYPERLINK("https://www.elempleo.com/co/ofertas-trabajo/analista-de-soporte-y-mesa-de-ayuda-ii-1886760204", "Ver Vacante")</f>
        <v/>
      </c>
      <c r="H14" s="6" t="inlineStr"/>
      <c r="I14" s="3" t="inlineStr">
        <is>
          <t>[Afinidad: 73/100 - Alta Afinidad] Alta coincidencia técnica en Soporte Técnico de Sistemas, Hardware y Redes. Modalidad: 100% Remoto en Colombia confirmado.</t>
        </is>
      </c>
      <c r="J14" s="2" t="inlineStr">
        <is>
          <t>Nueva</t>
        </is>
      </c>
      <c r="K14" s="3" t="inlineStr"/>
    </row>
    <row r="15" ht="22" customHeight="1">
      <c r="A15" s="2" t="inlineStr">
        <is>
          <t>f49243c0d93e8dc6</t>
        </is>
      </c>
      <c r="B15" s="2" t="inlineStr">
        <is>
          <t>2026-09-24 15:23</t>
        </is>
      </c>
      <c r="C15" s="3" t="inlineStr">
        <is>
          <t>Help desk analyst l1 bilingüe</t>
        </is>
      </c>
      <c r="D15" s="3" t="inlineStr">
        <is>
          <t>Confidencial</t>
        </is>
      </c>
      <c r="E15" s="4" t="n">
        <v>0.73</v>
      </c>
      <c r="F15" s="2" t="inlineStr">
        <is>
          <t>Remoto</t>
        </is>
      </c>
      <c r="G15" s="5">
        <f>HYPERLINK("https://www.elempleo.com/co/ofertas-trabajo/help-desk-analyst-l1-bilingue-ingles-conversational-entre-b2c1-1886760008", "Ver Vacante")</f>
        <v/>
      </c>
      <c r="H15" s="6" t="inlineStr"/>
      <c r="I15" s="3" t="inlineStr">
        <is>
          <t>[Afinidad: 73/100 - Alta Afinidad] Alta coincidencia técnica en Soporte Técnico de Sistemas, Hardware y Redes. Modalidad: 100% Remoto en Colombia confirmado.</t>
        </is>
      </c>
      <c r="J15" s="2" t="inlineStr">
        <is>
          <t>Nueva</t>
        </is>
      </c>
      <c r="K15" s="3" t="inlineStr"/>
    </row>
    <row r="16" ht="22" customHeight="1">
      <c r="A16" s="2" t="inlineStr">
        <is>
          <t>def61dbcc70790b0</t>
        </is>
      </c>
      <c r="B16" s="2" t="inlineStr">
        <is>
          <t>2026-09-24 15:23</t>
        </is>
      </c>
      <c r="C16" s="3" t="inlineStr">
        <is>
          <t>Help desk analyst n1 bilingüe 24/7 (inglés conversacional) bogotá</t>
        </is>
      </c>
      <c r="D16" s="3" t="inlineStr">
        <is>
          <t>Confidencial</t>
        </is>
      </c>
      <c r="E16" s="4" t="n">
        <v>0.73</v>
      </c>
      <c r="F16" s="2" t="inlineStr">
        <is>
          <t>Remoto</t>
        </is>
      </c>
      <c r="G16" s="5">
        <f>HYPERLINK("https://www.elempleo.com/co/ofertas-trabajo/help-desk-analyst-n1-bilingue-24-7-ingles-conversacional-bogota-1886760175", "Ver Vacante")</f>
        <v/>
      </c>
      <c r="H16" s="6" t="inlineStr"/>
      <c r="I16" s="3" t="inlineStr">
        <is>
          <t>[Afinidad: 73/100 - Alta Afinidad] Alta coincidencia técnica en Soporte Técnico de Sistemas, Hardware y Redes. Modalidad: 100% Remoto en Colombia confirmado.</t>
        </is>
      </c>
      <c r="J16" s="2" t="inlineStr">
        <is>
          <t>Nueva</t>
        </is>
      </c>
      <c r="K16" s="3" t="inlineStr"/>
    </row>
    <row r="17" ht="22" customHeight="1">
      <c r="A17" s="2" t="inlineStr">
        <is>
          <t>fa8514832b21e057</t>
        </is>
      </c>
      <c r="B17" s="2" t="inlineStr">
        <is>
          <t>2026-09-24 15:23</t>
        </is>
      </c>
      <c r="C17" s="3" t="inlineStr">
        <is>
          <t>Help desk</t>
        </is>
      </c>
      <c r="D17" s="3" t="inlineStr">
        <is>
          <t>SISA</t>
        </is>
      </c>
      <c r="E17" s="4" t="n">
        <v>0.73</v>
      </c>
      <c r="F17" s="2" t="inlineStr">
        <is>
          <t>Remoto</t>
        </is>
      </c>
      <c r="G17" s="5">
        <f>HYPERLINK("https://www.elempleo.com/co/ofertas-trabajo/help-desk-1886691178", "Ver Vacante")</f>
        <v/>
      </c>
      <c r="H17" s="6" t="inlineStr"/>
      <c r="I17" s="3" t="inlineStr">
        <is>
          <t>[Afinidad: 73/100 - Alta Afinidad] Alta coincidencia técnica en Soporte Técnico de Sistemas, Hardware y Redes. Modalidad: 100% Remoto en Colombia confirmado.</t>
        </is>
      </c>
      <c r="J17" s="2" t="inlineStr">
        <is>
          <t>Nueva</t>
        </is>
      </c>
      <c r="K17" s="3" t="inlineStr"/>
    </row>
    <row r="18" ht="22" customHeight="1">
      <c r="A18" s="2" t="inlineStr">
        <is>
          <t>7201f5ec58086561</t>
        </is>
      </c>
      <c r="B18" s="2" t="inlineStr">
        <is>
          <t>2026-09-24 15:23</t>
        </is>
      </c>
      <c r="C18" s="3" t="inlineStr">
        <is>
          <t>Help desk analyst n1 bilingüe (inglés conversacional) bogotá</t>
        </is>
      </c>
      <c r="D18" s="3" t="inlineStr">
        <is>
          <t>Confidencial</t>
        </is>
      </c>
      <c r="E18" s="4" t="n">
        <v>0.73</v>
      </c>
      <c r="F18" s="2" t="inlineStr">
        <is>
          <t>Remoto</t>
        </is>
      </c>
      <c r="G18" s="5">
        <f>HYPERLINK("https://www.elempleo.com/co/ofertas-trabajo/help-desk-analyst-n1-bilingue-ingles-conversacional-bogota-1886752135", "Ver Vacante")</f>
        <v/>
      </c>
      <c r="H18" s="6" t="inlineStr"/>
      <c r="I18" s="3" t="inlineStr">
        <is>
          <t>[Afinidad: 73/100 - Alta Afinidad] Alta coincidencia técnica en Soporte Técnico de Sistemas, Hardware y Redes. Modalidad: 100% Remoto en Colombia confirmado.</t>
        </is>
      </c>
      <c r="J18" s="2" t="inlineStr">
        <is>
          <t>Nueva</t>
        </is>
      </c>
      <c r="K18" s="3" t="inlineStr"/>
    </row>
    <row r="19" ht="22" customHeight="1">
      <c r="A19" s="2" t="inlineStr">
        <is>
          <t>bf8e766566882d80</t>
        </is>
      </c>
      <c r="B19" s="2" t="inlineStr">
        <is>
          <t>2026-09-24 15:23</t>
        </is>
      </c>
      <c r="C19" s="3" t="inlineStr">
        <is>
          <t>Técnico de soporte help desk</t>
        </is>
      </c>
      <c r="D19" s="3" t="inlineStr">
        <is>
          <t>Confidencial</t>
        </is>
      </c>
      <c r="E19" s="4" t="n">
        <v>0.73</v>
      </c>
      <c r="F19" s="2" t="inlineStr">
        <is>
          <t>Remoto</t>
        </is>
      </c>
      <c r="G19" s="5">
        <f>HYPERLINK("https://www.elempleo.com/co/ofertas-trabajo/tecnico-de-soporte-help-desk-1886771881", "Ver Vacante")</f>
        <v/>
      </c>
      <c r="H19" s="6" t="inlineStr"/>
      <c r="I19" s="3" t="inlineStr">
        <is>
          <t>[Afinidad: 73/100 - Alta Afinidad] Alta coincidencia técnica en Soporte Técnico de Sistemas, Hardware y Redes. Modalidad: 100% Remoto en Colombia confirmado.</t>
        </is>
      </c>
      <c r="J19" s="2" t="inlineStr">
        <is>
          <t>Nueva</t>
        </is>
      </c>
      <c r="K19" s="3" t="inlineStr"/>
    </row>
    <row r="20" ht="22" customHeight="1">
      <c r="A20" s="2" t="inlineStr">
        <is>
          <t>055987ec23570846</t>
        </is>
      </c>
      <c r="B20" s="2" t="inlineStr">
        <is>
          <t>2026-09-24 15:23</t>
        </is>
      </c>
      <c r="C20" s="3" t="inlineStr">
        <is>
          <t>Help desk analyst n1 bilingüe (inglés conversacional) 7x24 rotativo bogotá</t>
        </is>
      </c>
      <c r="D20" s="3" t="inlineStr">
        <is>
          <t>Confidencial</t>
        </is>
      </c>
      <c r="E20" s="4" t="n">
        <v>0.73</v>
      </c>
      <c r="F20" s="2" t="inlineStr">
        <is>
          <t>Remoto</t>
        </is>
      </c>
      <c r="G20" s="5">
        <f>HYPERLINK("https://www.elempleo.com/co/ofertas-trabajo/help-desk-analyst-n1-bilingue-ingles-conversacional-7x24-rotativo-bogota-1886751464", "Ver Vacante")</f>
        <v/>
      </c>
      <c r="H20" s="6" t="inlineStr"/>
      <c r="I20" s="3" t="inlineStr">
        <is>
          <t>[Afinidad: 73/100 - Alta Afinidad] Alta coincidencia técnica en Soporte Técnico de Sistemas, Hardware y Redes. Modalidad: 100% Remoto en Colombia confirmado.</t>
        </is>
      </c>
      <c r="J20" s="2" t="inlineStr">
        <is>
          <t>Nueva</t>
        </is>
      </c>
      <c r="K20" s="3" t="inlineStr"/>
    </row>
    <row r="21" ht="22" customHeight="1">
      <c r="A21" s="2" t="inlineStr">
        <is>
          <t>076d17389f43db00</t>
        </is>
      </c>
      <c r="B21" s="2" t="inlineStr">
        <is>
          <t>2026-09-24 15:23</t>
        </is>
      </c>
      <c r="C21" s="3" t="inlineStr">
        <is>
          <t>Analista de mesa de ayuda - soporte incidentes</t>
        </is>
      </c>
      <c r="D21" s="3" t="inlineStr">
        <is>
          <t>Cinte Colombia SAS</t>
        </is>
      </c>
      <c r="E21" s="4" t="n">
        <v>0.73</v>
      </c>
      <c r="F21" s="2" t="inlineStr">
        <is>
          <t>Remoto</t>
        </is>
      </c>
      <c r="G21" s="5">
        <f>HYPERLINK("https://www.elempleo.com/co/ofertas-trabajo/analista-de-mesa-de-ayuda-soporte-incidentes-1886762523", "Ver Vacante")</f>
        <v/>
      </c>
      <c r="H21" s="6" t="inlineStr"/>
      <c r="I21" s="3" t="inlineStr">
        <is>
          <t>[Afinidad: 73/100 - Alta Afinidad] Alta coincidencia técnica en Soporte Técnico de Sistemas, Hardware y Redes. Modalidad: 100% Remoto en Colombia confirmado.</t>
        </is>
      </c>
      <c r="J21" s="2" t="inlineStr">
        <is>
          <t>Nueva</t>
        </is>
      </c>
      <c r="K21" s="3" t="inlineStr"/>
    </row>
    <row r="22" ht="22" customHeight="1">
      <c r="A22" s="2" t="inlineStr">
        <is>
          <t>d9a2083450e72e22</t>
        </is>
      </c>
      <c r="B22" s="2" t="inlineStr">
        <is>
          <t>2026-09-24 15:23</t>
        </is>
      </c>
      <c r="C22" s="3" t="inlineStr">
        <is>
          <t>Técnico de soporte ti - bogota</t>
        </is>
      </c>
      <c r="D22" s="3" t="inlineStr">
        <is>
          <t>Confidencial</t>
        </is>
      </c>
      <c r="E22" s="4" t="n">
        <v>0.73</v>
      </c>
      <c r="F22" s="2" t="inlineStr">
        <is>
          <t>Remoto</t>
        </is>
      </c>
      <c r="G22" s="5">
        <f>HYPERLINK("https://www.elempleo.com/co/ofertas-trabajo/tecnico-de-soporte-ti-bogota-1886768638", "Ver Vacante")</f>
        <v/>
      </c>
      <c r="H22" s="6" t="inlineStr"/>
      <c r="I22" s="3" t="inlineStr">
        <is>
          <t>[Afinidad: 73/100 - Alta Afinidad] Alta coincidencia técnica en Soporte Técnico de Sistemas, Hardware y Redes. Modalidad: 100% Remoto en Colombia confirmado.</t>
        </is>
      </c>
      <c r="J22" s="2" t="inlineStr">
        <is>
          <t>Nueva</t>
        </is>
      </c>
      <c r="K22" s="3" t="inlineStr"/>
    </row>
    <row r="23" ht="22" customHeight="1">
      <c r="A23" s="2" t="inlineStr">
        <is>
          <t>41db4cb1967404e7</t>
        </is>
      </c>
      <c r="B23" s="2" t="inlineStr">
        <is>
          <t>2026-09-24 15:23</t>
        </is>
      </c>
      <c r="C23" s="3" t="inlineStr">
        <is>
          <t>Técnico(a) de soporte ti</t>
        </is>
      </c>
      <c r="D23" s="3" t="inlineStr">
        <is>
          <t>SDT INGENIERIA</t>
        </is>
      </c>
      <c r="E23" s="4" t="n">
        <v>0.73</v>
      </c>
      <c r="F23" s="2" t="inlineStr">
        <is>
          <t>Remoto</t>
        </is>
      </c>
      <c r="G23" s="5">
        <f>HYPERLINK("https://www.elempleo.com/co/ofertas-trabajo/tecnicoa-de-soporte-ti-1886746427", "Ver Vacante")</f>
        <v/>
      </c>
      <c r="H23" s="6" t="inlineStr"/>
      <c r="I23" s="3" t="inlineStr">
        <is>
          <t>[Afinidad: 73/100 - Alta Afinidad] Alta coincidencia técnica en Soporte Técnico de Sistemas, Hardware y Redes. Modalidad: 100% Remoto en Colombia confirmado.</t>
        </is>
      </c>
      <c r="J23" s="2" t="inlineStr">
        <is>
          <t>Nueva</t>
        </is>
      </c>
      <c r="K23" s="3" t="inlineStr"/>
    </row>
    <row r="24" ht="22" customHeight="1">
      <c r="A24" s="2" t="inlineStr">
        <is>
          <t>cec4961ed9898403</t>
        </is>
      </c>
      <c r="B24" s="2" t="inlineStr">
        <is>
          <t>2026-09-24 15:23</t>
        </is>
      </c>
      <c r="C24" s="3" t="inlineStr">
        <is>
          <t>Analista de soporte ti</t>
        </is>
      </c>
      <c r="D24" s="3" t="inlineStr">
        <is>
          <t>Confidencial</t>
        </is>
      </c>
      <c r="E24" s="4" t="n">
        <v>0.73</v>
      </c>
      <c r="F24" s="2" t="inlineStr">
        <is>
          <t>Remoto</t>
        </is>
      </c>
      <c r="G24" s="5">
        <f>HYPERLINK("https://www.elempleo.com/co/ofertas-trabajo/analista-de-soporte-ti-1886760221", "Ver Vacante")</f>
        <v/>
      </c>
      <c r="H24" s="6" t="inlineStr"/>
      <c r="I24" s="3" t="inlineStr">
        <is>
          <t>[Afinidad: 73/100 - Alta Afinidad] Alta coincidencia técnica en Soporte Técnico de Sistemas, Hardware y Redes. Modalidad: 100% Remoto en Colombia confirmado.</t>
        </is>
      </c>
      <c r="J24" s="2" t="inlineStr">
        <is>
          <t>Nueva</t>
        </is>
      </c>
      <c r="K24" s="3" t="inlineStr"/>
    </row>
    <row r="25" ht="22" customHeight="1">
      <c r="A25" s="2" t="inlineStr">
        <is>
          <t>8a1d6b57bc4eb8f6</t>
        </is>
      </c>
      <c r="B25" s="2" t="inlineStr">
        <is>
          <t>2026-09-24 15:23</t>
        </is>
      </c>
      <c r="C25" s="3" t="inlineStr">
        <is>
          <t>Helpdesk Technician</t>
        </is>
      </c>
      <c r="D25" s="3" t="inlineStr">
        <is>
          <t>Ultimate Jet Vacations</t>
        </is>
      </c>
      <c r="E25" s="4" t="n">
        <v>0.73</v>
      </c>
      <c r="F25" s="2" t="inlineStr">
        <is>
          <t>Remoto</t>
        </is>
      </c>
      <c r="G25" s="5">
        <f>HYPERLINK("https://co.linkedin.com/jobs/view/helpdesk-technician-at-ultimate-jet-vacations-4460749773", "Ver Vacante")</f>
        <v/>
      </c>
      <c r="H25" s="6" t="inlineStr"/>
      <c r="I25" s="3" t="inlineStr">
        <is>
          <t>[Afinidad: 73/100 - Alta Afinidad] Alta coincidencia técnica en Soporte Técnico de Sistemas, Hardware y Redes. Modalidad: 100% Remoto en Colombia confirmado.</t>
        </is>
      </c>
      <c r="J25" s="2" t="inlineStr">
        <is>
          <t>Nueva</t>
        </is>
      </c>
      <c r="K25" s="3" t="inlineStr"/>
    </row>
    <row r="26" ht="22" customHeight="1">
      <c r="A26" s="2" t="inlineStr">
        <is>
          <t>606652c43fad3a74</t>
        </is>
      </c>
      <c r="B26" s="2" t="inlineStr">
        <is>
          <t>2026-09-24 15:23</t>
        </is>
      </c>
      <c r="C26" s="3" t="inlineStr">
        <is>
          <t>Helpdesk Technician</t>
        </is>
      </c>
      <c r="D26" s="3" t="inlineStr">
        <is>
          <t>Ultimate Jet Vacations</t>
        </is>
      </c>
      <c r="E26" s="4" t="n">
        <v>0.73</v>
      </c>
      <c r="F26" s="2" t="inlineStr">
        <is>
          <t>Remoto</t>
        </is>
      </c>
      <c r="G26" s="5">
        <f>HYPERLINK("https://co.linkedin.com/jobs/view/helpdesk-technician-at-ultimate-jet-vacations-4460749769", "Ver Vacante")</f>
        <v/>
      </c>
      <c r="H26" s="6" t="inlineStr"/>
      <c r="I26" s="3" t="inlineStr">
        <is>
          <t>[Afinidad: 73/100 - Alta Afinidad] Alta coincidencia técnica en Soporte Técnico de Sistemas, Hardware y Redes. Modalidad: 100% Remoto en Colombia confirmado.</t>
        </is>
      </c>
      <c r="J26" s="2" t="inlineStr">
        <is>
          <t>Nueva</t>
        </is>
      </c>
      <c r="K26" s="3" t="inlineStr"/>
    </row>
    <row r="27" ht="22" customHeight="1">
      <c r="A27" s="2" t="inlineStr">
        <is>
          <t>14b3ce1838b7650b</t>
        </is>
      </c>
      <c r="B27" s="2" t="inlineStr">
        <is>
          <t>2026-09-24 15:23</t>
        </is>
      </c>
      <c r="C27" s="3" t="inlineStr">
        <is>
          <t>Information Technology Help Desk</t>
        </is>
      </c>
      <c r="D27" s="3" t="inlineStr">
        <is>
          <t>Pyramid Consulting, Inc</t>
        </is>
      </c>
      <c r="E27" s="4" t="n">
        <v>0.73</v>
      </c>
      <c r="F27" s="2" t="inlineStr">
        <is>
          <t>Remoto</t>
        </is>
      </c>
      <c r="G27" s="5">
        <f>HYPERLINK("https://co.linkedin.com/jobs/view/information-technology-help-desk-at-pyramid-consulting-inc-4469196776", "Ver Vacante")</f>
        <v/>
      </c>
      <c r="H27" s="6" t="inlineStr"/>
      <c r="I27" s="3" t="inlineStr">
        <is>
          <t>[Afinidad: 73/100 - Alta Afinidad] Alta coincidencia técnica en Soporte Técnico de Sistemas, Hardware y Redes. Modalidad: 100% Remoto en Colombia confirmado.</t>
        </is>
      </c>
      <c r="J27" s="2" t="inlineStr">
        <is>
          <t>Nueva</t>
        </is>
      </c>
      <c r="K27" s="3" t="inlineStr"/>
    </row>
    <row r="28" ht="22" customHeight="1">
      <c r="A28" s="2" t="inlineStr">
        <is>
          <t>db74b26e8ede7d27</t>
        </is>
      </c>
      <c r="B28" s="2" t="inlineStr">
        <is>
          <t>2026-09-24 15:23</t>
        </is>
      </c>
      <c r="C28" s="3" t="inlineStr">
        <is>
          <t>IT Help Desk Specialist</t>
        </is>
      </c>
      <c r="D28" s="3" t="inlineStr">
        <is>
          <t>BraveUS BPO</t>
        </is>
      </c>
      <c r="E28" s="4" t="n">
        <v>0.73</v>
      </c>
      <c r="F28" s="2" t="inlineStr">
        <is>
          <t>Remoto</t>
        </is>
      </c>
      <c r="G28" s="5">
        <f>HYPERLINK("https://co.linkedin.com/jobs/view/it-help-desk-specialist-at-braveus-bpo-4469254526", "Ver Vacante")</f>
        <v/>
      </c>
      <c r="H28" s="6" t="inlineStr"/>
      <c r="I28" s="3" t="inlineStr">
        <is>
          <t>[Afinidad: 73/100 - Alta Afinidad] Alta coincidencia técnica en Soporte Técnico de Sistemas, Hardware y Redes. Modalidad: 100% Remoto en Colombia confirmado.</t>
        </is>
      </c>
      <c r="J28" s="2" t="inlineStr">
        <is>
          <t>Nueva</t>
        </is>
      </c>
      <c r="K28" s="3" t="inlineStr"/>
    </row>
    <row r="29" ht="22" customHeight="1">
      <c r="A29" s="2" t="inlineStr">
        <is>
          <t>ee4217b2fa3d599f</t>
        </is>
      </c>
      <c r="B29" s="2" t="inlineStr">
        <is>
          <t>2026-09-24 15:23</t>
        </is>
      </c>
      <c r="C29" s="3" t="inlineStr">
        <is>
          <t>Help Desk Technician Level 1</t>
        </is>
      </c>
      <c r="D29" s="3" t="inlineStr">
        <is>
          <t>Solvo Global</t>
        </is>
      </c>
      <c r="E29" s="4" t="n">
        <v>0.73</v>
      </c>
      <c r="F29" s="2" t="inlineStr">
        <is>
          <t>Remoto</t>
        </is>
      </c>
      <c r="G29" s="5">
        <f>HYPERLINK("https://co.linkedin.com/jobs/view/help-desk-technician-level-1-at-solvo-global-4461170901", "Ver Vacante")</f>
        <v/>
      </c>
      <c r="H29" s="6" t="inlineStr"/>
      <c r="I29" s="3" t="inlineStr">
        <is>
          <t>[Afinidad: 73/100 - Alta Afinidad] Alta coincidencia técnica en Soporte Técnico de Sistemas, Hardware y Redes. Modalidad: 100% Remoto en Colombia confirmado.</t>
        </is>
      </c>
      <c r="J29" s="2" t="inlineStr">
        <is>
          <t>Nueva</t>
        </is>
      </c>
      <c r="K29" s="3" t="inlineStr"/>
    </row>
    <row r="30" ht="22" customHeight="1">
      <c r="A30" s="2" t="inlineStr">
        <is>
          <t>26463d13fe219ac2</t>
        </is>
      </c>
      <c r="B30" s="2" t="inlineStr">
        <is>
          <t>2026-09-24 15:23</t>
        </is>
      </c>
      <c r="C30" s="3" t="inlineStr">
        <is>
          <t>Consultor/a SAP HelpDesk</t>
        </is>
      </c>
      <c r="D30" s="3" t="inlineStr">
        <is>
          <t>Inetum</t>
        </is>
      </c>
      <c r="E30" s="4" t="n">
        <v>0.73</v>
      </c>
      <c r="F30" s="2" t="inlineStr">
        <is>
          <t>Remoto</t>
        </is>
      </c>
      <c r="G30" s="5">
        <f>HYPERLINK("https://co.linkedin.com/jobs/view/consultor-a-sap-helpdesk-at-inetum-4443947973", "Ver Vacante")</f>
        <v/>
      </c>
      <c r="H30" s="6" t="inlineStr"/>
      <c r="I30" s="3" t="inlineStr">
        <is>
          <t>[Afinidad: 73/100 - Alta Afinidad] Alta coincidencia técnica en Soporte Técnico de Sistemas, Hardware y Redes. Modalidad: 100% Remoto en Colombia confirmado.</t>
        </is>
      </c>
      <c r="J30" s="2" t="inlineStr">
        <is>
          <t>Nueva</t>
        </is>
      </c>
      <c r="K30" s="3" t="inlineStr"/>
    </row>
    <row r="31" ht="22" customHeight="1">
      <c r="A31" s="2" t="inlineStr">
        <is>
          <t>afee514d25ff4533</t>
        </is>
      </c>
      <c r="B31" s="2" t="inlineStr">
        <is>
          <t>2026-09-24 15:37</t>
        </is>
      </c>
      <c r="C31" s="3" t="inlineStr">
        <is>
          <t>Vacante de inclusión laboral - auxiliar de sistemas / mesa de ayuda</t>
        </is>
      </c>
      <c r="D31" s="3" t="inlineStr">
        <is>
          <t>Confidencial</t>
        </is>
      </c>
      <c r="E31" s="4" t="n">
        <v>0.73</v>
      </c>
      <c r="F31" s="2" t="inlineStr">
        <is>
          <t>Remoto</t>
        </is>
      </c>
      <c r="G31" s="5">
        <f>HYPERLINK("https://www.elempleo.com/co/ofertas-trabajo/vacante-de-inclusion-laboral-auxiliar-de-sistemas-mesa-de-ayuda-1886764066", "Ver Vacante")</f>
        <v/>
      </c>
      <c r="H31" s="6" t="inlineStr"/>
      <c r="I31" s="3" t="inlineStr">
        <is>
          <t>[Afinidad: 73/100 - Alta Afinidad] Alta coincidencia técnica en Soporte Técnico de Sistemas, Hardware y Redes. Modalidad: 100% Remoto en Colombia confirmado.</t>
        </is>
      </c>
      <c r="J31" s="2" t="inlineStr">
        <is>
          <t>Nueva</t>
        </is>
      </c>
      <c r="K31" s="3" t="inlineStr"/>
    </row>
    <row r="32" ht="22" customHeight="1">
      <c r="A32" s="2" t="inlineStr">
        <is>
          <t>bf46f38ff92f8468</t>
        </is>
      </c>
      <c r="B32" s="2" t="inlineStr">
        <is>
          <t>2026-09-24 15:37</t>
        </is>
      </c>
      <c r="C32" s="3" t="inlineStr">
        <is>
          <t>Operador de soporte técnico nivel 1</t>
        </is>
      </c>
      <c r="D32" s="3" t="inlineStr">
        <is>
          <t>Cinte Colombia SAS</t>
        </is>
      </c>
      <c r="E32" s="4" t="n">
        <v>0.73</v>
      </c>
      <c r="F32" s="2" t="inlineStr">
        <is>
          <t>Remoto</t>
        </is>
      </c>
      <c r="G32" s="5">
        <f>HYPERLINK("https://www.elempleo.com/co/ofertas-trabajo/operador-de-soporte-tecnico-nivel-1-1886759478", "Ver Vacante")</f>
        <v/>
      </c>
      <c r="H32" s="6" t="inlineStr"/>
      <c r="I32" s="3" t="inlineStr">
        <is>
          <t>[Afinidad: 73/100 - Alta Afinidad] Alta coincidencia técnica en Soporte Técnico de Sistemas, Hardware y Redes. Modalidad: 100% Remoto en Colombia confirmado.</t>
        </is>
      </c>
      <c r="J32" s="2" t="inlineStr">
        <is>
          <t>Nueva</t>
        </is>
      </c>
      <c r="K32" s="3" t="inlineStr"/>
    </row>
    <row r="33" ht="22" customHeight="1">
      <c r="A33" s="2" t="inlineStr">
        <is>
          <t>69c4d327f77f46d2</t>
        </is>
      </c>
      <c r="B33" s="2" t="inlineStr">
        <is>
          <t>2026-09-24 15:37</t>
        </is>
      </c>
      <c r="C33" s="3" t="inlineStr">
        <is>
          <t>Auxiliar de sistemas e infraestructura para trabajar en cota</t>
        </is>
      </c>
      <c r="D33" s="3" t="inlineStr">
        <is>
          <t>ATIEMPO S.A.S</t>
        </is>
      </c>
      <c r="E33" s="4" t="n">
        <v>0.73</v>
      </c>
      <c r="F33" s="2" t="inlineStr">
        <is>
          <t>Remoto</t>
        </is>
      </c>
      <c r="G33" s="5">
        <f>HYPERLINK("https://www.elempleo.com/co/ofertas-trabajo/auxiliar-de-sistemas-e-infraestructura-para-trabajar-en-cota-1886766898", "Ver Vacante")</f>
        <v/>
      </c>
      <c r="H33" s="6" t="inlineStr"/>
      <c r="I33" s="3" t="inlineStr">
        <is>
          <t>[Afinidad: 73/100 - Alta Afinidad] Alta coincidencia técnica en Soporte Técnico de Sistemas, Hardware y Redes. Modalidad: 100% Remoto en Colombia confirmado.</t>
        </is>
      </c>
      <c r="J33" s="2" t="inlineStr">
        <is>
          <t>Nueva</t>
        </is>
      </c>
      <c r="K33" s="3" t="inlineStr"/>
    </row>
    <row r="34" ht="22" customHeight="1">
      <c r="A34" s="2" t="inlineStr">
        <is>
          <t>8ea6294af7e133d9</t>
        </is>
      </c>
      <c r="B34" s="2" t="inlineStr">
        <is>
          <t>2026-09-24 15:37</t>
        </is>
      </c>
      <c r="C34" s="3" t="inlineStr">
        <is>
          <t>Técnico o tecnólogo en sistemas | auxiliar de sistemas e infraestructura - cota</t>
        </is>
      </c>
      <c r="D34" s="3" t="inlineStr">
        <is>
          <t>ATIEMPO S.A.S</t>
        </is>
      </c>
      <c r="E34" s="4" t="n">
        <v>0.73</v>
      </c>
      <c r="F34" s="2" t="inlineStr">
        <is>
          <t>Remoto</t>
        </is>
      </c>
      <c r="G34" s="5">
        <f>HYPERLINK("https://www.elempleo.com/co/ofertas-trabajo/tecnico-o-tecnologo-en-sistemas-auxiliar-de-sistemas-e-infraestructura-cota-1886766903", "Ver Vacante")</f>
        <v/>
      </c>
      <c r="H34" s="6" t="inlineStr"/>
      <c r="I34" s="3" t="inlineStr">
        <is>
          <t>[Afinidad: 73/100 - Alta Afinidad] Alta coincidencia técnica en Soporte Técnico de Sistemas, Hardware y Redes. Modalidad: 100% Remoto en Colombia confirmado.</t>
        </is>
      </c>
      <c r="J34" s="2" t="inlineStr">
        <is>
          <t>Nueva</t>
        </is>
      </c>
      <c r="K34" s="3" t="inlineStr"/>
    </row>
    <row r="35" ht="22" customHeight="1">
      <c r="A35" s="2" t="inlineStr">
        <is>
          <t>0c0fd09d671f3d44</t>
        </is>
      </c>
      <c r="B35" s="2" t="inlineStr">
        <is>
          <t>2026-09-24 15:37</t>
        </is>
      </c>
      <c r="C35" s="3" t="inlineStr">
        <is>
          <t>Agente mesa de ayuda con experiencia</t>
        </is>
      </c>
      <c r="D35" s="3" t="inlineStr">
        <is>
          <t>SONDA</t>
        </is>
      </c>
      <c r="E35" s="4" t="n">
        <v>0.73</v>
      </c>
      <c r="F35" s="2" t="inlineStr">
        <is>
          <t>Remoto</t>
        </is>
      </c>
      <c r="G35" s="5">
        <f>HYPERLINK("https://www.elempleo.com/co/ofertas-trabajo/agente-mesa-de-ayuda-con-experiencia-1886769727", "Ver Vacante")</f>
        <v/>
      </c>
      <c r="H35" s="6" t="inlineStr"/>
      <c r="I35" s="3" t="inlineStr">
        <is>
          <t>[Afinidad: 73/100 - Alta Afinidad] Alta coincidencia técnica en Soporte Técnico de Sistemas, Hardware y Redes. Modalidad: 100% Remoto en Colombia confirmado.</t>
        </is>
      </c>
      <c r="J35" s="2" t="inlineStr">
        <is>
          <t>Nueva</t>
        </is>
      </c>
      <c r="K35" s="3" t="inlineStr"/>
    </row>
    <row r="36" ht="22" customHeight="1">
      <c r="A36" s="2" t="inlineStr">
        <is>
          <t>7abab155924d34a2</t>
        </is>
      </c>
      <c r="B36" s="2" t="inlineStr">
        <is>
          <t>2026-09-24 15:37</t>
        </is>
      </c>
      <c r="C36" s="3" t="inlineStr">
        <is>
          <t>Agente mesa de ayuda</t>
        </is>
      </c>
      <c r="D36" s="3" t="inlineStr">
        <is>
          <t>Confidencial</t>
        </is>
      </c>
      <c r="E36" s="4" t="n">
        <v>0.73</v>
      </c>
      <c r="F36" s="2" t="inlineStr">
        <is>
          <t>Remoto</t>
        </is>
      </c>
      <c r="G36" s="5">
        <f>HYPERLINK("https://www.elempleo.com/co/ofertas-trabajo/agente-mesa-de-ayuda-1886771838", "Ver Vacante")</f>
        <v/>
      </c>
      <c r="H36" s="6" t="inlineStr"/>
      <c r="I36" s="3" t="inlineStr">
        <is>
          <t>[Afinidad: 73/100 - Alta Afinidad] Alta coincidencia técnica en Soporte Técnico de Sistemas, Hardware y Redes. Modalidad: 100% Remoto en Colombia confirmado.</t>
        </is>
      </c>
      <c r="J36" s="2" t="inlineStr">
        <is>
          <t>Nueva</t>
        </is>
      </c>
      <c r="K36" s="3" t="inlineStr"/>
    </row>
    <row r="37" ht="22" customHeight="1">
      <c r="A37" s="2" t="inlineStr">
        <is>
          <t>1c748c123f2775f8</t>
        </is>
      </c>
      <c r="B37" s="2" t="inlineStr">
        <is>
          <t>2026-09-24 15:37</t>
        </is>
      </c>
      <c r="C37" s="3" t="inlineStr">
        <is>
          <t>Agente de mesa de ayuda</t>
        </is>
      </c>
      <c r="D37" s="3" t="inlineStr">
        <is>
          <t>SELCOMP INGENIERÍA SAS</t>
        </is>
      </c>
      <c r="E37" s="4" t="n">
        <v>0.73</v>
      </c>
      <c r="F37" s="2" t="inlineStr">
        <is>
          <t>Remoto</t>
        </is>
      </c>
      <c r="G37" s="5">
        <f>HYPERLINK("https://www.elempleo.com/co/ofertas-trabajo/agente-de-mesa-de-ayuda-1886764458", "Ver Vacante")</f>
        <v/>
      </c>
      <c r="H37" s="6" t="inlineStr"/>
      <c r="I37" s="3" t="inlineStr">
        <is>
          <t>[Afinidad: 73/100 - Alta Afinidad] Alta coincidencia técnica en Soporte Técnico de Sistemas, Hardware y Redes. Modalidad: 100% Remoto en Colombia confirmado.</t>
        </is>
      </c>
      <c r="J37" s="2" t="inlineStr">
        <is>
          <t>Nueva</t>
        </is>
      </c>
      <c r="K37" s="3" t="inlineStr"/>
    </row>
    <row r="38" ht="22" customHeight="1">
      <c r="A38" s="2" t="inlineStr">
        <is>
          <t>c2932440f3be50ff</t>
        </is>
      </c>
      <c r="B38" s="2" t="inlineStr">
        <is>
          <t>2026-09-24 15:37</t>
        </is>
      </c>
      <c r="C38" s="3" t="inlineStr">
        <is>
          <t>Analista mesa de ayuda para tunja</t>
        </is>
      </c>
      <c r="D38" s="3" t="inlineStr">
        <is>
          <t>Gestión de Seguridad Electrónica</t>
        </is>
      </c>
      <c r="E38" s="4" t="n">
        <v>0.73</v>
      </c>
      <c r="F38" s="2" t="inlineStr">
        <is>
          <t>Remoto</t>
        </is>
      </c>
      <c r="G38" s="5">
        <f>HYPERLINK("https://www.elempleo.com/co/ofertas-trabajo/analista-mesa-de-ayuda-para-tunja-1886699884", "Ver Vacante")</f>
        <v/>
      </c>
      <c r="H38" s="6" t="inlineStr"/>
      <c r="I38" s="3" t="inlineStr">
        <is>
          <t>[Afinidad: 73/100 - Alta Afinidad] Alta coincidencia técnica en Soporte Técnico de Sistemas, Hardware y Redes. Modalidad: 100% Remoto en Colombia confirmado.</t>
        </is>
      </c>
      <c r="J38" s="2" t="inlineStr">
        <is>
          <t>Nueva</t>
        </is>
      </c>
      <c r="K38" s="3" t="inlineStr"/>
    </row>
    <row r="39" ht="22" customHeight="1">
      <c r="A39" s="2" t="inlineStr">
        <is>
          <t>0b7f91df03d9708e</t>
        </is>
      </c>
      <c r="B39" s="2" t="inlineStr">
        <is>
          <t>2026-09-24 15:37</t>
        </is>
      </c>
      <c r="C39" s="3" t="inlineStr">
        <is>
          <t>Analista mesa de ayuda</t>
        </is>
      </c>
      <c r="D39" s="3" t="inlineStr">
        <is>
          <t>Confidencial</t>
        </is>
      </c>
      <c r="E39" s="4" t="n">
        <v>0.73</v>
      </c>
      <c r="F39" s="2" t="inlineStr">
        <is>
          <t>Remoto</t>
        </is>
      </c>
      <c r="G39" s="5">
        <f>HYPERLINK("https://www.elempleo.com/co/ofertas-trabajo/analista-mesa-de-ayuda-1886754619", "Ver Vacante")</f>
        <v/>
      </c>
      <c r="H39" s="6" t="inlineStr"/>
      <c r="I39" s="3" t="inlineStr">
        <is>
          <t>[Afinidad: 73/100 - Alta Afinidad] Alta coincidencia técnica en Soporte Técnico de Sistemas, Hardware y Redes. Modalidad: 100% Remoto en Colombia confirmado.</t>
        </is>
      </c>
      <c r="J39" s="2" t="inlineStr">
        <is>
          <t>Nueva</t>
        </is>
      </c>
      <c r="K39" s="3" t="inlineStr"/>
    </row>
    <row r="40" ht="22" customHeight="1">
      <c r="A40" s="2" t="inlineStr">
        <is>
          <t>42a7050c3f06b2ae</t>
        </is>
      </c>
      <c r="B40" s="2" t="inlineStr">
        <is>
          <t>2026-09-24 15:37</t>
        </is>
      </c>
      <c r="C40" s="3" t="inlineStr">
        <is>
          <t>Técnico de mesa de ayuda</t>
        </is>
      </c>
      <c r="D40" s="3" t="inlineStr">
        <is>
          <t>Colsof S.A.S</t>
        </is>
      </c>
      <c r="E40" s="4" t="n">
        <v>0.73</v>
      </c>
      <c r="F40" s="2" t="inlineStr">
        <is>
          <t>Remoto</t>
        </is>
      </c>
      <c r="G40" s="5">
        <f>HYPERLINK("https://www.elempleo.com/co/ofertas-trabajo/tecnico-de-mesa-de-ayuda-1886731992", "Ver Vacante")</f>
        <v/>
      </c>
      <c r="H40" s="6" t="inlineStr"/>
      <c r="I40" s="3" t="inlineStr">
        <is>
          <t>[Afinidad: 73/100 - Alta Afinidad] Alta coincidencia técnica en Soporte Técnico de Sistemas, Hardware y Redes. Modalidad: 100% Remoto en Colombia confirmado.</t>
        </is>
      </c>
      <c r="J40" s="2" t="inlineStr">
        <is>
          <t>Nueva</t>
        </is>
      </c>
      <c r="K40" s="3" t="inlineStr"/>
    </row>
    <row r="41" ht="22" customHeight="1">
      <c r="A41" s="2" t="inlineStr">
        <is>
          <t>e5d77b0fc7770ea2</t>
        </is>
      </c>
      <c r="B41" s="2" t="inlineStr">
        <is>
          <t>2026-09-24 15:37</t>
        </is>
      </c>
      <c r="C41" s="3" t="inlineStr">
        <is>
          <t>Agente de mesa de ayuda</t>
        </is>
      </c>
      <c r="D41" s="3" t="inlineStr">
        <is>
          <t>SONDA</t>
        </is>
      </c>
      <c r="E41" s="4" t="n">
        <v>0.73</v>
      </c>
      <c r="F41" s="2" t="inlineStr">
        <is>
          <t>Remoto</t>
        </is>
      </c>
      <c r="G41" s="5">
        <f>HYPERLINK("https://www.elempleo.com/co/ofertas-trabajo/agente-de-mesa-de-ayuda-1886748231", "Ver Vacante")</f>
        <v/>
      </c>
      <c r="H41" s="6" t="inlineStr"/>
      <c r="I41" s="3" t="inlineStr">
        <is>
          <t>[Afinidad: 73/100 - Alta Afinidad] Alta coincidencia técnica en Soporte Técnico de Sistemas, Hardware y Redes. Modalidad: 100% Remoto en Colombia confirmado.</t>
        </is>
      </c>
      <c r="J41" s="2" t="inlineStr">
        <is>
          <t>Nueva</t>
        </is>
      </c>
      <c r="K41" s="3" t="inlineStr"/>
    </row>
    <row r="42" ht="22" customHeight="1">
      <c r="A42" s="2" t="inlineStr">
        <is>
          <t>8bb787ccf4370a8e</t>
        </is>
      </c>
      <c r="B42" s="2" t="inlineStr">
        <is>
          <t>2026-09-24 15:37</t>
        </is>
      </c>
      <c r="C42" s="3" t="inlineStr">
        <is>
          <t>Mesa de ayuda / bogotá</t>
        </is>
      </c>
      <c r="D42" s="3" t="inlineStr">
        <is>
          <t>Colsof S.A.S</t>
        </is>
      </c>
      <c r="E42" s="4" t="n">
        <v>0.73</v>
      </c>
      <c r="F42" s="2" t="inlineStr">
        <is>
          <t>Remoto</t>
        </is>
      </c>
      <c r="G42" s="5">
        <f>HYPERLINK("https://www.elempleo.com/co/ofertas-trabajo/mesa-de-ayuda-bogota-1886752825", "Ver Vacante")</f>
        <v/>
      </c>
      <c r="H42" s="6" t="inlineStr"/>
      <c r="I42" s="3" t="inlineStr">
        <is>
          <t>[Afinidad: 73/100 - Alta Afinidad] Alta coincidencia técnica en Soporte Técnico de Sistemas, Hardware y Redes. Modalidad: 100% Remoto en Colombia confirmado.</t>
        </is>
      </c>
      <c r="J42" s="2" t="inlineStr">
        <is>
          <t>Nueva</t>
        </is>
      </c>
      <c r="K42" s="3" t="inlineStr"/>
    </row>
    <row r="43" ht="22" customHeight="1">
      <c r="A43" s="2" t="inlineStr">
        <is>
          <t>2c0788a7a3b3417d</t>
        </is>
      </c>
      <c r="B43" s="2" t="inlineStr">
        <is>
          <t>2026-09-24 15:37</t>
        </is>
      </c>
      <c r="C43" s="3" t="inlineStr">
        <is>
          <t>Analista mesa de ayuda nivel 1 / técnico o tecnólogo en sistemas / cota</t>
        </is>
      </c>
      <c r="D43" s="3" t="inlineStr">
        <is>
          <t>IMPRESISTEM S.A.</t>
        </is>
      </c>
      <c r="E43" s="4" t="n">
        <v>0.73</v>
      </c>
      <c r="F43" s="2" t="inlineStr">
        <is>
          <t>Remoto</t>
        </is>
      </c>
      <c r="G43" s="5">
        <f>HYPERLINK("https://www.elempleo.com/co/ofertas-trabajo/analista-mesa-de-ayuda-nivel-1-tecnico-o-tecnologo-en-sistemas-cota-1886757061", "Ver Vacante")</f>
        <v/>
      </c>
      <c r="H43" s="6" t="inlineStr"/>
      <c r="I43" s="3" t="inlineStr">
        <is>
          <t>[Afinidad: 73/100 - Alta Afinidad] Alta coincidencia técnica en Soporte Técnico de Sistemas, Hardware y Redes. Modalidad: 100% Remoto en Colombia confirmado.</t>
        </is>
      </c>
      <c r="J43" s="2" t="inlineStr">
        <is>
          <t>Nueva</t>
        </is>
      </c>
      <c r="K43" s="3" t="inlineStr"/>
    </row>
    <row r="44" ht="22" customHeight="1">
      <c r="A44" s="2" t="inlineStr">
        <is>
          <t>97a1b3f2527f8ce8</t>
        </is>
      </c>
      <c r="B44" s="2" t="inlineStr">
        <is>
          <t>2026-09-24 15:37</t>
        </is>
      </c>
      <c r="C44" s="3" t="inlineStr">
        <is>
          <t>Analista de mesa de ayuda l1 - medellín</t>
        </is>
      </c>
      <c r="D44" s="3" t="inlineStr">
        <is>
          <t>Confidencial</t>
        </is>
      </c>
      <c r="E44" s="4" t="n">
        <v>0.73</v>
      </c>
      <c r="F44" s="2" t="inlineStr">
        <is>
          <t>Remoto</t>
        </is>
      </c>
      <c r="G44" s="5">
        <f>HYPERLINK("https://www.elempleo.com/co/ofertas-trabajo/analista-de-mesa-de-ayuda-l1-medellin-1886747056", "Ver Vacante")</f>
        <v/>
      </c>
      <c r="H44" s="6" t="inlineStr"/>
      <c r="I44" s="3" t="inlineStr">
        <is>
          <t>[Afinidad: 73/100 - Alta Afinidad] Alta coincidencia técnica en Soporte Técnico de Sistemas, Hardware y Redes. Modalidad: 100% Remoto en Colombia confirmado.</t>
        </is>
      </c>
      <c r="J44" s="2" t="inlineStr">
        <is>
          <t>Nueva</t>
        </is>
      </c>
      <c r="K44" s="3" t="inlineStr"/>
    </row>
    <row r="45" ht="22" customHeight="1">
      <c r="A45" s="2" t="inlineStr">
        <is>
          <t>a0df8e7687e7665c</t>
        </is>
      </c>
      <c r="B45" s="2" t="inlineStr">
        <is>
          <t>2026-09-24 15:37</t>
        </is>
      </c>
      <c r="C45" s="3" t="inlineStr">
        <is>
          <t>Agente mesa de ayuda</t>
        </is>
      </c>
      <c r="D45" s="3" t="inlineStr">
        <is>
          <t>Confidencial</t>
        </is>
      </c>
      <c r="E45" s="4" t="n">
        <v>0.73</v>
      </c>
      <c r="F45" s="2" t="inlineStr">
        <is>
          <t>Remoto</t>
        </is>
      </c>
      <c r="G45" s="5">
        <f>HYPERLINK("https://www.elempleo.com/co/ofertas-trabajo/agente-mesa-de-ayuda-tecnologo-o-minimo-6-semestre-de-ingenieria-1886743820", "Ver Vacante")</f>
        <v/>
      </c>
      <c r="H45" s="6" t="inlineStr"/>
      <c r="I45" s="3" t="inlineStr">
        <is>
          <t>[Afinidad: 73/100 - Alta Afinidad] Alta coincidencia técnica en Soporte Técnico de Sistemas, Hardware y Redes. Modalidad: 100% Remoto en Colombia confirmado.</t>
        </is>
      </c>
      <c r="J45" s="2" t="inlineStr">
        <is>
          <t>Nueva</t>
        </is>
      </c>
      <c r="K45" s="3" t="inlineStr"/>
    </row>
    <row r="46" ht="22" customHeight="1">
      <c r="A46" s="2" t="inlineStr">
        <is>
          <t>12aafa5353e0252c</t>
        </is>
      </c>
      <c r="B46" s="2" t="inlineStr">
        <is>
          <t>2026-09-24 15:37</t>
        </is>
      </c>
      <c r="C46" s="3" t="inlineStr">
        <is>
          <t>Técnico de soporte nivel 1 con itil</t>
        </is>
      </c>
      <c r="D46" s="3" t="inlineStr">
        <is>
          <t>Confidencial</t>
        </is>
      </c>
      <c r="E46" s="4" t="n">
        <v>0.73</v>
      </c>
      <c r="F46" s="2" t="inlineStr">
        <is>
          <t>Remoto</t>
        </is>
      </c>
      <c r="G46" s="5">
        <f>HYPERLINK("https://www.elempleo.com/co/ofertas-trabajo/tecnico-de-soporte-nivel-1-con-itil-1886769153", "Ver Vacante")</f>
        <v/>
      </c>
      <c r="H46" s="6" t="inlineStr"/>
      <c r="I46" s="3" t="inlineStr">
        <is>
          <t>[Afinidad: 73/100 - Alta Afinidad] Alta coincidencia técnica en Soporte Técnico de Sistemas, Hardware y Redes. Modalidad: 100% Remoto en Colombia confirmado.</t>
        </is>
      </c>
      <c r="J46" s="2" t="inlineStr">
        <is>
          <t>Nueva</t>
        </is>
      </c>
      <c r="K46" s="3" t="inlineStr"/>
    </row>
    <row r="47" ht="22" customHeight="1">
      <c r="A47" s="2" t="inlineStr">
        <is>
          <t>33bef2c4222966bf</t>
        </is>
      </c>
      <c r="B47" s="2" t="inlineStr">
        <is>
          <t>2026-09-24 15:37</t>
        </is>
      </c>
      <c r="C47" s="3" t="inlineStr">
        <is>
          <t>Gestor técnico nivel 1</t>
        </is>
      </c>
      <c r="D47" s="3" t="inlineStr">
        <is>
          <t>Gestión de Seguridad Electrónica</t>
        </is>
      </c>
      <c r="E47" s="4" t="n">
        <v>0.73</v>
      </c>
      <c r="F47" s="2" t="inlineStr">
        <is>
          <t>Remoto</t>
        </is>
      </c>
      <c r="G47" s="5">
        <f>HYPERLINK("https://www.elempleo.com/co/ofertas-trabajo/gestor-tecnico-nivel-1-soporte-ti-tunja-1886700537", "Ver Vacante")</f>
        <v/>
      </c>
      <c r="H47" s="6" t="inlineStr"/>
      <c r="I47" s="3" t="inlineStr">
        <is>
          <t>[Afinidad: 73/100 - Alta Afinidad] Alta coincidencia técnica en Soporte Técnico de Sistemas, Hardware y Redes. Modalidad: 100% Remoto en Colombia confirmado.</t>
        </is>
      </c>
      <c r="J47" s="2" t="inlineStr">
        <is>
          <t>Nueva</t>
        </is>
      </c>
      <c r="K47" s="3" t="inlineStr"/>
    </row>
    <row r="48" ht="22" customHeight="1">
      <c r="A48" s="2" t="inlineStr">
        <is>
          <t>759c05a3a2a45bb7</t>
        </is>
      </c>
      <c r="B48" s="2" t="inlineStr">
        <is>
          <t>2026-09-24 15:37</t>
        </is>
      </c>
      <c r="C48" s="3" t="inlineStr">
        <is>
          <t>Técnico de soporte de redes y datacenter - bogotá</t>
        </is>
      </c>
      <c r="D48" s="3" t="inlineStr">
        <is>
          <t>TALYCAP GLOBAL SAS</t>
        </is>
      </c>
      <c r="E48" s="4" t="n">
        <v>0.73</v>
      </c>
      <c r="F48" s="2" t="inlineStr">
        <is>
          <t>Remoto</t>
        </is>
      </c>
      <c r="G48" s="5">
        <f>HYPERLINK("https://www.elempleo.com/co/ofertas-trabajo/tecnico-de-soporte-de-redes-y-datacenter-bogota-1886765274", "Ver Vacante")</f>
        <v/>
      </c>
      <c r="H48" s="6" t="inlineStr"/>
      <c r="I48" s="3" t="inlineStr">
        <is>
          <t>[Afinidad: 73/100 - Alta Afinidad] Alta coincidencia técnica en Soporte Técnico de Sistemas, Hardware y Redes. Modalidad: 100% Remoto en Colombia confirmado.</t>
        </is>
      </c>
      <c r="J48" s="2" t="inlineStr">
        <is>
          <t>Nueva</t>
        </is>
      </c>
      <c r="K48" s="3" t="inlineStr"/>
    </row>
    <row r="49" ht="22" customHeight="1">
      <c r="A49" s="2" t="inlineStr">
        <is>
          <t>5d9bd5e6584b63b9</t>
        </is>
      </c>
      <c r="B49" s="2" t="inlineStr">
        <is>
          <t>2026-09-24 15:37</t>
        </is>
      </c>
      <c r="C49" s="3" t="inlineStr">
        <is>
          <t>Technical Support Help Desk</t>
        </is>
      </c>
      <c r="D49" s="3" t="inlineStr">
        <is>
          <t>Sutherland</t>
        </is>
      </c>
      <c r="E49" s="4" t="n">
        <v>0.73</v>
      </c>
      <c r="F49" s="2" t="inlineStr">
        <is>
          <t>Remoto</t>
        </is>
      </c>
      <c r="G49" s="5">
        <f>HYPERLINK("https://co.linkedin.com/jobs/view/technical-support-help-desk-at-sutherland-4466891252", "Ver Vacante")</f>
        <v/>
      </c>
      <c r="H49" s="6" t="inlineStr"/>
      <c r="I49" s="3" t="inlineStr">
        <is>
          <t>[Afinidad: 73/100 - Alta Afinidad] Alta coincidencia técnica en Soporte Técnico de Sistemas, Hardware y Redes. Modalidad: 100% Remoto en Colombia confirmado.</t>
        </is>
      </c>
      <c r="J49" s="2" t="inlineStr">
        <is>
          <t>Nueva</t>
        </is>
      </c>
      <c r="K49" s="3" t="inlineStr"/>
    </row>
    <row r="50" ht="22" customHeight="1">
      <c r="A50" s="2" t="inlineStr">
        <is>
          <t>7652a72b60c5253a</t>
        </is>
      </c>
      <c r="B50" s="2" t="inlineStr">
        <is>
          <t>2026-09-24 15:37</t>
        </is>
      </c>
      <c r="C50" s="3" t="inlineStr">
        <is>
          <t>Helpdesk &amp; Customer Suceess Operation Agent</t>
        </is>
      </c>
      <c r="D50" s="3" t="inlineStr">
        <is>
          <t>Regnology</t>
        </is>
      </c>
      <c r="E50" s="4" t="n">
        <v>0.73</v>
      </c>
      <c r="F50" s="2" t="inlineStr">
        <is>
          <t>Remoto</t>
        </is>
      </c>
      <c r="G50" s="5">
        <f>HYPERLINK("https://co.linkedin.com/jobs/view/helpdesk-customer-suceess-operation-agent-at-regnology-4463373207", "Ver Vacante")</f>
        <v/>
      </c>
      <c r="H50" s="6" t="inlineStr"/>
      <c r="I50" s="3" t="inlineStr">
        <is>
          <t>[Afinidad: 73/100 - Alta Afinidad] Alta coincidencia técnica en Soporte Técnico de Sistemas, Hardware y Redes. Modalidad: 100% Remoto en Colombia confirmado.</t>
        </is>
      </c>
      <c r="J50" s="2" t="inlineStr">
        <is>
          <t>Nueva</t>
        </is>
      </c>
      <c r="K50" s="3" t="inlineStr"/>
    </row>
    <row r="51" ht="22" customHeight="1">
      <c r="A51" s="2" t="inlineStr">
        <is>
          <t>205fbfca7a1a7d27</t>
        </is>
      </c>
      <c r="B51" s="2" t="inlineStr">
        <is>
          <t>2026-09-26 15:03</t>
        </is>
      </c>
      <c r="C51" s="3" t="inlineStr">
        <is>
          <t>Urg instrumentador quirúrgico - soporte técnico - bogotá</t>
        </is>
      </c>
      <c r="D51" s="3" t="inlineStr">
        <is>
          <t>MEDIREX BIC SAS</t>
        </is>
      </c>
      <c r="E51" s="4" t="n">
        <v>0.73</v>
      </c>
      <c r="F51" s="2" t="inlineStr">
        <is>
          <t>Remoto</t>
        </is>
      </c>
      <c r="G51" s="5">
        <f>HYPERLINK("https://www.elempleo.com/co/ofertas-trabajo/urg-instrumentador-quirurgico-soporte-tecnico-bogota-1886772422", "Ver Vacante")</f>
        <v/>
      </c>
      <c r="H51" s="6" t="inlineStr"/>
      <c r="I51" s="3" t="inlineStr">
        <is>
          <t>[Afinidad: 73/100 - Alta Afinidad] Alta coincidencia técnica en Soporte Técnico de Sistemas, Hardware y Redes. Modalidad: 100% Remoto en Colombia confirmado.</t>
        </is>
      </c>
      <c r="J51" s="2" t="inlineStr">
        <is>
          <t>Nueva</t>
        </is>
      </c>
      <c r="K51" s="3" t="inlineStr"/>
    </row>
    <row r="52" ht="22" customHeight="1">
      <c r="A52" s="2" t="inlineStr">
        <is>
          <t>eea27bb5aa0bd8c4</t>
        </is>
      </c>
      <c r="B52" s="2" t="inlineStr">
        <is>
          <t>2026-09-26 15:03</t>
        </is>
      </c>
      <c r="C52" s="3" t="inlineStr">
        <is>
          <t>Soporte técnico nivel 1 ccna vigente medellín</t>
        </is>
      </c>
      <c r="D52" s="3" t="inlineStr">
        <is>
          <t>MANPOWER</t>
        </is>
      </c>
      <c r="E52" s="4" t="n">
        <v>0.73</v>
      </c>
      <c r="F52" s="2" t="inlineStr">
        <is>
          <t>Remoto</t>
        </is>
      </c>
      <c r="G52" s="5">
        <f>HYPERLINK("https://www.elempleo.com/co/ofertas-trabajo/soporte-tecnico-nivel-1-ccna-vigente-medellin-1886755519", "Ver Vacante")</f>
        <v/>
      </c>
      <c r="H52" s="6" t="inlineStr"/>
      <c r="I52" s="3" t="inlineStr">
        <is>
          <t>[Afinidad: 73/100 - Alta Afinidad] Alta coincidencia técnica en Soporte Técnico de Sistemas, Hardware y Redes. Modalidad: 100% Remoto en Colombia confirmado.</t>
        </is>
      </c>
      <c r="J52" s="2" t="inlineStr">
        <is>
          <t>Nueva</t>
        </is>
      </c>
      <c r="K52" s="3" t="inlineStr"/>
    </row>
    <row r="53" ht="22" customHeight="1">
      <c r="A53" s="2" t="inlineStr">
        <is>
          <t>da3496c7c6f99d83</t>
        </is>
      </c>
      <c r="B53" s="2" t="inlineStr">
        <is>
          <t>2026-09-27 15:41</t>
        </is>
      </c>
      <c r="C53" s="3" t="inlineStr">
        <is>
          <t>Aprendiz de Soporte Técnico TI – Medellín</t>
        </is>
      </c>
      <c r="D53" s="3" t="inlineStr">
        <is>
          <t>Agencia de Empleo de Comfenalco Antioquia</t>
        </is>
      </c>
      <c r="E53" s="4" t="n">
        <v>0.73</v>
      </c>
      <c r="F53" s="2" t="inlineStr">
        <is>
          <t>Remoto</t>
        </is>
      </c>
      <c r="G53" s="5">
        <f>HYPERLINK("https://co.computrabajo.com/ofertas-de-trabajo/oferta-de-trabajo-de-aprendiz-de-soporte-tecnico-ti-medellin-en-medellin-1A050E5D73BED18C61373E686DCF3405", "Ver Vacante")</f>
        <v/>
      </c>
      <c r="H53" s="6" t="inlineStr">
        <is>
          <t>$ 2.000.000,00 (Mensual)</t>
        </is>
      </c>
      <c r="I53" s="3" t="inlineStr">
        <is>
          <t>[Afinidad: 73/100 - Alta Afinidad] Alta coincidencia técnica en Soporte Técnico de Sistemas, Hardware y Redes. Modalidad: 100% Remoto en Colombia confirmado.</t>
        </is>
      </c>
      <c r="J53" s="2" t="inlineStr">
        <is>
          <t>Nueva</t>
        </is>
      </c>
      <c r="K53" s="3" t="inlineStr"/>
    </row>
    <row r="54" ht="22" customHeight="1">
      <c r="A54" s="2" t="inlineStr">
        <is>
          <t>0088d835c7532e43</t>
        </is>
      </c>
      <c r="B54" s="2" t="inlineStr">
        <is>
          <t>2026-09-27 15:41</t>
        </is>
      </c>
      <c r="C54" s="3" t="inlineStr">
        <is>
          <t>Analista de Soporte Técnico y Mesa de Ayuda TI</t>
        </is>
      </c>
      <c r="D54" s="3" t="inlineStr">
        <is>
          <t>E-GLOBAL S.A.</t>
        </is>
      </c>
      <c r="E54" s="4" t="n">
        <v>0.73</v>
      </c>
      <c r="F54" s="2" t="inlineStr">
        <is>
          <t>Remoto</t>
        </is>
      </c>
      <c r="G54" s="5">
        <f>HYPERLINK("https://co.computrabajo.com/ofertas-de-trabajo/oferta-de-trabajo-de-analista-de-soporte-tecnico-y-mesa-de-ayuda-ti-en-medellin-3C800868C0F5959B61373E686DCF3405", "Ver Vacante")</f>
        <v/>
      </c>
      <c r="H54" s="6" t="inlineStr">
        <is>
          <t>$ 2.000.000,00 (Mensual)</t>
        </is>
      </c>
      <c r="I54" s="3" t="inlineStr">
        <is>
          <t>[Afinidad: 73/100 - Alta Afinidad] Alta coincidencia técnica en Soporte Técnico de Sistemas, Hardware y Redes. Modalidad: 100% Remoto en Colombia confirmado.</t>
        </is>
      </c>
      <c r="J54" s="2" t="inlineStr">
        <is>
          <t>Nueva</t>
        </is>
      </c>
      <c r="K54" s="3" t="inlineStr"/>
    </row>
    <row r="55" ht="22" customHeight="1">
      <c r="A55" s="2" t="inlineStr">
        <is>
          <t>0084204adfde29e6</t>
        </is>
      </c>
      <c r="B55" s="2" t="inlineStr">
        <is>
          <t>2026-09-27 15:41</t>
        </is>
      </c>
      <c r="C55" s="3" t="inlineStr">
        <is>
          <t>Analista de Soporte Técnico Español y Portugués</t>
        </is>
      </c>
      <c r="D55" s="3" t="inlineStr">
        <is>
          <t>Importante empresa del sector</t>
        </is>
      </c>
      <c r="E55" s="4" t="n">
        <v>0.73</v>
      </c>
      <c r="F55" s="2" t="inlineStr">
        <is>
          <t>Remoto</t>
        </is>
      </c>
      <c r="G55" s="5">
        <f>HYPERLINK("https://co.computrabajo.com/ofertas-de-trabajo/oferta-de-trabajo-de-analista-de-soporte-tecnico-espanol-y-portugues-en-bogota-dc-0849D1C40E1F247D61373E686DCF3405", "Ver Vacante")</f>
        <v/>
      </c>
      <c r="H55" s="6" t="inlineStr">
        <is>
          <t>Presencial y remoto</t>
        </is>
      </c>
      <c r="I55" s="3" t="inlineStr">
        <is>
          <t>[Afinidad: 73/100 - Alta Afinidad] Alta coincidencia técnica en Soporte Técnico de Sistemas, Hardware y Redes. Modalidad: 100% Remoto en Colombia confirmado.</t>
        </is>
      </c>
      <c r="J55" s="2" t="inlineStr">
        <is>
          <t>Nueva</t>
        </is>
      </c>
      <c r="K55" s="3" t="inlineStr"/>
    </row>
    <row r="56" ht="22" customHeight="1">
      <c r="A56" s="2" t="inlineStr">
        <is>
          <t>6b4799591cfb3cf7</t>
        </is>
      </c>
      <c r="B56" s="2" t="inlineStr">
        <is>
          <t>2026-09-27 15:41</t>
        </is>
      </c>
      <c r="C56" s="3" t="inlineStr">
        <is>
          <t>Soporte Tecnico</t>
        </is>
      </c>
      <c r="D56" s="3" t="inlineStr">
        <is>
          <t>INNOVASER SOLUCIONES SAS</t>
        </is>
      </c>
      <c r="E56" s="4" t="n">
        <v>0.73</v>
      </c>
      <c r="F56" s="2" t="inlineStr">
        <is>
          <t>Remoto</t>
        </is>
      </c>
      <c r="G56" s="5">
        <f>HYPERLINK("https://co.computrabajo.com/ofertas-de-trabajo/oferta-de-trabajo-de-soporte-tecnico-en-tocancipa-239FC7D9D20BBA5E61373E686DCF3405", "Ver Vacante")</f>
        <v/>
      </c>
      <c r="H56" s="6" t="inlineStr">
        <is>
          <t>$ 1.750.905,00 (Mensual)</t>
        </is>
      </c>
      <c r="I56" s="3" t="inlineStr">
        <is>
          <t>[Afinidad: 73/100 - Alta Afinidad] Alta coincidencia técnica en Soporte Técnico de Sistemas, Hardware y Redes. Modalidad: 100% Remoto en Colombia confirmado.</t>
        </is>
      </c>
      <c r="J56" s="2" t="inlineStr">
        <is>
          <t>Nueva</t>
        </is>
      </c>
      <c r="K56" s="3" t="inlineStr"/>
    </row>
    <row r="57" ht="22" customHeight="1">
      <c r="A57" s="2" t="inlineStr">
        <is>
          <t>150b576d34126c5c</t>
        </is>
      </c>
      <c r="B57" s="2" t="inlineStr">
        <is>
          <t>2026-09-30 16:49</t>
        </is>
      </c>
      <c r="C57" s="3" t="inlineStr">
        <is>
          <t>Analista de Soporte Técnico e Implementación</t>
        </is>
      </c>
      <c r="D57" s="3" t="inlineStr">
        <is>
          <t>Manpower Group Colombia</t>
        </is>
      </c>
      <c r="E57" s="4" t="n">
        <v>0.73</v>
      </c>
      <c r="F57" s="2" t="inlineStr">
        <is>
          <t>Remoto</t>
        </is>
      </c>
      <c r="G57" s="5">
        <f>HYPERLINK("https://co.computrabajo.com/ofertas-de-trabajo/oferta-de-trabajo-de-analista-de-soporte-tecnico-e-implementacion-experiencia-deseable-en-plataformas-educativas-en-bogota-dc-429E2775FD281A5261373E686DCF3405", "Ver Vacante")</f>
        <v/>
      </c>
      <c r="H57" s="6" t="inlineStr">
        <is>
          <t>$ 2.250.000,00 (Mensual)</t>
        </is>
      </c>
      <c r="I57" s="3" t="inlineStr">
        <is>
          <t>[Afinidad: 73/100 - Alta Afinidad] Alta coincidencia técnica en Soporte Técnico de Sistemas, Hardware y Redes. Modalidad: 100% Remoto en Colombia confirmado.</t>
        </is>
      </c>
      <c r="J57" s="2" t="inlineStr">
        <is>
          <t>Nueva</t>
        </is>
      </c>
      <c r="K57" s="3" t="inlineStr"/>
    </row>
    <row r="58" ht="22" customHeight="1">
      <c r="A58" s="2" t="inlineStr">
        <is>
          <t>343718cc539a53c2</t>
        </is>
      </c>
      <c r="B58" s="2" t="inlineStr">
        <is>
          <t>2026-10-01 17:26</t>
        </is>
      </c>
      <c r="C58" s="3" t="inlineStr">
        <is>
          <t>Analista de Soporte Tecnico Cubrimiento de Licencia</t>
        </is>
      </c>
      <c r="D58" s="3" t="inlineStr">
        <is>
          <t>ZEMSANIA COLOMBIA SAS</t>
        </is>
      </c>
      <c r="E58" s="4" t="n">
        <v>0.73</v>
      </c>
      <c r="F58" s="2" t="inlineStr">
        <is>
          <t>Remoto</t>
        </is>
      </c>
      <c r="G58" s="5">
        <f>HYPERLINK("https://co.computrabajo.com/ofertas-de-trabajo/oferta-de-trabajo-de-analista-de-soporte-tecnico-cubrimiento-de-licencia-remoto-en-bogota-dc-55EB665BAC5F3EB161373E686DCF3405", "Ver Vacante")</f>
        <v/>
      </c>
      <c r="H58" s="6" t="inlineStr">
        <is>
          <t>Remoto</t>
        </is>
      </c>
      <c r="I58" s="3" t="inlineStr">
        <is>
          <t>[Afinidad: 73/100 - Alta Afinidad] Alta coincidencia técnica en Soporte Técnico de Sistemas, Hardware y Redes. Modalidad: 100% Remoto en Colombia confirmado.</t>
        </is>
      </c>
      <c r="J58" s="2" t="inlineStr">
        <is>
          <t>Nueva</t>
        </is>
      </c>
      <c r="K58" s="3" t="inlineStr"/>
    </row>
    <row r="59" ht="22" customHeight="1">
      <c r="A59" s="2" t="inlineStr">
        <is>
          <t>d36873ab6ad37d17</t>
        </is>
      </c>
      <c r="B59" s="2" t="inlineStr">
        <is>
          <t>2026-10-01 17:26</t>
        </is>
      </c>
      <c r="C59" s="3" t="inlineStr">
        <is>
          <t>Analista de Soporte Técnico y Mesa de Ayuda TI</t>
        </is>
      </c>
      <c r="D59" s="3" t="inlineStr">
        <is>
          <t>E-GLOBAL S.A.</t>
        </is>
      </c>
      <c r="E59" s="4" t="n">
        <v>0.73</v>
      </c>
      <c r="F59" s="2" t="inlineStr">
        <is>
          <t>Remoto</t>
        </is>
      </c>
      <c r="G59" s="5">
        <f>HYPERLINK("https://co.computrabajo.com/ofertas-de-trabajo/oferta-de-trabajo-de-analista-de-soporte-tecnico-y-mesa-de-ayuda-ti-en-medellin-2D6021D92F3B61C461373E686DCF3405", "Ver Vacante")</f>
        <v/>
      </c>
      <c r="H59" s="6" t="inlineStr">
        <is>
          <t>$ 2.000.000,00 (Mensual)</t>
        </is>
      </c>
      <c r="I59" s="3" t="inlineStr">
        <is>
          <t>[Afinidad: 73/100 - Alta Afinidad] Alta coincidencia técnica en Soporte Técnico de Sistemas, Hardware y Redes. Modalidad: 100% Remoto en Colombia confirmado.</t>
        </is>
      </c>
      <c r="J59" s="2" t="inlineStr">
        <is>
          <t>Nueva</t>
        </is>
      </c>
      <c r="K59" s="3" t="inlineStr"/>
    </row>
    <row r="60" ht="22" customHeight="1">
      <c r="A60" s="2" t="inlineStr">
        <is>
          <t>21bd61491ee26e9f</t>
        </is>
      </c>
      <c r="B60" s="2" t="inlineStr">
        <is>
          <t>2026-10-05 19:45</t>
        </is>
      </c>
      <c r="C60" s="3" t="inlineStr">
        <is>
          <t>Agente de Service Desk Mesa de Ayuda – Soporte Técnico</t>
        </is>
      </c>
      <c r="D60" s="3" t="inlineStr">
        <is>
          <t>Redes Humanas</t>
        </is>
      </c>
      <c r="E60" s="4" t="n">
        <v>0.73</v>
      </c>
      <c r="F60" s="2" t="inlineStr">
        <is>
          <t>Remoto</t>
        </is>
      </c>
      <c r="G60" s="5">
        <f>HYPERLINK("https://co.computrabajo.com/ofertas-de-trabajo/oferta-de-trabajo-de-agente-de-service-desk-mesa-de-ayuda-soporte-tecnico-en-bogota-dc-B1FB577FEE65D70B61373E686DCF3405", "Ver Vacante")</f>
        <v/>
      </c>
      <c r="H60" s="6" t="inlineStr">
        <is>
          <t>$ 1.750.905,00 (Mensual)</t>
        </is>
      </c>
      <c r="I60" s="3" t="inlineStr">
        <is>
          <t>[Afinidad: 73/100 - Alta Afinidad] Alta coincidencia técnica en Soporte Técnico de Sistemas, Hardware y Redes. Modalidad: 100% Remoto en Colombia confirmado.</t>
        </is>
      </c>
      <c r="J60" s="2" t="inlineStr">
        <is>
          <t>Nueva</t>
        </is>
      </c>
      <c r="K60" s="3" t="inlineStr"/>
    </row>
    <row r="61" ht="22" customHeight="1">
      <c r="A61" s="2" t="inlineStr">
        <is>
          <t>771146d163019cc0</t>
        </is>
      </c>
      <c r="B61" s="2" t="inlineStr">
        <is>
          <t>2026-10-07 17:50</t>
        </is>
      </c>
      <c r="C61" s="3" t="inlineStr">
        <is>
          <t>Soporte tecnico</t>
        </is>
      </c>
      <c r="D61" s="3" t="inlineStr">
        <is>
          <t>AGENCIA DE EMPLEO COLSUBSIDIO</t>
        </is>
      </c>
      <c r="E61" s="4" t="n">
        <v>0.73</v>
      </c>
      <c r="F61" s="2" t="inlineStr">
        <is>
          <t>Remoto</t>
        </is>
      </c>
      <c r="G61" s="5">
        <f>HYPERLINK("https://www.elempleo.com/co/ofertas-trabajo/soporte-tecnico-1886776352", "Ver Vacante")</f>
        <v/>
      </c>
      <c r="H61" s="6" t="inlineStr"/>
      <c r="I61" s="3" t="inlineStr">
        <is>
          <t>[Afinidad: 73/100 - Alta Afinidad] Alta coincidencia técnica en Soporte Técnico de Sistemas, Hardware y Redes. Modalidad: 100% Remoto en Colombia confirmado.</t>
        </is>
      </c>
      <c r="J61" s="2" t="inlineStr">
        <is>
          <t>Nueva</t>
        </is>
      </c>
      <c r="K61" s="3" t="inlineStr"/>
    </row>
    <row r="62" ht="22" customHeight="1">
      <c r="A62" s="2" t="inlineStr">
        <is>
          <t>625a5609a531ab02</t>
        </is>
      </c>
      <c r="B62" s="2" t="inlineStr">
        <is>
          <t>2026-10-12 20:17</t>
        </is>
      </c>
      <c r="C62" s="3" t="inlineStr">
        <is>
          <t>Soporte técnico</t>
        </is>
      </c>
      <c r="D62" s="3" t="inlineStr">
        <is>
          <t>Méderi</t>
        </is>
      </c>
      <c r="E62" s="4" t="n">
        <v>0.73</v>
      </c>
      <c r="F62" s="2" t="inlineStr">
        <is>
          <t>Remoto</t>
        </is>
      </c>
      <c r="G62" s="5">
        <f>HYPERLINK("https://www.elempleo.com/co/ofertas-trabajo/soporte-tecnico-1886774861", "Ver Vacante")</f>
        <v/>
      </c>
      <c r="H62" s="6" t="inlineStr"/>
      <c r="I62" s="3" t="inlineStr">
        <is>
          <t>[Afinidad: 73/100 - Alta Afinidad] Alta coincidencia técnica en Soporte Técnico de Sistemas, Hardware y Redes. Modalidad: 100% Remoto en Colombia confirmado.</t>
        </is>
      </c>
      <c r="J62" s="2" t="inlineStr">
        <is>
          <t>Nueva</t>
        </is>
      </c>
      <c r="K62" s="3" t="inlineStr"/>
    </row>
    <row r="63" ht="22" customHeight="1">
      <c r="A63" s="2" t="inlineStr">
        <is>
          <t>1495b0203ce51c84</t>
        </is>
      </c>
      <c r="B63" s="2" t="inlineStr">
        <is>
          <t>2026-10-16 15:22</t>
        </is>
      </c>
      <c r="C63" s="3" t="inlineStr">
        <is>
          <t>Analista de soporte técnico TI</t>
        </is>
      </c>
      <c r="D63" s="3" t="inlineStr">
        <is>
          <t>Salesland Colombia</t>
        </is>
      </c>
      <c r="E63" s="4" t="n">
        <v>0.73</v>
      </c>
      <c r="F63" s="2" t="inlineStr">
        <is>
          <t>Remoto</t>
        </is>
      </c>
      <c r="G63" s="5">
        <f>HYPERLINK("https://co.computrabajo.com/ofertas-de-trabajo/oferta-de-trabajo-de-analista-de-soporte-tecnico-ti-en-bogota-dc-AB1F1A0EC252EFA061373E686DCF3405", "Ver Vacante")</f>
        <v/>
      </c>
      <c r="H63" s="6" t="inlineStr">
        <is>
          <t>$ 3.600.000,00 (Mensual)</t>
        </is>
      </c>
      <c r="I63" s="3" t="inlineStr">
        <is>
          <t>[Afinidad: 73/100 - Alta Afinidad] Alta coincidencia técnica en Soporte Técnico de Sistemas, Hardware y Redes. Modalidad: 100% Remoto en Colombia confirmado.</t>
        </is>
      </c>
      <c r="J63" s="2" t="inlineStr">
        <is>
          <t>Nueva</t>
        </is>
      </c>
      <c r="K63" s="3" t="inlineStr"/>
    </row>
    <row r="64" ht="22" customHeight="1">
      <c r="A64" s="2" t="inlineStr">
        <is>
          <t>77ab2968500ab26e</t>
        </is>
      </c>
      <c r="B64" s="2" t="inlineStr">
        <is>
          <t>2026-10-16 15:22</t>
        </is>
      </c>
      <c r="C64" s="3" t="inlineStr">
        <is>
          <t>Auxiliar de Soporte Técnico – Equipos y Dispositivos Móviles</t>
        </is>
      </c>
      <c r="D64" s="3" t="inlineStr">
        <is>
          <t>Nases EST</t>
        </is>
      </c>
      <c r="E64" s="4" t="n">
        <v>0.73</v>
      </c>
      <c r="F64" s="2" t="inlineStr">
        <is>
          <t>Remoto</t>
        </is>
      </c>
      <c r="G64" s="5">
        <f>HYPERLINK("https://co.computrabajo.com/ofertas-de-trabajo/oferta-de-trabajo-de-auxiliar-de-soporte-tecnico-equipos-y-dispositivos-moviles-multinacional-de-consumo-masivo-en-bogota-dc-4F6AAF66DBFB586861373E686DCF3405", "Ver Vacante")</f>
        <v/>
      </c>
      <c r="H64" s="6" t="inlineStr">
        <is>
          <t>$ 2.573.000,00 (Mensual)</t>
        </is>
      </c>
      <c r="I64" s="3" t="inlineStr">
        <is>
          <t>[Afinidad: 73/100 - Alta Afinidad] Alta coincidencia técnica en Soporte Técnico de Sistemas, Hardware y Redes. Modalidad: 100% Remoto en Colombia confirmado.</t>
        </is>
      </c>
      <c r="J64" s="2" t="inlineStr">
        <is>
          <t>Nueva</t>
        </is>
      </c>
      <c r="K64" s="3" t="inlineStr"/>
    </row>
    <row r="65" ht="22" customHeight="1">
      <c r="A65" s="2" t="inlineStr">
        <is>
          <t>d391690839cf39de</t>
        </is>
      </c>
      <c r="B65" s="2" t="inlineStr">
        <is>
          <t>2026-10-16 15:22</t>
        </is>
      </c>
      <c r="C65" s="3" t="inlineStr">
        <is>
          <t>Analista de Soporte Técnico y Mesa de Ayuda TI</t>
        </is>
      </c>
      <c r="D65" s="3" t="inlineStr">
        <is>
          <t>E-GLOBAL S.A.</t>
        </is>
      </c>
      <c r="E65" s="4" t="n">
        <v>0.73</v>
      </c>
      <c r="F65" s="2" t="inlineStr">
        <is>
          <t>Remoto</t>
        </is>
      </c>
      <c r="G65" s="5">
        <f>HYPERLINK("https://co.computrabajo.com/ofertas-de-trabajo/oferta-de-trabajo-de-analista-de-soporte-tecnico-y-mesa-de-ayuda-ti-en-medellin-1DDB06FA36E0C3B361373E686DCF3405", "Ver Vacante")</f>
        <v/>
      </c>
      <c r="H65" s="6" t="inlineStr">
        <is>
          <t>$ 2.101.215,00 (Mensual)</t>
        </is>
      </c>
      <c r="I65" s="3" t="inlineStr">
        <is>
          <t>[Afinidad: 73/100 - Alta Afinidad] Alta coincidencia técnica en Soporte Técnico de Sistemas, Hardware y Redes. Modalidad: 100% Remoto en Colombia confirmado.</t>
        </is>
      </c>
      <c r="J65" s="2" t="inlineStr">
        <is>
          <t>Nueva</t>
        </is>
      </c>
      <c r="K65" s="3" t="inlineStr"/>
    </row>
    <row r="66" ht="22" customHeight="1">
      <c r="A66" s="2" t="inlineStr">
        <is>
          <t>92dec0af0aaf5cbf</t>
        </is>
      </c>
      <c r="B66" s="2" t="inlineStr">
        <is>
          <t>2026-10-16 15:22</t>
        </is>
      </c>
      <c r="C66" s="3" t="inlineStr">
        <is>
          <t>Agente de soporte técnico</t>
        </is>
      </c>
      <c r="D66" s="3" t="inlineStr">
        <is>
          <t>SUMMAR PRODUCTIVIDAD S.A.S</t>
        </is>
      </c>
      <c r="E66" s="4" t="n">
        <v>0.73</v>
      </c>
      <c r="F66" s="2" t="inlineStr">
        <is>
          <t>Remoto</t>
        </is>
      </c>
      <c r="G66" s="5">
        <f>HYPERLINK("https://www.elempleo.com/co/ofertas-trabajo/agente-de-soporte-tecnico-1886779162", "Ver Vacante")</f>
        <v/>
      </c>
      <c r="H66" s="6" t="inlineStr"/>
      <c r="I66" s="3" t="inlineStr">
        <is>
          <t>[Afinidad: 73/100 - Alta Afinidad] Alta coincidencia técnica en Soporte Técnico de Sistemas, Hardware y Redes. Modalidad: 100% Remoto en Colombia confirmado.</t>
        </is>
      </c>
      <c r="J66" s="2" t="inlineStr">
        <is>
          <t>Nueva</t>
        </is>
      </c>
      <c r="K66" s="3" t="inlineStr"/>
    </row>
    <row r="67" ht="22" customHeight="1">
      <c r="A67" s="2" t="inlineStr">
        <is>
          <t>048cfb2a38b9d482</t>
        </is>
      </c>
      <c r="B67" s="2" t="inlineStr">
        <is>
          <t>2026-10-19 17:30</t>
        </is>
      </c>
      <c r="C67" s="3" t="inlineStr">
        <is>
          <t>Buscamos Asesores de Soporte Técnico // Teletrabajo</t>
        </is>
      </c>
      <c r="D67" s="3" t="inlineStr">
        <is>
          <t>emtelco</t>
        </is>
      </c>
      <c r="E67" s="4" t="n">
        <v>0.73</v>
      </c>
      <c r="F67" s="2" t="inlineStr">
        <is>
          <t>Remoto</t>
        </is>
      </c>
      <c r="G67" s="5">
        <f>HYPERLINK("https://co.computrabajo.com/ofertas-de-trabajo/oferta-de-trabajo-de-buscamos-asesores-de-soporte-tecnico-teletrabajo-bachilleres-con-experiencia-en-el-area-en-medellin-1B5720BBA7ED612461373E686DCF3405", "Ver Vacante")</f>
        <v/>
      </c>
      <c r="H67" s="6" t="inlineStr">
        <is>
          <t>$ 1.750.905,00 (Mensual)</t>
        </is>
      </c>
      <c r="I67" s="3" t="inlineStr">
        <is>
          <t>[Afinidad: 73/100 - Alta Afinidad] Alta coincidencia técnica en Soporte Técnico de Sistemas, Hardware y Redes. Modalidad: 100% Remoto en Colombia confirmado.</t>
        </is>
      </c>
      <c r="J67" s="2" t="inlineStr">
        <is>
          <t>Nueva</t>
        </is>
      </c>
      <c r="K67" s="3" t="inlineStr"/>
    </row>
    <row r="68" ht="22" customHeight="1">
      <c r="A68" s="2" t="inlineStr">
        <is>
          <t>4f7da6e4dec08863</t>
        </is>
      </c>
      <c r="B68" s="2" t="inlineStr">
        <is>
          <t>2026-10-20 15:43</t>
        </is>
      </c>
      <c r="C68" s="3" t="inlineStr">
        <is>
          <t>Buscamos Bachilleres con experiencia en Soporte Técnico // Teletrabajo</t>
        </is>
      </c>
      <c r="D68" s="3" t="inlineStr">
        <is>
          <t>emtelco</t>
        </is>
      </c>
      <c r="E68" s="4" t="n">
        <v>0.73</v>
      </c>
      <c r="F68" s="2" t="inlineStr">
        <is>
          <t>Remoto</t>
        </is>
      </c>
      <c r="G68" s="5">
        <f>HYPERLINK("https://co.computrabajo.com/ofertas-de-trabajo/oferta-de-trabajo-de-buscamos-bachilleres-con-experiencia-en-soporte-tecnico-teletrabajo-bachilleres-con-experiencia-en-el-area-en-medellin-1B5720BBA7ED612461373E686DCF3405", "Ver Vacante")</f>
        <v/>
      </c>
      <c r="H68" s="6" t="inlineStr">
        <is>
          <t>$ 1.750.905,00 (Mensual)</t>
        </is>
      </c>
      <c r="I68" s="3" t="inlineStr">
        <is>
          <t>[Afinidad: 73/100 - Alta Afinidad] Alta coincidencia técnica en Soporte Técnico de Sistemas, Hardware y Redes. Modalidad: 100% Remoto en Colombia confirmado.</t>
        </is>
      </c>
      <c r="J68" s="2" t="inlineStr">
        <is>
          <t>Nueva</t>
        </is>
      </c>
      <c r="K68" s="3" t="inlineStr"/>
    </row>
    <row r="69" ht="22" customHeight="1">
      <c r="A69" s="2" t="inlineStr">
        <is>
          <t>623999ab44df9605</t>
        </is>
      </c>
      <c r="B69" s="2" t="inlineStr">
        <is>
          <t>2026-10-22 15:57</t>
        </is>
      </c>
      <c r="C69" s="3" t="inlineStr">
        <is>
          <t>Agente de Service Desk Mesa de Ayuda – Soporte Técnico / Zona franca</t>
        </is>
      </c>
      <c r="D69" s="3" t="inlineStr">
        <is>
          <t>Redes Humanas</t>
        </is>
      </c>
      <c r="E69" s="4" t="n">
        <v>0.73</v>
      </c>
      <c r="F69" s="2" t="inlineStr">
        <is>
          <t>Remoto</t>
        </is>
      </c>
      <c r="G69" s="5">
        <f>HYPERLINK("https://co.computrabajo.com/ofertas-de-trabajo/oferta-de-trabajo-de-agente-de-service-desk-mesa-de-ayuda-soporte-tecnico-zona-franca-en-bogota-dc-2136808CA681AC2D61373E686DCF3405", "Ver Vacante")</f>
        <v/>
      </c>
      <c r="H69" s="6" t="inlineStr">
        <is>
          <t>$ 1.750.905,00 (Mensual)</t>
        </is>
      </c>
      <c r="I69" s="3" t="inlineStr">
        <is>
          <t>[Afinidad: 73/100 - Alta Afinidad] Alta coincidencia técnica en Soporte Técnico de Sistemas, Hardware y Redes. Modalidad: 100% Remoto en Colombia confirmado.</t>
        </is>
      </c>
      <c r="J69" s="2" t="inlineStr">
        <is>
          <t>Nueva</t>
        </is>
      </c>
      <c r="K69" s="3" t="inlineStr"/>
    </row>
    <row r="70" ht="22" customHeight="1">
      <c r="A70" s="2" t="inlineStr">
        <is>
          <t>2ad6be817d734484</t>
        </is>
      </c>
      <c r="B70" s="2" t="inlineStr">
        <is>
          <t>2026-10-22 15:57</t>
        </is>
      </c>
      <c r="C70" s="3" t="inlineStr">
        <is>
          <t>Auxiliar soporte tecnico - pasto</t>
        </is>
      </c>
      <c r="D70" s="3" t="inlineStr">
        <is>
          <t>ALFA TRADING S.A.S.</t>
        </is>
      </c>
      <c r="E70" s="4" t="n">
        <v>0.73</v>
      </c>
      <c r="F70" s="2" t="inlineStr">
        <is>
          <t>Remoto</t>
        </is>
      </c>
      <c r="G70" s="5">
        <f>HYPERLINK("https://www.elempleo.com/co/ofertas-trabajo/auxiliar-soporte-tecnico-pasto-1886783562", "Ver Vacante")</f>
        <v/>
      </c>
      <c r="H70" s="6" t="inlineStr"/>
      <c r="I70" s="3" t="inlineStr">
        <is>
          <t>[Afinidad: 73/100 - Alta Afinidad] Alta coincidencia técnica en Soporte Técnico de Sistemas, Hardware y Redes. Modalidad: 100% Remoto en Colombia confirmado.</t>
        </is>
      </c>
      <c r="J70" s="2" t="inlineStr">
        <is>
          <t>Nueva</t>
        </is>
      </c>
      <c r="K70" s="3" t="inlineStr"/>
    </row>
    <row r="71" ht="22" customHeight="1">
      <c r="A71" s="2" t="inlineStr">
        <is>
          <t>ae736277661dc78b</t>
        </is>
      </c>
      <c r="B71" s="2" t="inlineStr">
        <is>
          <t>2026-09-24 15:23</t>
        </is>
      </c>
      <c r="C71" s="3" t="inlineStr">
        <is>
          <t>Analista de redes cisco</t>
        </is>
      </c>
      <c r="D71" s="3" t="inlineStr">
        <is>
          <t>ATCG DE COLOMBIA S.A.S</t>
        </is>
      </c>
      <c r="E71" s="7" t="n">
        <v>0.68</v>
      </c>
      <c r="F71" s="2" t="inlineStr">
        <is>
          <t>Remoto</t>
        </is>
      </c>
      <c r="G71" s="5">
        <f>HYPERLINK("https://www.elempleo.com/co/ofertas-trabajo/analista-de-redes-cisco-1886760389", "Ver Vacante")</f>
        <v/>
      </c>
      <c r="H71" s="6" t="inlineStr"/>
      <c r="I71" s="3" t="inlineStr">
        <is>
          <t>[Afinidad: 68/100 - Afinidad Moderada] Alta coincidencia técnica en Soporte Técnico de Sistemas, Hardware y Redes. Modalidad: 100% Remoto en Colombia confirmado.</t>
        </is>
      </c>
      <c r="J71" s="2" t="inlineStr">
        <is>
          <t>Nueva</t>
        </is>
      </c>
      <c r="K71" s="3" t="inlineStr"/>
    </row>
    <row r="72" ht="22" customHeight="1">
      <c r="A72" s="2" t="inlineStr">
        <is>
          <t>e29676fac3409ad6</t>
        </is>
      </c>
      <c r="B72" s="2" t="inlineStr">
        <is>
          <t>2026-09-24 15:23</t>
        </is>
      </c>
      <c r="C72" s="3" t="inlineStr">
        <is>
          <t>Analista de redes y telecomunicaciones - nivel 1</t>
        </is>
      </c>
      <c r="D72" s="3" t="inlineStr">
        <is>
          <t>MANPOWER</t>
        </is>
      </c>
      <c r="E72" s="7" t="n">
        <v>0.68</v>
      </c>
      <c r="F72" s="2" t="inlineStr">
        <is>
          <t>Remoto</t>
        </is>
      </c>
      <c r="G72" s="5">
        <f>HYPERLINK("https://www.elempleo.com/co/ofertas-trabajo/analista-de-redes-y-telecomunicaciones-nivel-1-1886760565", "Ver Vacante")</f>
        <v/>
      </c>
      <c r="H72" s="6" t="inlineStr"/>
      <c r="I72" s="3" t="inlineStr">
        <is>
          <t>[Afinidad: 68/100 - Afinidad Moderada] Alta coincidencia técnica en Soporte Técnico de Sistemas, Hardware y Redes. Modalidad: 100% Remoto en Colombia confirmado.</t>
        </is>
      </c>
      <c r="J72" s="2" t="inlineStr">
        <is>
          <t>Nueva</t>
        </is>
      </c>
      <c r="K72" s="3" t="inlineStr"/>
    </row>
    <row r="73" ht="22" customHeight="1">
      <c r="A73" s="2" t="inlineStr">
        <is>
          <t>baf000f38713dc11</t>
        </is>
      </c>
      <c r="B73" s="2" t="inlineStr">
        <is>
          <t>2026-10-07 17:50</t>
        </is>
      </c>
      <c r="C73" s="3" t="inlineStr">
        <is>
          <t>Helpdesk / Analista soporte TI / trilingüe</t>
        </is>
      </c>
      <c r="D73" s="3" t="inlineStr">
        <is>
          <t>Confidential</t>
        </is>
      </c>
      <c r="E73" s="7" t="n">
        <v>0.66</v>
      </c>
      <c r="F73" s="2" t="inlineStr">
        <is>
          <t>Remoto</t>
        </is>
      </c>
      <c r="G73" s="5">
        <f>HYPERLINK("https://co.linkedin.com/jobs/view/helpdesk-analista-soporte-ti-triling%C3%BCe-ingles-portugu%C3%A9s-at-confidential-4469673592", "Ver Vacante")</f>
        <v/>
      </c>
      <c r="H73" s="6" t="inlineStr"/>
      <c r="I73" s="3" t="inlineStr">
        <is>
          <t>[Afinidad: 66/100 - Afinidad Moderada] Alta coincidencia técnica en Soporte Técnico de Sistemas, Hardware y Redes. Modalidad: 100% Remoto en Colombia confirmado.</t>
        </is>
      </c>
      <c r="J73" s="2" t="inlineStr">
        <is>
          <t>Nueva</t>
        </is>
      </c>
      <c r="K73" s="3" t="inlineStr"/>
    </row>
    <row r="74" ht="22" customHeight="1">
      <c r="A74" s="2" t="inlineStr">
        <is>
          <t>422a27df3967ecbb</t>
        </is>
      </c>
      <c r="B74" s="2" t="inlineStr">
        <is>
          <t>2026-10-14 15:52</t>
        </is>
      </c>
      <c r="C74" s="3" t="inlineStr">
        <is>
          <t>Técnico de sistemas y soporte ti</t>
        </is>
      </c>
      <c r="D74" s="3" t="inlineStr">
        <is>
          <t>AGENCIA DE EMPLEO CAFAM</t>
        </is>
      </c>
      <c r="E74" s="7" t="n">
        <v>0.66</v>
      </c>
      <c r="F74" s="2" t="inlineStr">
        <is>
          <t>Remoto</t>
        </is>
      </c>
      <c r="G74" s="5">
        <f>HYPERLINK("https://www.elempleo.com/co/ofertas-trabajo/tecnico-de-sistemas-y-soporte-ti-1886780022", "Ver Vacante")</f>
        <v/>
      </c>
      <c r="H74" s="6" t="inlineStr"/>
      <c r="I74" s="3" t="inlineStr">
        <is>
          <t>[Afinidad: 66/100 - Afinidad Moderada] Alta coincidencia técnica en Soporte Técnico de Sistemas, Hardware y Redes. Modalidad: 100% Remoto en Colombia confirmado.</t>
        </is>
      </c>
      <c r="J74" s="2" t="inlineStr">
        <is>
          <t>Nueva</t>
        </is>
      </c>
      <c r="K74" s="3" t="inlineStr"/>
    </row>
    <row r="75" ht="22" customHeight="1">
      <c r="A75" s="2" t="inlineStr">
        <is>
          <t>73882c81e04abc7e</t>
        </is>
      </c>
      <c r="B75" s="2" t="inlineStr">
        <is>
          <t>2026-10-05 19:45</t>
        </is>
      </c>
      <c r="C75" s="3" t="inlineStr">
        <is>
          <t>Soporte L1 Junior</t>
        </is>
      </c>
      <c r="D75" s="3" t="inlineStr">
        <is>
          <t>Hublance</t>
        </is>
      </c>
      <c r="E75" s="7" t="n">
        <v>0.6</v>
      </c>
      <c r="F75" s="2" t="inlineStr">
        <is>
          <t>Remoto</t>
        </is>
      </c>
      <c r="G75" s="5">
        <f>HYPERLINK("https://co.linkedin.com/jobs/view/soporte-l1-junior-at-hublance-4475841269", "Ver Vacante")</f>
        <v/>
      </c>
      <c r="H75" s="6" t="inlineStr"/>
      <c r="I75" s="3" t="inlineStr">
        <is>
          <t>[Afinidad: 60/100 - Afinidad Moderada] Afinidad moderada en áreas técnicas del cargo (Técnico en Sistemas / Auxiliar de Soporte TI). Modalidad: 100% Remoto en Colombia confirmado.</t>
        </is>
      </c>
      <c r="J75" s="2" t="inlineStr">
        <is>
          <t>Nueva</t>
        </is>
      </c>
      <c r="K75" s="3" t="inlineStr"/>
    </row>
    <row r="76" ht="22" customHeight="1">
      <c r="A76" s="2" t="inlineStr">
        <is>
          <t>8d7f304ffb8625b5</t>
        </is>
      </c>
      <c r="B76" s="2" t="inlineStr">
        <is>
          <t>2026-09-25 15:54</t>
        </is>
      </c>
      <c r="C76" s="3" t="inlineStr">
        <is>
          <t>Auxiliar de sistemas</t>
        </is>
      </c>
      <c r="D76" s="3" t="inlineStr">
        <is>
          <t>Confidencial</t>
        </is>
      </c>
      <c r="E76" s="7" t="n">
        <v>0.58</v>
      </c>
      <c r="F76" s="2" t="inlineStr">
        <is>
          <t>Remoto</t>
        </is>
      </c>
      <c r="G76" s="5">
        <f>HYPERLINK("https://www.elempleo.com/co/ofertas-trabajo/auxiliar-de-sistemas-1886751888", "Ver Vacante")</f>
        <v/>
      </c>
      <c r="H76" s="6" t="inlineStr"/>
      <c r="I76" s="3" t="inlineStr">
        <is>
          <t>[Afinidad: 58/100 - Afinidad Moderada] Afinidad moderada en áreas técnicas del cargo (Técnico en Sistemas / Auxiliar de Soporte TI). Modalidad: 100% Remoto en Colombia confirmado.</t>
        </is>
      </c>
      <c r="J76" s="2" t="inlineStr">
        <is>
          <t>Nueva</t>
        </is>
      </c>
      <c r="K76" s="3" t="inlineStr"/>
    </row>
    <row r="77" ht="22" customHeight="1">
      <c r="A77" s="2" t="inlineStr">
        <is>
          <t>3b5b26f92a305c0c</t>
        </is>
      </c>
      <c r="B77" s="2" t="inlineStr">
        <is>
          <t>2026-09-25 15:54</t>
        </is>
      </c>
      <c r="C77" s="3" t="inlineStr">
        <is>
          <t>Auxiliar de sistemas</t>
        </is>
      </c>
      <c r="D77" s="3" t="inlineStr">
        <is>
          <t>Confidencial</t>
        </is>
      </c>
      <c r="E77" s="7" t="n">
        <v>0.58</v>
      </c>
      <c r="F77" s="2" t="inlineStr">
        <is>
          <t>Remoto</t>
        </is>
      </c>
      <c r="G77" s="5">
        <f>HYPERLINK("https://www.elempleo.com/co/ofertas-trabajo/auxiliar-de-sistemas-1886749497", "Ver Vacante")</f>
        <v/>
      </c>
      <c r="H77" s="6" t="inlineStr"/>
      <c r="I77" s="3" t="inlineStr">
        <is>
          <t>[Afinidad: 58/100 - Afinidad Moderada] Afinidad moderada en áreas técnicas del cargo (Técnico en Sistemas / Auxiliar de Soporte TI). Modalidad: 100% Remoto en Colombia confirmado.</t>
        </is>
      </c>
      <c r="J77" s="2" t="inlineStr">
        <is>
          <t>Nueva</t>
        </is>
      </c>
      <c r="K77" s="3" t="inlineStr"/>
    </row>
    <row r="78" ht="22" customHeight="1">
      <c r="A78" s="2" t="inlineStr">
        <is>
          <t>e760bcd88d90fbbe</t>
        </is>
      </c>
      <c r="B78" s="2" t="inlineStr">
        <is>
          <t>2026-09-25 15:54</t>
        </is>
      </c>
      <c r="C78" s="3" t="inlineStr">
        <is>
          <t>Agente de mesa de ayuda</t>
        </is>
      </c>
      <c r="D78" s="3" t="inlineStr">
        <is>
          <t>SELCOMP INGENIERÍA SAS</t>
        </is>
      </c>
      <c r="E78" s="7" t="n">
        <v>0.58</v>
      </c>
      <c r="F78" s="2" t="inlineStr">
        <is>
          <t>Remoto</t>
        </is>
      </c>
      <c r="G78" s="5">
        <f>HYPERLINK("https://www.elempleo.com/co/ofertas-trabajo/agente-de-mesa-de-ayuda-1886758623", "Ver Vacante")</f>
        <v/>
      </c>
      <c r="H78" s="6" t="inlineStr"/>
      <c r="I78" s="3" t="inlineStr">
        <is>
          <t>[Afinidad: 58/100 - Afinidad Moderada] Afinidad moderada en áreas técnicas del cargo (Técnico en Sistemas / Auxiliar de Soporte TI). Modalidad: 100% Remoto en Colombia confirmado.</t>
        </is>
      </c>
      <c r="J78" s="2" t="inlineStr">
        <is>
          <t>Nueva</t>
        </is>
      </c>
      <c r="K78" s="3" t="inlineStr"/>
    </row>
    <row r="79" ht="22" customHeight="1">
      <c r="A79" s="2" t="inlineStr">
        <is>
          <t>86dcab5c5d802693</t>
        </is>
      </c>
      <c r="B79" s="2" t="inlineStr">
        <is>
          <t>2026-09-25 15:54</t>
        </is>
      </c>
      <c r="C79" s="3" t="inlineStr">
        <is>
          <t>Analista mesa de ayuda para tunja</t>
        </is>
      </c>
      <c r="D79" s="3" t="inlineStr">
        <is>
          <t>Gestión de Seguridad Electrónica</t>
        </is>
      </c>
      <c r="E79" s="7" t="n">
        <v>0.58</v>
      </c>
      <c r="F79" s="2" t="inlineStr">
        <is>
          <t>Remoto</t>
        </is>
      </c>
      <c r="G79" s="5">
        <f>HYPERLINK("https://www.elempleo.com/co/ofertas-trabajo/analista-mesa-de-ayuda-para-tunja-1886766955", "Ver Vacante")</f>
        <v/>
      </c>
      <c r="H79" s="6" t="inlineStr"/>
      <c r="I79" s="3" t="inlineStr">
        <is>
          <t>[Afinidad: 58/100 - Afinidad Moderada] Afinidad moderada en áreas técnicas del cargo (Técnico en Sistemas / Auxiliar de Soporte TI). Modalidad: 100% Remoto en Colombia confirmado.</t>
        </is>
      </c>
      <c r="J79" s="2" t="inlineStr">
        <is>
          <t>Nueva</t>
        </is>
      </c>
      <c r="K79" s="3" t="inlineStr"/>
    </row>
    <row r="80" ht="22" customHeight="1">
      <c r="A80" s="2" t="inlineStr">
        <is>
          <t>55fdaa0983ef9124</t>
        </is>
      </c>
      <c r="B80" s="2" t="inlineStr">
        <is>
          <t>2026-09-25 15:54</t>
        </is>
      </c>
      <c r="C80" s="3" t="inlineStr">
        <is>
          <t>Lider técnico con itil practice manager</t>
        </is>
      </c>
      <c r="D80" s="3" t="inlineStr">
        <is>
          <t>Sinergy &amp; Lowells</t>
        </is>
      </c>
      <c r="E80" s="7" t="n">
        <v>0.58</v>
      </c>
      <c r="F80" s="2" t="inlineStr">
        <is>
          <t>Remoto</t>
        </is>
      </c>
      <c r="G80" s="5">
        <f>HYPERLINK("https://www.elempleo.com/co/ofertas-trabajo/lider-tecnico-con-itil-practice-manager-1886753953", "Ver Vacante")</f>
        <v/>
      </c>
      <c r="H80" s="6" t="inlineStr"/>
      <c r="I80" s="3" t="inlineStr">
        <is>
          <t>[Afinidad: 58/100 - Afinidad Moderada] Afinidad moderada en áreas técnicas del cargo (Técnico en Sistemas / Auxiliar de Soporte TI). Modalidad: 100% Remoto en Colombia confirmado.</t>
        </is>
      </c>
      <c r="J80" s="2" t="inlineStr">
        <is>
          <t>Nueva</t>
        </is>
      </c>
      <c r="K80" s="3" t="inlineStr"/>
    </row>
    <row r="81" ht="22" customHeight="1">
      <c r="A81" s="2" t="inlineStr">
        <is>
          <t>a1ca7bc58cd48fad</t>
        </is>
      </c>
      <c r="B81" s="2" t="inlineStr">
        <is>
          <t>2026-09-25 15:54</t>
        </is>
      </c>
      <c r="C81" s="3" t="inlineStr">
        <is>
          <t>Tecnico de mesa de ayuda/mujeres contratacion inmediata</t>
        </is>
      </c>
      <c r="D81" s="3" t="inlineStr">
        <is>
          <t>Confidencial</t>
        </is>
      </c>
      <c r="E81" s="7" t="n">
        <v>0.58</v>
      </c>
      <c r="F81" s="2" t="inlineStr">
        <is>
          <t>Remoto</t>
        </is>
      </c>
      <c r="G81" s="5">
        <f>HYPERLINK("https://www.elempleo.com/co/ofertas-trabajo/tecnico-de-mesa-de-ayuda-mujeres-contratacion-inmediata-1886770931", "Ver Vacante")</f>
        <v/>
      </c>
      <c r="H81" s="6" t="inlineStr"/>
      <c r="I81" s="3" t="inlineStr">
        <is>
          <t>[Afinidad: 58/100 - Afinidad Moderada] Afinidad moderada en áreas técnicas del cargo (Técnico en Sistemas / Auxiliar de Soporte TI). Modalidad: 100% Remoto en Colombia confirmado.</t>
        </is>
      </c>
      <c r="J81" s="2" t="inlineStr">
        <is>
          <t>Nueva</t>
        </is>
      </c>
      <c r="K81" s="3" t="inlineStr"/>
    </row>
    <row r="82" ht="22" customHeight="1">
      <c r="A82" s="2" t="inlineStr">
        <is>
          <t>e28aba5df8a2d3ae</t>
        </is>
      </c>
      <c r="B82" s="2" t="inlineStr">
        <is>
          <t>2026-09-25 15:54</t>
        </is>
      </c>
      <c r="C82" s="3" t="inlineStr">
        <is>
          <t>Tecnico de mesa de ayuda/mujeres contratacion inmediata</t>
        </is>
      </c>
      <c r="D82" s="3" t="inlineStr">
        <is>
          <t>Confidencial</t>
        </is>
      </c>
      <c r="E82" s="7" t="n">
        <v>0.58</v>
      </c>
      <c r="F82" s="2" t="inlineStr">
        <is>
          <t>Remoto</t>
        </is>
      </c>
      <c r="G82" s="5">
        <f>HYPERLINK("https://www.elempleo.com/co/ofertas-trabajo/tecnico-de-mesa-de-ayuda-mujeres-contratacion-inmediata-1886769701", "Ver Vacante")</f>
        <v/>
      </c>
      <c r="H82" s="6" t="inlineStr"/>
      <c r="I82" s="3" t="inlineStr">
        <is>
          <t>[Afinidad: 58/100 - Afinidad Moderada] Afinidad moderada en áreas técnicas del cargo (Técnico en Sistemas / Auxiliar de Soporte TI). Modalidad: 100% Remoto en Colombia confirmado.</t>
        </is>
      </c>
      <c r="J82" s="2" t="inlineStr">
        <is>
          <t>Nueva</t>
        </is>
      </c>
      <c r="K82" s="3" t="inlineStr"/>
    </row>
    <row r="83" ht="22" customHeight="1">
      <c r="A83" s="2" t="inlineStr">
        <is>
          <t>9326784c1a2726fb</t>
        </is>
      </c>
      <c r="B83" s="2" t="inlineStr">
        <is>
          <t>2026-09-25 15:54</t>
        </is>
      </c>
      <c r="C83" s="3" t="inlineStr">
        <is>
          <t>Técnico de soporte y mesa de ayuda / medellín</t>
        </is>
      </c>
      <c r="D83" s="3" t="inlineStr">
        <is>
          <t>Colsof S.A.S</t>
        </is>
      </c>
      <c r="E83" s="7" t="n">
        <v>0.58</v>
      </c>
      <c r="F83" s="2" t="inlineStr">
        <is>
          <t>Remoto</t>
        </is>
      </c>
      <c r="G83" s="5">
        <f>HYPERLINK("https://www.elempleo.com/co/ofertas-trabajo/tecnico-de-soporte-y-mesa-de-ayuda-medellin-1886738118", "Ver Vacante")</f>
        <v/>
      </c>
      <c r="H83" s="6" t="inlineStr"/>
      <c r="I83" s="3" t="inlineStr">
        <is>
          <t>[Afinidad: 58/100 - Afinidad Moderada] Afinidad moderada en áreas técnicas del cargo (Técnico en Sistemas / Auxiliar de Soporte TI). Modalidad: 100% Remoto en Colombia confirmado.</t>
        </is>
      </c>
      <c r="J83" s="2" t="inlineStr">
        <is>
          <t>Nueva</t>
        </is>
      </c>
      <c r="K83" s="3" t="inlineStr"/>
    </row>
    <row r="84" ht="22" customHeight="1">
      <c r="A84" s="2" t="inlineStr">
        <is>
          <t>b67dc9a9be4a1a6f</t>
        </is>
      </c>
      <c r="B84" s="2" t="inlineStr">
        <is>
          <t>2026-09-25 15:54</t>
        </is>
      </c>
      <c r="C84" s="3" t="inlineStr">
        <is>
          <t>Service desk agent</t>
        </is>
      </c>
      <c r="D84" s="3" t="inlineStr">
        <is>
          <t>Confidencial</t>
        </is>
      </c>
      <c r="E84" s="7" t="n">
        <v>0.58</v>
      </c>
      <c r="F84" s="2" t="inlineStr">
        <is>
          <t>Remoto</t>
        </is>
      </c>
      <c r="G84" s="5">
        <f>HYPERLINK("https://www.elempleo.com/co/ofertas-trabajo/service-desk-agent-soporte-tecnico-nivel-1-1886755112", "Ver Vacante")</f>
        <v/>
      </c>
      <c r="H84" s="6" t="inlineStr"/>
      <c r="I84" s="3" t="inlineStr">
        <is>
          <t>[Afinidad: 58/100 - Afinidad Moderada] Alta coincidencia técnica en Soporte Técnico de Sistemas, Hardware y Redes. Modalidad: 100% Remoto en Colombia confirmado.</t>
        </is>
      </c>
      <c r="J84" s="2" t="inlineStr">
        <is>
          <t>Nueva</t>
        </is>
      </c>
      <c r="K84" s="3" t="inlineStr"/>
    </row>
    <row r="85" ht="22" customHeight="1">
      <c r="A85" s="2" t="inlineStr">
        <is>
          <t>9c65f710f43158b7</t>
        </is>
      </c>
      <c r="B85" s="2" t="inlineStr">
        <is>
          <t>2026-09-25 15:54</t>
        </is>
      </c>
      <c r="C85" s="3" t="inlineStr">
        <is>
          <t>Tecnico de instalaciones cableado de redes - licencia conte</t>
        </is>
      </c>
      <c r="D85" s="3" t="inlineStr">
        <is>
          <t>Confidencial</t>
        </is>
      </c>
      <c r="E85" s="7" t="n">
        <v>0.58</v>
      </c>
      <c r="F85" s="2" t="inlineStr">
        <is>
          <t>Remoto</t>
        </is>
      </c>
      <c r="G85" s="5">
        <f>HYPERLINK("https://www.elempleo.com/co/ofertas-trabajo/tecnico-de-instalaciones-cableado-de-redes-licencia-conte-1886749397", "Ver Vacante")</f>
        <v/>
      </c>
      <c r="H85" s="6" t="inlineStr"/>
      <c r="I85" s="3" t="inlineStr">
        <is>
          <t>[Afinidad: 58/100 - Afinidad Moderada] Afinidad moderada en áreas técnicas del cargo (Técnico en Sistemas / Auxiliar de Soporte TI). Modalidad: 100% Remoto en Colombia confirmado.</t>
        </is>
      </c>
      <c r="J85" s="2" t="inlineStr">
        <is>
          <t>Nueva</t>
        </is>
      </c>
      <c r="K85" s="3" t="inlineStr"/>
    </row>
    <row r="86" ht="22" customHeight="1">
      <c r="A86" s="2" t="inlineStr">
        <is>
          <t>a95003a0b1fc3d77</t>
        </is>
      </c>
      <c r="B86" s="2" t="inlineStr">
        <is>
          <t>2026-09-27 15:41</t>
        </is>
      </c>
      <c r="C86" s="3" t="inlineStr">
        <is>
          <t>Técnico Soporte Nivel 1 Con ITIL</t>
        </is>
      </c>
      <c r="D86" s="3" t="inlineStr">
        <is>
          <t>Importante empresa del sector de tecnología</t>
        </is>
      </c>
      <c r="E86" s="7" t="n">
        <v>0.58</v>
      </c>
      <c r="F86" s="2" t="inlineStr">
        <is>
          <t>Remoto</t>
        </is>
      </c>
      <c r="G86" s="5">
        <f>HYPERLINK("https://co.computrabajo.com/ofertas-de-trabajo/oferta-de-trabajo-de-tecnico-soporte-nivel-1-con-itil-en-bogota-dc-59E13FA64EF5843C61373E686DCF3405", "Ver Vacante")</f>
        <v/>
      </c>
      <c r="H86" s="6" t="inlineStr">
        <is>
          <t>$ 1.750.905,00 (Mensual)</t>
        </is>
      </c>
      <c r="I86" s="3" t="inlineStr">
        <is>
          <t>[Afinidad: 58/100 - Afinidad Moderada] Afinidad moderada en áreas técnicas del cargo (Técnico en Sistemas / Auxiliar de Soporte TI). Modalidad: 100% Remoto en Colombia confirmado.</t>
        </is>
      </c>
      <c r="J86" s="2" t="inlineStr">
        <is>
          <t>Nueva</t>
        </is>
      </c>
      <c r="K86" s="3" t="inlineStr"/>
    </row>
    <row r="87" ht="22" customHeight="1">
      <c r="A87" s="2" t="inlineStr">
        <is>
          <t>96391fd564d83616</t>
        </is>
      </c>
      <c r="B87" s="2" t="inlineStr">
        <is>
          <t>2026-09-27 15:41</t>
        </is>
      </c>
      <c r="C87" s="3" t="inlineStr">
        <is>
          <t>Tecnico de soporte IT con Moto</t>
        </is>
      </c>
      <c r="D87" s="3" t="inlineStr">
        <is>
          <t>Los Hornitos</t>
        </is>
      </c>
      <c r="E87" s="7" t="n">
        <v>0.58</v>
      </c>
      <c r="F87" s="2" t="inlineStr">
        <is>
          <t>Remoto</t>
        </is>
      </c>
      <c r="G87" s="5">
        <f>HYPERLINK("https://co.computrabajo.com/ofertas-de-trabajo/oferta-de-trabajo-de-tecnico-de-soporte-it-con-moto-empresa-de-alimentos-en-bogota-dc-599938D46A6F4A8F61373E686DCF3405", "Ver Vacante")</f>
        <v/>
      </c>
      <c r="H87" s="6" t="inlineStr">
        <is>
          <t>$ 2.125.947,00 (Mensual)</t>
        </is>
      </c>
      <c r="I87" s="3" t="inlineStr">
        <is>
          <t>[Afinidad: 58/100 - Afinidad Moderada] Afinidad moderada en áreas técnicas del cargo (Técnico en Sistemas / Auxiliar de Soporte TI). Modalidad: 100% Remoto en Colombia confirmado.</t>
        </is>
      </c>
      <c r="J87" s="2" t="inlineStr">
        <is>
          <t>Nueva</t>
        </is>
      </c>
      <c r="K87" s="3" t="inlineStr"/>
    </row>
    <row r="88" ht="22" customHeight="1">
      <c r="A88" s="2" t="inlineStr">
        <is>
          <t>b4f0b8c16fe5543e</t>
        </is>
      </c>
      <c r="B88" s="2" t="inlineStr">
        <is>
          <t>2026-09-27 15:41</t>
        </is>
      </c>
      <c r="C88" s="3" t="inlineStr">
        <is>
          <t>Auxiliar de Sistemas</t>
        </is>
      </c>
      <c r="D88" s="3" t="inlineStr">
        <is>
          <t>ELIS COLOMBIA SAS</t>
        </is>
      </c>
      <c r="E88" s="7" t="n">
        <v>0.58</v>
      </c>
      <c r="F88" s="2" t="inlineStr">
        <is>
          <t>Remoto</t>
        </is>
      </c>
      <c r="G88" s="5">
        <f>HYPERLINK("https://co.computrabajo.com/ofertas-de-trabajo/oferta-de-trabajo-de-auxiliar-de-sistemas-en-bogota-dc-48C2A0A3B050945661373E686DCF3405", "Ver Vacante")</f>
        <v/>
      </c>
      <c r="H88" s="6" t="inlineStr">
        <is>
          <t>$ 2.000.000,00 (Mensual)</t>
        </is>
      </c>
      <c r="I88" s="3" t="inlineStr">
        <is>
          <t>[Afinidad: 58/100 - Afinidad Moderada] Afinidad moderada en áreas técnicas del cargo (Técnico en Sistemas / Auxiliar de Soporte TI). Modalidad: 100% Remoto en Colombia confirmado.</t>
        </is>
      </c>
      <c r="J88" s="2" t="inlineStr">
        <is>
          <t>Nueva</t>
        </is>
      </c>
      <c r="K88" s="3" t="inlineStr"/>
    </row>
    <row r="89" ht="22" customHeight="1">
      <c r="A89" s="2" t="inlineStr">
        <is>
          <t>7e4b4e4f136a5e31</t>
        </is>
      </c>
      <c r="B89" s="2" t="inlineStr">
        <is>
          <t>2026-09-27 15:41</t>
        </is>
      </c>
      <c r="C89" s="3" t="inlineStr">
        <is>
          <t>Agente Mesa de Ayuda</t>
        </is>
      </c>
      <c r="D89" s="3" t="inlineStr">
        <is>
          <t>Importante empresa del sector</t>
        </is>
      </c>
      <c r="E89" s="7" t="n">
        <v>0.58</v>
      </c>
      <c r="F89" s="2" t="inlineStr">
        <is>
          <t>Remoto</t>
        </is>
      </c>
      <c r="G89" s="5">
        <f>HYPERLINK("https://co.computrabajo.com/ofertas-de-trabajo/oferta-de-trabajo-de-agente-mesa-de-ayuda-en-bogota-dc-E39FE355E02E578761373E686DCF3405", "Ver Vacante")</f>
        <v/>
      </c>
      <c r="H89" s="6" t="inlineStr">
        <is>
          <t>$ 2.000.000,00 (Mensual)</t>
        </is>
      </c>
      <c r="I89" s="3" t="inlineStr">
        <is>
          <t>[Afinidad: 58/100 - Afinidad Moderada] Afinidad moderada en áreas técnicas del cargo (Técnico en Sistemas / Auxiliar de Soporte TI). Modalidad: 100% Remoto en Colombia confirmado.</t>
        </is>
      </c>
      <c r="J89" s="2" t="inlineStr">
        <is>
          <t>Nueva</t>
        </is>
      </c>
      <c r="K89" s="3" t="inlineStr"/>
    </row>
    <row r="90" ht="22" customHeight="1">
      <c r="A90" s="2" t="inlineStr">
        <is>
          <t>0ef2cd7667600919</t>
        </is>
      </c>
      <c r="B90" s="2" t="inlineStr">
        <is>
          <t>2026-09-27 15:41</t>
        </is>
      </c>
      <c r="C90" s="3" t="inlineStr">
        <is>
          <t>Técnico de Soporte TI Regional</t>
        </is>
      </c>
      <c r="D90" s="3" t="inlineStr">
        <is>
          <t>POLICOMP COLOMBIA SAS</t>
        </is>
      </c>
      <c r="E90" s="7" t="n">
        <v>0.58</v>
      </c>
      <c r="F90" s="2" t="inlineStr">
        <is>
          <t>Remoto</t>
        </is>
      </c>
      <c r="G90" s="5">
        <f>HYPERLINK("https://co.computrabajo.com/ofertas-de-trabajo/oferta-de-trabajo-de-tecnico-de-soporte-ti-regional-en-bogota-dc-ACF045C94E41CCDE61373E686DCF3405", "Ver Vacante")</f>
        <v/>
      </c>
      <c r="H90" s="6" t="inlineStr"/>
      <c r="I90" s="3" t="inlineStr">
        <is>
          <t>[Afinidad: 58/100 - Afinidad Moderada] Afinidad moderada en áreas técnicas del cargo (Técnico en Sistemas / Auxiliar de Soporte TI). Modalidad: 100% Remoto en Colombia confirmado.</t>
        </is>
      </c>
      <c r="J90" s="2" t="inlineStr">
        <is>
          <t>Nueva</t>
        </is>
      </c>
      <c r="K90" s="3" t="inlineStr"/>
    </row>
    <row r="91" ht="22" customHeight="1">
      <c r="A91" s="2" t="inlineStr">
        <is>
          <t>7784997bda962255</t>
        </is>
      </c>
      <c r="B91" s="2" t="inlineStr">
        <is>
          <t>2026-09-27 15:41</t>
        </is>
      </c>
      <c r="C91" s="3" t="inlineStr">
        <is>
          <t>Técnico de Soporte TI On Demand/ por horas</t>
        </is>
      </c>
      <c r="D91" s="3" t="inlineStr">
        <is>
          <t>POLICOMP COLOMBIA SAS</t>
        </is>
      </c>
      <c r="E91" s="7" t="n">
        <v>0.58</v>
      </c>
      <c r="F91" s="2" t="inlineStr">
        <is>
          <t>Remoto</t>
        </is>
      </c>
      <c r="G91" s="5">
        <f>HYPERLINK("https://co.computrabajo.com/ofertas-de-trabajo/oferta-de-trabajo-de-tecnico-de-soporte-ti-on-demand-por-horas-en-bogota-dc-C2338FA0172D59A561373E686DCF3405", "Ver Vacante")</f>
        <v/>
      </c>
      <c r="H91" s="6" t="inlineStr"/>
      <c r="I91" s="3" t="inlineStr">
        <is>
          <t>[Afinidad: 58/100 - Afinidad Moderada] Afinidad moderada en áreas técnicas del cargo (Técnico en Sistemas / Auxiliar de Soporte TI). Modalidad: 100% Remoto en Colombia confirmado.</t>
        </is>
      </c>
      <c r="J91" s="2" t="inlineStr">
        <is>
          <t>Nueva</t>
        </is>
      </c>
      <c r="K91" s="3" t="inlineStr"/>
    </row>
    <row r="92" ht="22" customHeight="1">
      <c r="A92" s="2" t="inlineStr">
        <is>
          <t>29d0fe2e42e678f7</t>
        </is>
      </c>
      <c r="B92" s="2" t="inlineStr">
        <is>
          <t>2026-09-27 15:41</t>
        </is>
      </c>
      <c r="C92" s="3" t="inlineStr">
        <is>
          <t>Técnico mantenimiento correctivo impresoras</t>
        </is>
      </c>
      <c r="D92" s="3" t="inlineStr">
        <is>
          <t>Multinacional de Impresión</t>
        </is>
      </c>
      <c r="E92" s="7" t="n">
        <v>0.58</v>
      </c>
      <c r="F92" s="2" t="inlineStr">
        <is>
          <t>Remoto</t>
        </is>
      </c>
      <c r="G92" s="5">
        <f>HYPERLINK("https://co.computrabajo.com/ofertas-de-trabajo/oferta-de-trabajo-de-tecnico-mantenimiento-correctivo-impresoras-en-guarne-BC0E775C0F25B27D61373E686DCF3405", "Ver Vacante")</f>
        <v/>
      </c>
      <c r="H92" s="6" t="inlineStr">
        <is>
          <t>$ 1.800.000,00 (Mensual)</t>
        </is>
      </c>
      <c r="I92" s="3" t="inlineStr">
        <is>
          <t>[Afinidad: 58/100 - Afinidad Moderada] Afinidad moderada en áreas técnicas del cargo (Técnico en Sistemas / Auxiliar de Soporte TI). Modalidad: 100% Remoto en Colombia confirmado.</t>
        </is>
      </c>
      <c r="J92" s="2" t="inlineStr">
        <is>
          <t>Nueva</t>
        </is>
      </c>
      <c r="K92" s="3" t="inlineStr"/>
    </row>
    <row r="93" ht="22" customHeight="1">
      <c r="A93" s="2" t="inlineStr">
        <is>
          <t>98c9ab11f5b1eace</t>
        </is>
      </c>
      <c r="B93" s="2" t="inlineStr">
        <is>
          <t>2026-09-28 18:36</t>
        </is>
      </c>
      <c r="C93" s="3" t="inlineStr">
        <is>
          <t>Auxiliar de sistemas</t>
        </is>
      </c>
      <c r="D93" s="3" t="inlineStr">
        <is>
          <t>Importante empresa del sector</t>
        </is>
      </c>
      <c r="E93" s="7" t="n">
        <v>0.58</v>
      </c>
      <c r="F93" s="2" t="inlineStr">
        <is>
          <t>Remoto</t>
        </is>
      </c>
      <c r="G93" s="5">
        <f>HYPERLINK("https://co.computrabajo.com/ofertas-de-trabajo/oferta-de-trabajo-de-auxiliar-de-sistemas-persona-con-discapacidad-remota-en-bogota-dc-5F2A812D014E159B61373E686DCF3405", "Ver Vacante")</f>
        <v/>
      </c>
      <c r="H93" s="6" t="inlineStr">
        <is>
          <t>$ 1.750.905,00 (Mensual)</t>
        </is>
      </c>
      <c r="I93" s="3" t="inlineStr">
        <is>
          <t>[Afinidad: 58/100 - Afinidad Moderada] Afinidad moderada en áreas técnicas del cargo (Técnico en Sistemas / Auxiliar de Soporte TI). Modalidad: 100% Remoto en Colombia confirmado.</t>
        </is>
      </c>
      <c r="J93" s="2" t="inlineStr">
        <is>
          <t>Nueva</t>
        </is>
      </c>
      <c r="K93" s="3" t="inlineStr"/>
    </row>
    <row r="94" ht="22" customHeight="1">
      <c r="A94" s="2" t="inlineStr">
        <is>
          <t>58133ddc4da9c68e</t>
        </is>
      </c>
      <c r="B94" s="2" t="inlineStr">
        <is>
          <t>2026-09-28 18:36</t>
        </is>
      </c>
      <c r="C94" s="3" t="inlineStr">
        <is>
          <t>Auxiliar de sistemas</t>
        </is>
      </c>
      <c r="D94" s="3" t="inlineStr">
        <is>
          <t>Importante empresa del sector</t>
        </is>
      </c>
      <c r="E94" s="7" t="n">
        <v>0.58</v>
      </c>
      <c r="F94" s="2" t="inlineStr">
        <is>
          <t>Remoto</t>
        </is>
      </c>
      <c r="G94" s="5">
        <f>HYPERLINK("https://co.computrabajo.com/ofertas-de-trabajo/oferta-de-trabajo-de-auxiliar-de-sistemas-persona-con-discapacidad-remota-en-bogota-dc-A00C07C9CC9A494B61373E686DCF3405", "Ver Vacante")</f>
        <v/>
      </c>
      <c r="H94" s="6" t="inlineStr">
        <is>
          <t>$ 1.750.905,00 (Mensual)</t>
        </is>
      </c>
      <c r="I94" s="3" t="inlineStr">
        <is>
          <t>[Afinidad: 58/100 - Afinidad Moderada] Afinidad moderada en áreas técnicas del cargo (Técnico en Sistemas / Auxiliar de Soporte TI). Modalidad: 100% Remoto en Colombia confirmado.</t>
        </is>
      </c>
      <c r="J94" s="2" t="inlineStr">
        <is>
          <t>Nueva</t>
        </is>
      </c>
      <c r="K94" s="3" t="inlineStr"/>
    </row>
    <row r="95" ht="22" customHeight="1">
      <c r="A95" s="2" t="inlineStr">
        <is>
          <t>aed3420a4cfdc248</t>
        </is>
      </c>
      <c r="B95" s="2" t="inlineStr">
        <is>
          <t>2026-09-28 18:36</t>
        </is>
      </c>
      <c r="C95" s="3" t="inlineStr">
        <is>
          <t>Consultor de servicios/ mesa de ayuda nómina y erp software</t>
        </is>
      </c>
      <c r="D95" s="3" t="inlineStr">
        <is>
          <t>Confidencial</t>
        </is>
      </c>
      <c r="E95" s="7" t="n">
        <v>0.58</v>
      </c>
      <c r="F95" s="2" t="inlineStr">
        <is>
          <t>Remoto</t>
        </is>
      </c>
      <c r="G95" s="5">
        <f>HYPERLINK("https://www.elempleo.com/co/ofertas-trabajo/consultor-de-servicios-mesa-de-ayuda-nomina-y-erp-software-inclusivo-1886716126", "Ver Vacante")</f>
        <v/>
      </c>
      <c r="H95" s="6" t="inlineStr"/>
      <c r="I95" s="3" t="inlineStr">
        <is>
          <t>[Afinidad: 58/100 - Afinidad Moderada] Afinidad moderada en áreas técnicas del cargo (Técnico en Sistemas / Auxiliar de Soporte TI). Modalidad: 100% Remoto en Colombia confirmado.</t>
        </is>
      </c>
      <c r="J95" s="2" t="inlineStr">
        <is>
          <t>Nueva</t>
        </is>
      </c>
      <c r="K95" s="3" t="inlineStr"/>
    </row>
    <row r="96" ht="22" customHeight="1">
      <c r="A96" s="2" t="inlineStr">
        <is>
          <t>2b8357189ff315da</t>
        </is>
      </c>
      <c r="B96" s="2" t="inlineStr">
        <is>
          <t>2026-09-29 17:00</t>
        </is>
      </c>
      <c r="C96" s="3" t="inlineStr">
        <is>
          <t>Auxiliar de sistemas</t>
        </is>
      </c>
      <c r="D96" s="3" t="inlineStr">
        <is>
          <t>DAVITA SAS</t>
        </is>
      </c>
      <c r="E96" s="7" t="n">
        <v>0.58</v>
      </c>
      <c r="F96" s="2" t="inlineStr">
        <is>
          <t>Remoto</t>
        </is>
      </c>
      <c r="G96" s="5">
        <f>HYPERLINK("https://www.elempleo.com/co/ofertas-trabajo/auxiliar-de-sistemas-1886758163", "Ver Vacante")</f>
        <v/>
      </c>
      <c r="H96" s="6" t="inlineStr"/>
      <c r="I96" s="3" t="inlineStr">
        <is>
          <t>[Afinidad: 58/100 - Afinidad Moderada] Afinidad moderada en áreas técnicas del cargo (Técnico en Sistemas / Auxiliar de Soporte TI). Modalidad: 100% Remoto en Colombia confirmado.</t>
        </is>
      </c>
      <c r="J96" s="2" t="inlineStr">
        <is>
          <t>Nueva</t>
        </is>
      </c>
      <c r="K96" s="3" t="inlineStr"/>
    </row>
    <row r="97" ht="22" customHeight="1">
      <c r="A97" s="2" t="inlineStr">
        <is>
          <t>a87934e7643b2c1c</t>
        </is>
      </c>
      <c r="B97" s="2" t="inlineStr">
        <is>
          <t>2026-09-29 17:00</t>
        </is>
      </c>
      <c r="C97" s="3" t="inlineStr">
        <is>
          <t>Tecnico de instalaciones cableado de redes - licencia conte cali</t>
        </is>
      </c>
      <c r="D97" s="3" t="inlineStr">
        <is>
          <t>Confidencial</t>
        </is>
      </c>
      <c r="E97" s="7" t="n">
        <v>0.58</v>
      </c>
      <c r="F97" s="2" t="inlineStr">
        <is>
          <t>Remoto</t>
        </is>
      </c>
      <c r="G97" s="5">
        <f>HYPERLINK("https://www.elempleo.com/co/ofertas-trabajo/tecnico-de-instalaciones-cableado-de-redes-licencia-conte-cali-1886759847", "Ver Vacante")</f>
        <v/>
      </c>
      <c r="H97" s="6" t="inlineStr"/>
      <c r="I97" s="3" t="inlineStr">
        <is>
          <t>[Afinidad: 58/100 - Afinidad Moderada] Afinidad moderada en áreas técnicas del cargo (Técnico en Sistemas / Auxiliar de Soporte TI). Modalidad: 100% Remoto en Colombia confirmado.</t>
        </is>
      </c>
      <c r="J97" s="2" t="inlineStr">
        <is>
          <t>Nueva</t>
        </is>
      </c>
      <c r="K97" s="3" t="inlineStr"/>
    </row>
    <row r="98" ht="22" customHeight="1">
      <c r="A98" s="2" t="inlineStr">
        <is>
          <t>10b4265e3ad11d81</t>
        </is>
      </c>
      <c r="B98" s="2" t="inlineStr">
        <is>
          <t>2026-09-29 17:00</t>
        </is>
      </c>
      <c r="C98" s="3" t="inlineStr">
        <is>
          <t>Information Technology Help Desk Support</t>
        </is>
      </c>
      <c r="D98" s="3" t="inlineStr">
        <is>
          <t>Booth</t>
        </is>
      </c>
      <c r="E98" s="7" t="n">
        <v>0.58</v>
      </c>
      <c r="F98" s="2" t="inlineStr">
        <is>
          <t>Remoto</t>
        </is>
      </c>
      <c r="G98" s="5">
        <f>HYPERLINK("https://co.linkedin.com/jobs/view/information-technology-help-desk-support-at-booth-4471203962", "Ver Vacante")</f>
        <v/>
      </c>
      <c r="H98" s="6" t="inlineStr"/>
      <c r="I98" s="3" t="inlineStr">
        <is>
          <t>[Afinidad: 58/100 - Afinidad Moderada] Afinidad moderada en áreas técnicas del cargo (Técnico en Sistemas / Auxiliar de Soporte TI). Modalidad: 100% Remoto en Colombia confirmado.</t>
        </is>
      </c>
      <c r="J98" s="2" t="inlineStr">
        <is>
          <t>Nueva</t>
        </is>
      </c>
      <c r="K98" s="3" t="inlineStr"/>
    </row>
    <row r="99" ht="22" customHeight="1">
      <c r="A99" s="2" t="inlineStr">
        <is>
          <t>ff69ae85c8697a37</t>
        </is>
      </c>
      <c r="B99" s="2" t="inlineStr">
        <is>
          <t>2026-09-30 16:49</t>
        </is>
      </c>
      <c r="C99" s="3" t="inlineStr">
        <is>
          <t>Técnico de soporte ti - bogota</t>
        </is>
      </c>
      <c r="D99" s="3" t="inlineStr">
        <is>
          <t>Confidencial</t>
        </is>
      </c>
      <c r="E99" s="7" t="n">
        <v>0.58</v>
      </c>
      <c r="F99" s="2" t="inlineStr">
        <is>
          <t>Remoto</t>
        </is>
      </c>
      <c r="G99" s="5">
        <f>HYPERLINK("https://www.elempleo.com/co/ofertas-trabajo/tecnico-de-soporte-ti-bogota-1886774059", "Ver Vacante")</f>
        <v/>
      </c>
      <c r="H99" s="6" t="inlineStr"/>
      <c r="I99" s="3" t="inlineStr">
        <is>
          <t>[Afinidad: 58/100 - Afinidad Moderada] Afinidad moderada en áreas técnicas del cargo (Técnico en Sistemas / Auxiliar de Soporte TI). Modalidad: 100% Remoto en Colombia confirmado.</t>
        </is>
      </c>
      <c r="J99" s="2" t="inlineStr">
        <is>
          <t>Nueva</t>
        </is>
      </c>
      <c r="K99" s="3" t="inlineStr"/>
    </row>
    <row r="100" ht="22" customHeight="1">
      <c r="A100" s="2" t="inlineStr">
        <is>
          <t>bbacf7d69ab9084e</t>
        </is>
      </c>
      <c r="B100" s="2" t="inlineStr">
        <is>
          <t>2026-09-30 16:49</t>
        </is>
      </c>
      <c r="C100" s="3" t="inlineStr">
        <is>
          <t>IT Helpdesk Analyst</t>
        </is>
      </c>
      <c r="D100" s="3" t="inlineStr">
        <is>
          <t>Power Digital Marketing</t>
        </is>
      </c>
      <c r="E100" s="7" t="n">
        <v>0.58</v>
      </c>
      <c r="F100" s="2" t="inlineStr">
        <is>
          <t>Remoto</t>
        </is>
      </c>
      <c r="G100" s="5">
        <f>HYPERLINK("https://co.linkedin.com/jobs/view/it-helpdesk-analyst-at-power-digital-marketing-4472601999", "Ver Vacante")</f>
        <v/>
      </c>
      <c r="H100" s="6" t="inlineStr"/>
      <c r="I100" s="3" t="inlineStr">
        <is>
          <t>[Afinidad: 58/100 - Afinidad Moderada] Afinidad moderada en áreas técnicas del cargo (Técnico en Sistemas / Auxiliar de Soporte TI). Modalidad: 100% Remoto en Colombia confirmado.</t>
        </is>
      </c>
      <c r="J100" s="2" t="inlineStr">
        <is>
          <t>Nueva</t>
        </is>
      </c>
      <c r="K100" s="3" t="inlineStr"/>
    </row>
    <row r="101" ht="22" customHeight="1">
      <c r="A101" s="2" t="inlineStr">
        <is>
          <t>bb848f474ff4b611</t>
        </is>
      </c>
      <c r="B101" s="2" t="inlineStr">
        <is>
          <t>2026-10-01 17:26</t>
        </is>
      </c>
      <c r="C101" s="3" t="inlineStr">
        <is>
          <t>Técnico de soporte ti - bogota</t>
        </is>
      </c>
      <c r="D101" s="3" t="inlineStr">
        <is>
          <t>Confidencial</t>
        </is>
      </c>
      <c r="E101" s="7" t="n">
        <v>0.58</v>
      </c>
      <c r="F101" s="2" t="inlineStr">
        <is>
          <t>Remoto</t>
        </is>
      </c>
      <c r="G101" s="5">
        <f>HYPERLINK("https://www.elempleo.com/co/ofertas-trabajo/tecnico-de-soporte-ti-bogota-1886772292", "Ver Vacante")</f>
        <v/>
      </c>
      <c r="H101" s="6" t="inlineStr"/>
      <c r="I101" s="3" t="inlineStr">
        <is>
          <t>[Afinidad: 58/100 - Afinidad Moderada] Afinidad moderada en áreas técnicas del cargo (Técnico en Sistemas / Auxiliar de Soporte TI). Modalidad: 100% Remoto en Colombia confirmado.</t>
        </is>
      </c>
      <c r="J101" s="2" t="inlineStr">
        <is>
          <t>Nueva</t>
        </is>
      </c>
      <c r="K101" s="3" t="inlineStr"/>
    </row>
    <row r="102" ht="22" customHeight="1">
      <c r="A102" s="2" t="inlineStr">
        <is>
          <t>b44a1c6cfb004ca8</t>
        </is>
      </c>
      <c r="B102" s="2" t="inlineStr">
        <is>
          <t>2026-10-01 17:26</t>
        </is>
      </c>
      <c r="C102" s="3" t="inlineStr">
        <is>
          <t>Soporte ti nivel 2 - bogotá</t>
        </is>
      </c>
      <c r="D102" s="3" t="inlineStr">
        <is>
          <t>Confidencial</t>
        </is>
      </c>
      <c r="E102" s="7" t="n">
        <v>0.58</v>
      </c>
      <c r="F102" s="2" t="inlineStr">
        <is>
          <t>Remoto</t>
        </is>
      </c>
      <c r="G102" s="5">
        <f>HYPERLINK("https://www.elempleo.com/co/ofertas-trabajo/soporte-ti-nivel-2-bogota-1886774821", "Ver Vacante")</f>
        <v/>
      </c>
      <c r="H102" s="6" t="inlineStr"/>
      <c r="I102" s="3" t="inlineStr">
        <is>
          <t>[Afinidad: 58/100 - Afinidad Moderada] Afinidad moderada en áreas técnicas del cargo (Técnico en Sistemas / Auxiliar de Soporte TI). Modalidad: 100% Remoto en Colombia confirmado.</t>
        </is>
      </c>
      <c r="J102" s="2" t="inlineStr">
        <is>
          <t>Nueva</t>
        </is>
      </c>
      <c r="K102" s="3" t="inlineStr"/>
    </row>
    <row r="103" ht="22" customHeight="1">
      <c r="A103" s="2" t="inlineStr">
        <is>
          <t>fb0ad2b513afb97c</t>
        </is>
      </c>
      <c r="B103" s="2" t="inlineStr">
        <is>
          <t>2026-10-01 17:26</t>
        </is>
      </c>
      <c r="C103" s="3" t="inlineStr">
        <is>
          <t>IT Help Desk Support Specialist</t>
        </is>
      </c>
      <c r="D103" s="3" t="inlineStr">
        <is>
          <t>Talento</t>
        </is>
      </c>
      <c r="E103" s="7" t="n">
        <v>0.58</v>
      </c>
      <c r="F103" s="2" t="inlineStr">
        <is>
          <t>Remoto</t>
        </is>
      </c>
      <c r="G103" s="5">
        <f>HYPERLINK("https://co.linkedin.com/jobs/view/it-help-desk-support-specialist-tier-1-at-talento-4473960480", "Ver Vacante")</f>
        <v/>
      </c>
      <c r="H103" s="6" t="inlineStr"/>
      <c r="I103" s="3" t="inlineStr">
        <is>
          <t>[Afinidad: 58/100 - Afinidad Moderada] Afinidad moderada en áreas técnicas del cargo (Técnico en Sistemas / Auxiliar de Soporte TI). Modalidad: 100% Remoto en Colombia confirmado.</t>
        </is>
      </c>
      <c r="J103" s="2" t="inlineStr">
        <is>
          <t>Nueva</t>
        </is>
      </c>
      <c r="K103" s="3" t="inlineStr"/>
    </row>
    <row r="104" ht="22" customHeight="1">
      <c r="A104" s="2" t="inlineStr">
        <is>
          <t>0b2067d6ae488f4c</t>
        </is>
      </c>
      <c r="B104" s="2" t="inlineStr">
        <is>
          <t>2026-10-02 16:39</t>
        </is>
      </c>
      <c r="C104" s="3" t="inlineStr">
        <is>
          <t>Help Desk Technician level 1</t>
        </is>
      </c>
      <c r="D104" s="3" t="inlineStr">
        <is>
          <t>Solvo Global</t>
        </is>
      </c>
      <c r="E104" s="7" t="n">
        <v>0.58</v>
      </c>
      <c r="F104" s="2" t="inlineStr">
        <is>
          <t>Remoto</t>
        </is>
      </c>
      <c r="G104" s="5">
        <f>HYPERLINK("https://co.linkedin.com/jobs/view/help-desk-technician-level-1-at-solvo-global-4472590892", "Ver Vacante")</f>
        <v/>
      </c>
      <c r="H104" s="6" t="inlineStr"/>
      <c r="I104" s="3" t="inlineStr">
        <is>
          <t>[Afinidad: 58/100 - Afinidad Moderada] Afinidad moderada en áreas técnicas del cargo (Técnico en Sistemas / Auxiliar de Soporte TI). Modalidad: 100% Remoto en Colombia confirmado.</t>
        </is>
      </c>
      <c r="J104" s="2" t="inlineStr">
        <is>
          <t>Nueva</t>
        </is>
      </c>
      <c r="K104" s="3" t="inlineStr"/>
    </row>
    <row r="105" ht="22" customHeight="1">
      <c r="A105" s="2" t="inlineStr">
        <is>
          <t>07acc222a3ca2ef1</t>
        </is>
      </c>
      <c r="B105" s="2" t="inlineStr">
        <is>
          <t>2026-10-03 15:12</t>
        </is>
      </c>
      <c r="C105" s="3" t="inlineStr">
        <is>
          <t>Analista mesa de ayuda funza temporal 6 meses</t>
        </is>
      </c>
      <c r="D105" s="3" t="inlineStr">
        <is>
          <t>Axity</t>
        </is>
      </c>
      <c r="E105" s="7" t="n">
        <v>0.58</v>
      </c>
      <c r="F105" s="2" t="inlineStr">
        <is>
          <t>Remoto</t>
        </is>
      </c>
      <c r="G105" s="5">
        <f>HYPERLINK("https://www.elempleo.com/co/ofertas-trabajo/analista-mesa-de-ayuda-funza-temporal-6-meses-1886774524", "Ver Vacante")</f>
        <v/>
      </c>
      <c r="H105" s="6" t="inlineStr"/>
      <c r="I105" s="3" t="inlineStr">
        <is>
          <t>[Afinidad: 58/100 - Afinidad Moderada] Afinidad moderada en áreas técnicas del cargo (Técnico en Sistemas / Auxiliar de Soporte TI). Modalidad: 100% Remoto en Colombia confirmado.</t>
        </is>
      </c>
      <c r="J105" s="2" t="inlineStr">
        <is>
          <t>Nueva</t>
        </is>
      </c>
      <c r="K105" s="3" t="inlineStr"/>
    </row>
    <row r="106" ht="22" customHeight="1">
      <c r="A106" s="2" t="inlineStr">
        <is>
          <t>5ec0ea33876ba2b5</t>
        </is>
      </c>
      <c r="B106" s="2" t="inlineStr">
        <is>
          <t>2026-10-05 19:45</t>
        </is>
      </c>
      <c r="C106" s="3" t="inlineStr">
        <is>
          <t>Help desk analyst l1</t>
        </is>
      </c>
      <c r="D106" s="3" t="inlineStr">
        <is>
          <t>Confidencial</t>
        </is>
      </c>
      <c r="E106" s="7" t="n">
        <v>0.58</v>
      </c>
      <c r="F106" s="2" t="inlineStr">
        <is>
          <t>Remoto</t>
        </is>
      </c>
      <c r="G106" s="5">
        <f>HYPERLINK("https://www.elempleo.com/co/ofertas-trabajo/help-desk-analyst-l1-medellin-1886776156", "Ver Vacante")</f>
        <v/>
      </c>
      <c r="H106" s="6" t="inlineStr"/>
      <c r="I106" s="3" t="inlineStr">
        <is>
          <t>[Afinidad: 58/100 - Afinidad Moderada] Afinidad moderada en áreas técnicas del cargo (Técnico en Sistemas / Auxiliar de Soporte TI). Modalidad: 100% Remoto en Colombia confirmado.</t>
        </is>
      </c>
      <c r="J106" s="2" t="inlineStr">
        <is>
          <t>Nueva</t>
        </is>
      </c>
      <c r="K106" s="3" t="inlineStr"/>
    </row>
    <row r="107" ht="22" customHeight="1">
      <c r="A107" s="2" t="inlineStr">
        <is>
          <t>e8bdf2094d1c9817</t>
        </is>
      </c>
      <c r="B107" s="2" t="inlineStr">
        <is>
          <t>2026-10-05 19:45</t>
        </is>
      </c>
      <c r="C107" s="3" t="inlineStr">
        <is>
          <t>Administrador de herramienta de gestión de mesa de ayuda-</t>
        </is>
      </c>
      <c r="D107" s="3" t="inlineStr">
        <is>
          <t>SELCOMP INGENIERÍA SAS</t>
        </is>
      </c>
      <c r="E107" s="7" t="n">
        <v>0.58</v>
      </c>
      <c r="F107" s="2" t="inlineStr">
        <is>
          <t>Remoto</t>
        </is>
      </c>
      <c r="G107" s="5">
        <f>HYPERLINK("https://www.elempleo.com/co/ofertas-trabajo/administrador-de-herramienta-de-gestion-de-mesa-de-ayuda-1886776286", "Ver Vacante")</f>
        <v/>
      </c>
      <c r="H107" s="6" t="inlineStr"/>
      <c r="I107" s="3" t="inlineStr">
        <is>
          <t>[Afinidad: 58/100 - Afinidad Moderada] Afinidad moderada en áreas técnicas del cargo (Técnico en Sistemas / Auxiliar de Soporte TI). Modalidad: 100% Remoto en Colombia confirmado.</t>
        </is>
      </c>
      <c r="J107" s="2" t="inlineStr">
        <is>
          <t>Nueva</t>
        </is>
      </c>
      <c r="K107" s="3" t="inlineStr"/>
    </row>
    <row r="108" ht="22" customHeight="1">
      <c r="A108" s="2" t="inlineStr">
        <is>
          <t>6e9a077b42879470</t>
        </is>
      </c>
      <c r="B108" s="2" t="inlineStr">
        <is>
          <t>2026-10-05 19:45</t>
        </is>
      </c>
      <c r="C108" s="3" t="inlineStr">
        <is>
          <t>Analista de soporte de aplicaciones nivel 3</t>
        </is>
      </c>
      <c r="D108" s="3" t="inlineStr">
        <is>
          <t>TALYCAP GLOBAL SAS</t>
        </is>
      </c>
      <c r="E108" s="7" t="n">
        <v>0.58</v>
      </c>
      <c r="F108" s="2" t="inlineStr">
        <is>
          <t>Remoto</t>
        </is>
      </c>
      <c r="G108" s="5">
        <f>HYPERLINK("https://www.elempleo.com/co/ofertas-trabajo/analista-de-soporte-de-aplicaciones-nivel-3-1886776104", "Ver Vacante")</f>
        <v/>
      </c>
      <c r="H108" s="6" t="inlineStr"/>
      <c r="I108" s="3" t="inlineStr">
        <is>
          <t>[Afinidad: 58/100 - Afinidad Moderada] Afinidad moderada en áreas técnicas del cargo (Técnico en Sistemas / Auxiliar de Soporte TI). Modalidad: 100% Remoto en Colombia confirmado.</t>
        </is>
      </c>
      <c r="J108" s="2" t="inlineStr">
        <is>
          <t>Nueva</t>
        </is>
      </c>
      <c r="K108" s="3" t="inlineStr"/>
    </row>
    <row r="109" ht="22" customHeight="1">
      <c r="A109" s="2" t="inlineStr">
        <is>
          <t>447afec244b20f9b</t>
        </is>
      </c>
      <c r="B109" s="2" t="inlineStr">
        <is>
          <t>2026-10-06 17:12</t>
        </is>
      </c>
      <c r="C109" s="3" t="inlineStr">
        <is>
          <t>Técnico de soporte ti - bogota</t>
        </is>
      </c>
      <c r="D109" s="3" t="inlineStr">
        <is>
          <t>Confidencial</t>
        </is>
      </c>
      <c r="E109" s="7" t="n">
        <v>0.58</v>
      </c>
      <c r="F109" s="2" t="inlineStr">
        <is>
          <t>Remoto</t>
        </is>
      </c>
      <c r="G109" s="5">
        <f>HYPERLINK("https://www.elempleo.com/co/ofertas-trabajo/tecnico-de-soporte-ti-bogota-1886775990", "Ver Vacante")</f>
        <v/>
      </c>
      <c r="H109" s="6" t="inlineStr"/>
      <c r="I109" s="3" t="inlineStr">
        <is>
          <t>[Afinidad: 58/100 - Afinidad Moderada] Afinidad moderada en áreas técnicas del cargo (Técnico en Sistemas / Auxiliar de Soporte TI). Modalidad: 100% Remoto en Colombia confirmado.</t>
        </is>
      </c>
      <c r="J109" s="2" t="inlineStr">
        <is>
          <t>Nueva</t>
        </is>
      </c>
      <c r="K109" s="3" t="inlineStr"/>
    </row>
    <row r="110" ht="22" customHeight="1">
      <c r="A110" s="2" t="inlineStr">
        <is>
          <t>8f14c41f3b443ac0</t>
        </is>
      </c>
      <c r="B110" s="2" t="inlineStr">
        <is>
          <t>2026-10-07 17:50</t>
        </is>
      </c>
      <c r="C110" s="3" t="inlineStr">
        <is>
          <t>Soporte mesa de ayuda</t>
        </is>
      </c>
      <c r="D110" s="3" t="inlineStr">
        <is>
          <t>MANPOWER</t>
        </is>
      </c>
      <c r="E110" s="7" t="n">
        <v>0.58</v>
      </c>
      <c r="F110" s="2" t="inlineStr">
        <is>
          <t>Remoto</t>
        </is>
      </c>
      <c r="G110" s="5">
        <f>HYPERLINK("https://www.elempleo.com/co/ofertas-trabajo/soporte-mesa-de-ayuda-vacaciones-1886776917", "Ver Vacante")</f>
        <v/>
      </c>
      <c r="H110" s="6" t="inlineStr"/>
      <c r="I110" s="3" t="inlineStr">
        <is>
          <t>[Afinidad: 58/100 - Afinidad Moderada] Afinidad moderada en áreas técnicas del cargo (Técnico en Sistemas / Auxiliar de Soporte TI). Modalidad: 100% Remoto en Colombia confirmado.</t>
        </is>
      </c>
      <c r="J110" s="2" t="inlineStr">
        <is>
          <t>Nueva</t>
        </is>
      </c>
      <c r="K110" s="3" t="inlineStr"/>
    </row>
    <row r="111" ht="22" customHeight="1">
      <c r="A111" s="2" t="inlineStr">
        <is>
          <t>b1a9e03967fff91e</t>
        </is>
      </c>
      <c r="B111" s="2" t="inlineStr">
        <is>
          <t>2026-10-07 17:50</t>
        </is>
      </c>
      <c r="C111" s="3" t="inlineStr">
        <is>
          <t>Tecnólogo de soporte pl - mesa de ayuda</t>
        </is>
      </c>
      <c r="D111" s="3" t="inlineStr">
        <is>
          <t>Positivo S+</t>
        </is>
      </c>
      <c r="E111" s="7" t="n">
        <v>0.58</v>
      </c>
      <c r="F111" s="2" t="inlineStr">
        <is>
          <t>Remoto</t>
        </is>
      </c>
      <c r="G111" s="5">
        <f>HYPERLINK("https://www.elempleo.com/co/ofertas-trabajo/tecnologo-de-soporte-pl-mesa-de-ayuda-1886775546", "Ver Vacante")</f>
        <v/>
      </c>
      <c r="H111" s="6" t="inlineStr"/>
      <c r="I111" s="3" t="inlineStr">
        <is>
          <t>[Afinidad: 58/100 - Afinidad Moderada] Afinidad moderada en áreas técnicas del cargo (Técnico en Sistemas / Auxiliar de Soporte TI). Modalidad: 100% Remoto en Colombia confirmado.</t>
        </is>
      </c>
      <c r="J111" s="2" t="inlineStr">
        <is>
          <t>Nueva</t>
        </is>
      </c>
      <c r="K111" s="3" t="inlineStr"/>
    </row>
    <row r="112" ht="22" customHeight="1">
      <c r="A112" s="2" t="inlineStr">
        <is>
          <t>eb49981c97933d93</t>
        </is>
      </c>
      <c r="B112" s="2" t="inlineStr">
        <is>
          <t>2026-10-07 17:50</t>
        </is>
      </c>
      <c r="C112" s="3" t="inlineStr">
        <is>
          <t>Tecnico de instalaciones cableado de redes - licencia conte</t>
        </is>
      </c>
      <c r="D112" s="3" t="inlineStr">
        <is>
          <t>Confidencial</t>
        </is>
      </c>
      <c r="E112" s="7" t="n">
        <v>0.58</v>
      </c>
      <c r="F112" s="2" t="inlineStr">
        <is>
          <t>Remoto</t>
        </is>
      </c>
      <c r="G112" s="5">
        <f>HYPERLINK("https://www.elempleo.com/co/ofertas-trabajo/tecnico-de-instalaciones-cableado-de-redes-licencia-conte-1886777333", "Ver Vacante")</f>
        <v/>
      </c>
      <c r="H112" s="6" t="inlineStr"/>
      <c r="I112" s="3" t="inlineStr">
        <is>
          <t>[Afinidad: 58/100 - Afinidad Moderada] Afinidad moderada en áreas técnicas del cargo (Técnico en Sistemas / Auxiliar de Soporte TI). Modalidad: 100% Remoto en Colombia confirmado.</t>
        </is>
      </c>
      <c r="J112" s="2" t="inlineStr">
        <is>
          <t>Nueva</t>
        </is>
      </c>
      <c r="K112" s="3" t="inlineStr"/>
    </row>
    <row r="113" ht="22" customHeight="1">
      <c r="A113" s="2" t="inlineStr">
        <is>
          <t>d39af22b6e937d28</t>
        </is>
      </c>
      <c r="B113" s="2" t="inlineStr">
        <is>
          <t>2026-10-07 17:50</t>
        </is>
      </c>
      <c r="C113" s="3" t="inlineStr">
        <is>
          <t>Analista Mesa de Ayuda Funza</t>
        </is>
      </c>
      <c r="D113" s="3" t="inlineStr">
        <is>
          <t>axity</t>
        </is>
      </c>
      <c r="E113" s="7" t="n">
        <v>0.58</v>
      </c>
      <c r="F113" s="2" t="inlineStr">
        <is>
          <t>Remoto</t>
        </is>
      </c>
      <c r="G113" s="5">
        <f>HYPERLINK("https://co.linkedin.com/jobs/view/analista-mesa-de-ayuda-funza-at-axity-4471985006", "Ver Vacante")</f>
        <v/>
      </c>
      <c r="H113" s="6" t="inlineStr"/>
      <c r="I113" s="3" t="inlineStr">
        <is>
          <t>[Afinidad: 58/100 - Afinidad Moderada] Afinidad moderada en áreas técnicas del cargo (Técnico en Sistemas / Auxiliar de Soporte TI). Modalidad: 100% Remoto en Colombia confirmado.</t>
        </is>
      </c>
      <c r="J113" s="2" t="inlineStr">
        <is>
          <t>Nueva</t>
        </is>
      </c>
      <c r="K113" s="3" t="inlineStr"/>
    </row>
    <row r="114" ht="22" customHeight="1">
      <c r="A114" s="2" t="inlineStr">
        <is>
          <t>0904912d51c5cd61</t>
        </is>
      </c>
      <c r="B114" s="2" t="inlineStr">
        <is>
          <t>2026-10-08 17:52</t>
        </is>
      </c>
      <c r="C114" s="3" t="inlineStr">
        <is>
          <t>Analista mesa de ayuda</t>
        </is>
      </c>
      <c r="D114" s="3" t="inlineStr">
        <is>
          <t>Desarrollo de Sistemas y Servicios SAS</t>
        </is>
      </c>
      <c r="E114" s="7" t="n">
        <v>0.58</v>
      </c>
      <c r="F114" s="2" t="inlineStr">
        <is>
          <t>Remoto</t>
        </is>
      </c>
      <c r="G114" s="5">
        <f>HYPERLINK("https://www.elempleo.com/co/ofertas-trabajo/analista-mesa-de-ayuda-1886778032", "Ver Vacante")</f>
        <v/>
      </c>
      <c r="H114" s="6" t="inlineStr"/>
      <c r="I114" s="3" t="inlineStr">
        <is>
          <t>[Afinidad: 58/100 - Afinidad Moderada] Afinidad moderada en áreas técnicas del cargo (Técnico en Sistemas / Auxiliar de Soporte TI). Modalidad: 100% Remoto en Colombia confirmado.</t>
        </is>
      </c>
      <c r="J114" s="2" t="inlineStr">
        <is>
          <t>Nueva</t>
        </is>
      </c>
      <c r="K114" s="3" t="inlineStr"/>
    </row>
    <row r="115" ht="22" customHeight="1">
      <c r="A115" s="2" t="inlineStr">
        <is>
          <t>c665ada630270dce</t>
        </is>
      </c>
      <c r="B115" s="2" t="inlineStr">
        <is>
          <t>2026-10-09 17:28</t>
        </is>
      </c>
      <c r="C115" s="3" t="inlineStr">
        <is>
          <t>Técnico(a) / tecnólogo(a) / profesional de telecomunicaciones - redes de fibra óptica</t>
        </is>
      </c>
      <c r="D115" s="3" t="inlineStr">
        <is>
          <t>JAHV MC GREGOR S.A.S</t>
        </is>
      </c>
      <c r="E115" s="7" t="n">
        <v>0.58</v>
      </c>
      <c r="F115" s="2" t="inlineStr">
        <is>
          <t>Remoto</t>
        </is>
      </c>
      <c r="G115" s="5">
        <f>HYPERLINK("https://www.elempleo.com/co/ofertas-trabajo/tecnicoa-tecnologoa-profesional-de-telecomunicaciones-redes-de-fibra-optica-1886768691", "Ver Vacante")</f>
        <v/>
      </c>
      <c r="H115" s="6" t="inlineStr"/>
      <c r="I115" s="3" t="inlineStr">
        <is>
          <t>[Afinidad: 58/100 - Afinidad Moderada] Afinidad moderada en áreas técnicas del cargo (Técnico en Sistemas / Auxiliar de Soporte TI). Modalidad: 100% Remoto en Colombia confirmado.</t>
        </is>
      </c>
      <c r="J115" s="2" t="inlineStr">
        <is>
          <t>Nueva</t>
        </is>
      </c>
      <c r="K115" s="3" t="inlineStr"/>
    </row>
    <row r="116" ht="22" customHeight="1">
      <c r="A116" s="2" t="inlineStr">
        <is>
          <t>4e5b3128aa7f8f9b</t>
        </is>
      </c>
      <c r="B116" s="2" t="inlineStr">
        <is>
          <t>2026-10-09 17:28</t>
        </is>
      </c>
      <c r="C116" s="3" t="inlineStr">
        <is>
          <t>Gestor de servicios mesa de ayuda sap</t>
        </is>
      </c>
      <c r="D116" s="3" t="inlineStr">
        <is>
          <t>Confidencial</t>
        </is>
      </c>
      <c r="E116" s="7" t="n">
        <v>0.58</v>
      </c>
      <c r="F116" s="2" t="inlineStr">
        <is>
          <t>Remoto</t>
        </is>
      </c>
      <c r="G116" s="5">
        <f>HYPERLINK("https://www.elempleo.com/co/ofertas-trabajo/gestor-de-servicios-mesa-de-ayuda-sap-1886775732", "Ver Vacante")</f>
        <v/>
      </c>
      <c r="H116" s="6" t="inlineStr"/>
      <c r="I116" s="3" t="inlineStr">
        <is>
          <t>[Afinidad: 58/100 - Afinidad Moderada] Afinidad moderada en áreas técnicas del cargo (Técnico en Sistemas / Auxiliar de Soporte TI). Modalidad: 100% Remoto en Colombia confirmado.</t>
        </is>
      </c>
      <c r="J116" s="2" t="inlineStr">
        <is>
          <t>Nueva</t>
        </is>
      </c>
      <c r="K116" s="3" t="inlineStr"/>
    </row>
    <row r="117" ht="22" customHeight="1">
      <c r="A117" s="2" t="inlineStr">
        <is>
          <t>1c92f7ef9b7af696</t>
        </is>
      </c>
      <c r="B117" s="2" t="inlineStr">
        <is>
          <t>2026-10-09 17:28</t>
        </is>
      </c>
      <c r="C117" s="3" t="inlineStr">
        <is>
          <t>Agente de mesa de ayuda nivel 1</t>
        </is>
      </c>
      <c r="D117" s="3" t="inlineStr">
        <is>
          <t>Confidencial</t>
        </is>
      </c>
      <c r="E117" s="7" t="n">
        <v>0.58</v>
      </c>
      <c r="F117" s="2" t="inlineStr">
        <is>
          <t>Remoto</t>
        </is>
      </c>
      <c r="G117" s="5">
        <f>HYPERLINK("https://www.elempleo.com/co/ofertas-trabajo/agente-de-mesa-de-ayuda-nivel-1-1886778506", "Ver Vacante")</f>
        <v/>
      </c>
      <c r="H117" s="6" t="inlineStr"/>
      <c r="I117" s="3" t="inlineStr">
        <is>
          <t>[Afinidad: 58/100 - Afinidad Moderada] Afinidad moderada en áreas técnicas del cargo (Técnico en Sistemas / Auxiliar de Soporte TI). Modalidad: 100% Remoto en Colombia confirmado.</t>
        </is>
      </c>
      <c r="J117" s="2" t="inlineStr">
        <is>
          <t>Nueva</t>
        </is>
      </c>
      <c r="K117" s="3" t="inlineStr"/>
    </row>
    <row r="118" ht="22" customHeight="1">
      <c r="A118" s="2" t="inlineStr">
        <is>
          <t>718ceee355d457ea</t>
        </is>
      </c>
      <c r="B118" s="2" t="inlineStr">
        <is>
          <t>2026-10-10 16:16</t>
        </is>
      </c>
      <c r="C118" s="3" t="inlineStr">
        <is>
          <t>IT Help Desk Support</t>
        </is>
      </c>
      <c r="D118" s="3" t="inlineStr">
        <is>
          <t>Booth</t>
        </is>
      </c>
      <c r="E118" s="7" t="n">
        <v>0.58</v>
      </c>
      <c r="F118" s="2" t="inlineStr">
        <is>
          <t>Remoto</t>
        </is>
      </c>
      <c r="G118" s="5">
        <f>HYPERLINK("https://co.linkedin.com/jobs/view/it-help-desk-support-at-booth-4471203962", "Ver Vacante")</f>
        <v/>
      </c>
      <c r="H118" s="6" t="inlineStr"/>
      <c r="I118" s="3" t="inlineStr">
        <is>
          <t>[Afinidad: 58/100 - Afinidad Moderada] Afinidad moderada en áreas técnicas del cargo (Técnico en Sistemas / Auxiliar de Soporte TI). Modalidad: 100% Remoto en Colombia confirmado.</t>
        </is>
      </c>
      <c r="J118" s="2" t="inlineStr">
        <is>
          <t>Nueva</t>
        </is>
      </c>
      <c r="K118" s="3" t="inlineStr"/>
    </row>
    <row r="119" ht="22" customHeight="1">
      <c r="A119" s="2" t="inlineStr">
        <is>
          <t>925f43273b78f188</t>
        </is>
      </c>
      <c r="B119" s="2" t="inlineStr">
        <is>
          <t>2026-10-12 20:17</t>
        </is>
      </c>
      <c r="C119" s="3" t="inlineStr">
        <is>
          <t>Mesa de ayuda ti - girón</t>
        </is>
      </c>
      <c r="D119" s="3" t="inlineStr">
        <is>
          <t>Confidencial</t>
        </is>
      </c>
      <c r="E119" s="7" t="n">
        <v>0.58</v>
      </c>
      <c r="F119" s="2" t="inlineStr">
        <is>
          <t>Remoto</t>
        </is>
      </c>
      <c r="G119" s="5">
        <f>HYPERLINK("https://www.elempleo.com/co/ofertas-trabajo/mesa-de-ayuda-ti-giron-1886745168", "Ver Vacante")</f>
        <v/>
      </c>
      <c r="H119" s="6" t="inlineStr"/>
      <c r="I119" s="3" t="inlineStr">
        <is>
          <t>[Afinidad: 58/100 - Afinidad Moderada] Afinidad moderada en áreas técnicas del cargo (Técnico en Sistemas / Auxiliar de Soporte TI). Modalidad: 100% Remoto en Colombia confirmado.</t>
        </is>
      </c>
      <c r="J119" s="2" t="inlineStr">
        <is>
          <t>Nueva</t>
        </is>
      </c>
      <c r="K119" s="3" t="inlineStr"/>
    </row>
    <row r="120" ht="22" customHeight="1">
      <c r="A120" s="2" t="inlineStr">
        <is>
          <t>ec0c8875e04f4933</t>
        </is>
      </c>
      <c r="B120" s="2" t="inlineStr">
        <is>
          <t>2026-10-13 18:08</t>
        </is>
      </c>
      <c r="C120" s="3" t="inlineStr">
        <is>
          <t>Analista de mesa de ayuda.</t>
        </is>
      </c>
      <c r="D120" s="3" t="inlineStr">
        <is>
          <t>Softtek Colombia</t>
        </is>
      </c>
      <c r="E120" s="7" t="n">
        <v>0.58</v>
      </c>
      <c r="F120" s="2" t="inlineStr">
        <is>
          <t>Remoto</t>
        </is>
      </c>
      <c r="G120" s="5">
        <f>HYPERLINK("https://www.elempleo.com/co/ofertas-trabajo/analista-de-mesa-de-ayuda-1886754207", "Ver Vacante")</f>
        <v/>
      </c>
      <c r="H120" s="6" t="inlineStr"/>
      <c r="I120" s="3" t="inlineStr">
        <is>
          <t>[Afinidad: 58/100 - Afinidad Moderada] Afinidad moderada en áreas técnicas del cargo (Técnico en Sistemas / Auxiliar de Soporte TI). Modalidad: 100% Remoto en Colombia confirmado.</t>
        </is>
      </c>
      <c r="J120" s="2" t="inlineStr">
        <is>
          <t>Nueva</t>
        </is>
      </c>
      <c r="K120" s="3" t="inlineStr"/>
    </row>
    <row r="121" ht="22" customHeight="1">
      <c r="A121" s="2" t="inlineStr">
        <is>
          <t>87fac63aa714f401</t>
        </is>
      </c>
      <c r="B121" s="2" t="inlineStr">
        <is>
          <t>2026-10-13 18:08</t>
        </is>
      </c>
      <c r="C121" s="3" t="inlineStr">
        <is>
          <t>Agente mesa de ayuda.</t>
        </is>
      </c>
      <c r="D121" s="3" t="inlineStr">
        <is>
          <t>Softtek Colombia</t>
        </is>
      </c>
      <c r="E121" s="7" t="n">
        <v>0.58</v>
      </c>
      <c r="F121" s="2" t="inlineStr">
        <is>
          <t>Remoto</t>
        </is>
      </c>
      <c r="G121" s="5">
        <f>HYPERLINK("https://www.elempleo.com/co/ofertas-trabajo/agente-mesa-de-ayuda-1886753535", "Ver Vacante")</f>
        <v/>
      </c>
      <c r="H121" s="6" t="inlineStr"/>
      <c r="I121" s="3" t="inlineStr">
        <is>
          <t>[Afinidad: 58/100 - Afinidad Moderada] Afinidad moderada en áreas técnicas del cargo (Técnico en Sistemas / Auxiliar de Soporte TI). Modalidad: 100% Remoto en Colombia confirmado.</t>
        </is>
      </c>
      <c r="J121" s="2" t="inlineStr">
        <is>
          <t>Nueva</t>
        </is>
      </c>
      <c r="K121" s="3" t="inlineStr"/>
    </row>
    <row r="122" ht="22" customHeight="1">
      <c r="A122" s="2" t="inlineStr">
        <is>
          <t>dfa7dd88fd24afb4</t>
        </is>
      </c>
      <c r="B122" s="2" t="inlineStr">
        <is>
          <t>2026-10-15 15:40</t>
        </is>
      </c>
      <c r="C122" s="3" t="inlineStr">
        <is>
          <t>Agente mesa de ayuda nivel 1 ingles avanzado</t>
        </is>
      </c>
      <c r="D122" s="3" t="inlineStr">
        <is>
          <t>SUSTS Colombia Ltda.</t>
        </is>
      </c>
      <c r="E122" s="7" t="n">
        <v>0.58</v>
      </c>
      <c r="F122" s="2" t="inlineStr">
        <is>
          <t>Remoto</t>
        </is>
      </c>
      <c r="G122" s="5">
        <f>HYPERLINK("https://www.elempleo.com/co/ofertas-trabajo/agente-mesa-de-ayuda-nivel-1-ingles-avanzado-1886780371", "Ver Vacante")</f>
        <v/>
      </c>
      <c r="H122" s="6" t="inlineStr"/>
      <c r="I122" s="3" t="inlineStr">
        <is>
          <t>[Afinidad: 58/100 - Afinidad Moderada] Afinidad moderada en áreas técnicas del cargo (Técnico en Sistemas / Auxiliar de Soporte TI). Modalidad: 100% Remoto en Colombia confirmado.</t>
        </is>
      </c>
      <c r="J122" s="2" t="inlineStr">
        <is>
          <t>Nueva</t>
        </is>
      </c>
      <c r="K122" s="3" t="inlineStr"/>
    </row>
    <row r="123" ht="22" customHeight="1">
      <c r="A123" s="2" t="inlineStr">
        <is>
          <t>6ec1aeac55104810</t>
        </is>
      </c>
      <c r="B123" s="2" t="inlineStr">
        <is>
          <t>2026-10-16 15:22</t>
        </is>
      </c>
      <c r="C123" s="3" t="inlineStr">
        <is>
          <t>Analista de Mesa de Ayuda</t>
        </is>
      </c>
      <c r="D123" s="3" t="inlineStr">
        <is>
          <t>INSEPET S.A.S</t>
        </is>
      </c>
      <c r="E123" s="7" t="n">
        <v>0.58</v>
      </c>
      <c r="F123" s="2" t="inlineStr">
        <is>
          <t>Remoto</t>
        </is>
      </c>
      <c r="G123" s="5">
        <f>HYPERLINK("https://co.computrabajo.com/ofertas-de-trabajo/oferta-de-trabajo-de-analista-de-mesa-de-ayuda-en-bogota-dc-731E37A9EEFEA71561373E686DCF3405", "Ver Vacante")</f>
        <v/>
      </c>
      <c r="H123" s="6" t="inlineStr">
        <is>
          <t>$ 1.800.000,00 (Mensual)</t>
        </is>
      </c>
      <c r="I123" s="3" t="inlineStr">
        <is>
          <t>[Afinidad: 58/100 - Afinidad Moderada] Afinidad moderada en áreas técnicas del cargo (Técnico en Sistemas / Auxiliar de Soporte TI). Modalidad: 100% Remoto en Colombia confirmado.</t>
        </is>
      </c>
      <c r="J123" s="2" t="inlineStr">
        <is>
          <t>Nueva</t>
        </is>
      </c>
      <c r="K123" s="3" t="inlineStr"/>
    </row>
    <row r="124" ht="22" customHeight="1">
      <c r="A124" s="2" t="inlineStr">
        <is>
          <t>c03a3cc06e28c7bb</t>
        </is>
      </c>
      <c r="B124" s="2" t="inlineStr">
        <is>
          <t>2026-10-16 15:22</t>
        </is>
      </c>
      <c r="C124" s="3" t="inlineStr">
        <is>
          <t>Agente de mesa de ayuda portugues</t>
        </is>
      </c>
      <c r="D124" s="3" t="inlineStr">
        <is>
          <t>COMWARE S.A.</t>
        </is>
      </c>
      <c r="E124" s="7" t="n">
        <v>0.58</v>
      </c>
      <c r="F124" s="2" t="inlineStr">
        <is>
          <t>Remoto</t>
        </is>
      </c>
      <c r="G124" s="5">
        <f>HYPERLINK("https://www.elempleo.com/co/ofertas-trabajo/agente-de-mesa-de-ayuda-portugues-1886781202", "Ver Vacante")</f>
        <v/>
      </c>
      <c r="H124" s="6" t="inlineStr"/>
      <c r="I124" s="3" t="inlineStr">
        <is>
          <t>[Afinidad: 58/100 - Afinidad Moderada] Afinidad moderada en áreas técnicas del cargo (Técnico en Sistemas / Auxiliar de Soporte TI). Modalidad: 100% Remoto en Colombia confirmado.</t>
        </is>
      </c>
      <c r="J124" s="2" t="inlineStr">
        <is>
          <t>Nueva</t>
        </is>
      </c>
      <c r="K124" s="3" t="inlineStr"/>
    </row>
    <row r="125" ht="22" customHeight="1">
      <c r="A125" s="2" t="inlineStr">
        <is>
          <t>2ecdc22edf2ff172</t>
        </is>
      </c>
      <c r="B125" s="2" t="inlineStr">
        <is>
          <t>2026-10-17 14:15</t>
        </is>
      </c>
      <c r="C125" s="3" t="inlineStr">
        <is>
          <t>Agente Mesa de ayuda Portugués</t>
        </is>
      </c>
      <c r="D125" s="3" t="inlineStr">
        <is>
          <t>COMWARE S.A</t>
        </is>
      </c>
      <c r="E125" s="7" t="n">
        <v>0.58</v>
      </c>
      <c r="F125" s="2" t="inlineStr">
        <is>
          <t>Remoto</t>
        </is>
      </c>
      <c r="G125" s="5">
        <f>HYPERLINK("https://co.computrabajo.com/ofertas-de-trabajo/oferta-de-trabajo-de-agente-mesa-de-ayuda-portugues-en-bogota-dc-D31C231B9F8EFFCA61373E686DCF3405", "Ver Vacante")</f>
        <v/>
      </c>
      <c r="H125" s="6" t="inlineStr">
        <is>
          <t>Remoto</t>
        </is>
      </c>
      <c r="I125" s="3" t="inlineStr">
        <is>
          <t>[Afinidad: 58/100 - Afinidad Moderada] Afinidad moderada en áreas técnicas del cargo (Técnico en Sistemas / Auxiliar de Soporte TI). Modalidad: 100% Remoto en Colombia confirmado.</t>
        </is>
      </c>
      <c r="J125" s="2" t="inlineStr">
        <is>
          <t>Nueva</t>
        </is>
      </c>
      <c r="K125" s="3" t="inlineStr"/>
    </row>
    <row r="126" ht="22" customHeight="1">
      <c r="A126" s="2" t="inlineStr">
        <is>
          <t>3807f82cb9f9ccdb</t>
        </is>
      </c>
      <c r="B126" s="2" t="inlineStr">
        <is>
          <t>2026-10-21 15:59</t>
        </is>
      </c>
      <c r="C126" s="3" t="inlineStr">
        <is>
          <t>Analista de Soporte TI Nivel I y II</t>
        </is>
      </c>
      <c r="D126" s="3" t="inlineStr">
        <is>
          <t>Autonomic SAS</t>
        </is>
      </c>
      <c r="E126" s="7" t="n">
        <v>0.58</v>
      </c>
      <c r="F126" s="2" t="inlineStr">
        <is>
          <t>Remoto</t>
        </is>
      </c>
      <c r="G126" s="5">
        <f>HYPERLINK("https://co.computrabajo.com/ofertas-de-trabajo/oferta-de-trabajo-de-analista-de-soporte-ti-nivel-i-y-ii-en-medellin-452D284A14726B6861373E686DCF3405", "Ver Vacante")</f>
        <v/>
      </c>
      <c r="H126" s="6" t="inlineStr">
        <is>
          <t>$ 2.000.000,00 (Mensual)</t>
        </is>
      </c>
      <c r="I126" s="3" t="inlineStr">
        <is>
          <t>[Afinidad: 58/100 - Afinidad Moderada] Afinidad moderada en áreas técnicas del cargo (Técnico en Sistemas / Auxiliar de Soporte TI). Modalidad: 100% Remoto en Colombia confirmado.</t>
        </is>
      </c>
      <c r="J126" s="2" t="inlineStr">
        <is>
          <t>Nueva</t>
        </is>
      </c>
      <c r="K126" s="3" t="inlineStr"/>
    </row>
    <row r="127" ht="22" customHeight="1">
      <c r="A127" s="2" t="inlineStr">
        <is>
          <t>a716d4100a0f8155</t>
        </is>
      </c>
      <c r="B127" s="2" t="inlineStr">
        <is>
          <t>2026-10-21 15:59</t>
        </is>
      </c>
      <c r="C127" s="3" t="inlineStr">
        <is>
          <t>Técnico de infraestructura y redes de telecomunicaciones - casanare</t>
        </is>
      </c>
      <c r="D127" s="3" t="inlineStr">
        <is>
          <t>SDT INGENIERIA</t>
        </is>
      </c>
      <c r="E127" s="7" t="n">
        <v>0.58</v>
      </c>
      <c r="F127" s="2" t="inlineStr">
        <is>
          <t>Remoto</t>
        </is>
      </c>
      <c r="G127" s="5">
        <f>HYPERLINK("https://www.elempleo.com/co/ofertas-trabajo/tecnico-de-infraestructura-y-redes-de-telecomunicaciones-casanare-1886779754", "Ver Vacante")</f>
        <v/>
      </c>
      <c r="H127" s="6" t="inlineStr"/>
      <c r="I127" s="3" t="inlineStr">
        <is>
          <t>[Afinidad: 58/100 - Afinidad Moderada] Afinidad moderada en áreas técnicas del cargo (Técnico en Sistemas / Auxiliar de Soporte TI). Modalidad: 100% Remoto en Colombia confirmado.</t>
        </is>
      </c>
      <c r="J127" s="2" t="inlineStr">
        <is>
          <t>Nueva</t>
        </is>
      </c>
      <c r="K127" s="3" t="inlineStr"/>
    </row>
    <row r="128" ht="22" customHeight="1">
      <c r="A128" s="2" t="inlineStr">
        <is>
          <t>3802f406ec698d83</t>
        </is>
      </c>
      <c r="B128" s="2" t="inlineStr">
        <is>
          <t>2026-10-21 15:59</t>
        </is>
      </c>
      <c r="C128" s="3" t="inlineStr">
        <is>
          <t>Técnico de telecomunicaciones e instalación de redes - bogotá | experiencia en obra civil</t>
        </is>
      </c>
      <c r="D128" s="3" t="inlineStr">
        <is>
          <t>ATIEMPO S.A.S</t>
        </is>
      </c>
      <c r="E128" s="7" t="n">
        <v>0.58</v>
      </c>
      <c r="F128" s="2" t="inlineStr">
        <is>
          <t>Remoto</t>
        </is>
      </c>
      <c r="G128" s="5">
        <f>HYPERLINK("https://www.elempleo.com/co/ofertas-trabajo/tecnico-de-telecomunicaciones-e-instalacion-de-redes-bogota-experiencia-en-obra-civil-1886760957", "Ver Vacante")</f>
        <v/>
      </c>
      <c r="H128" s="6" t="inlineStr"/>
      <c r="I128" s="3" t="inlineStr">
        <is>
          <t>[Afinidad: 58/100 - Afinidad Moderada] Afinidad moderada en áreas técnicas del cargo (Técnico en Sistemas / Auxiliar de Soporte TI). Modalidad: 100% Remoto en Colombia confirmado.</t>
        </is>
      </c>
      <c r="J128" s="2" t="inlineStr">
        <is>
          <t>Nueva</t>
        </is>
      </c>
      <c r="K128" s="3" t="inlineStr"/>
    </row>
    <row r="129" ht="22" customHeight="1">
      <c r="A129" s="2" t="inlineStr">
        <is>
          <t>73bbbc1e10d41363</t>
        </is>
      </c>
      <c r="B129" s="2" t="inlineStr">
        <is>
          <t>2026-10-22 15:57</t>
        </is>
      </c>
      <c r="C129" s="3" t="inlineStr">
        <is>
          <t>Analista de Soporte IT</t>
        </is>
      </c>
      <c r="D129" s="3" t="inlineStr">
        <is>
          <t>TEMPORALES DE SOPORTE S.A.S.</t>
        </is>
      </c>
      <c r="E129" s="7" t="n">
        <v>0.58</v>
      </c>
      <c r="F129" s="2" t="inlineStr">
        <is>
          <t>Remoto</t>
        </is>
      </c>
      <c r="G129" s="5">
        <f>HYPERLINK("https://co.computrabajo.com/ofertas-de-trabajo/oferta-de-trabajo-de-analista-de-soporte-it-en-bogota-dc-837CF03E481B2FAC61373E686DCF3405", "Ver Vacante")</f>
        <v/>
      </c>
      <c r="H129" s="6" t="inlineStr">
        <is>
          <t>$ 2.500.000,00 (Mensual)</t>
        </is>
      </c>
      <c r="I129" s="3" t="inlineStr">
        <is>
          <t>[Afinidad: 58/100 - Afinidad Moderada] Afinidad moderada en áreas técnicas del cargo (Técnico en Sistemas / Auxiliar de Soporte TI). Modalidad: 100% Remoto en Colombia confirmado.</t>
        </is>
      </c>
      <c r="J129" s="2" t="inlineStr">
        <is>
          <t>Nueva</t>
        </is>
      </c>
      <c r="K129" s="3" t="inlineStr"/>
    </row>
    <row r="130" ht="22" customHeight="1">
      <c r="A130" s="2" t="inlineStr">
        <is>
          <t>5c204537d3c4c22f</t>
        </is>
      </c>
      <c r="B130" s="2" t="inlineStr">
        <is>
          <t>2026-10-22 15:57</t>
        </is>
      </c>
      <c r="C130" s="3" t="inlineStr">
        <is>
          <t>Talento inclusivo : discapacidad | soporte | mesa de ayuda</t>
        </is>
      </c>
      <c r="D130" s="3" t="inlineStr">
        <is>
          <t>Sinergy &amp; Lowells</t>
        </is>
      </c>
      <c r="E130" s="7" t="n">
        <v>0.58</v>
      </c>
      <c r="F130" s="2" t="inlineStr">
        <is>
          <t>Remoto</t>
        </is>
      </c>
      <c r="G130" s="5">
        <f>HYPERLINK("https://www.elempleo.com/co/ofertas-trabajo/talento-inclusivo-discapacidad-soporte-mesa-de-ayuda-1886783065", "Ver Vacante")</f>
        <v/>
      </c>
      <c r="H130" s="6" t="inlineStr"/>
      <c r="I130" s="3" t="inlineStr">
        <is>
          <t>[Afinidad: 58/100 - Afinidad Moderada] Afinidad moderada en áreas técnicas del cargo (Técnico en Sistemas / Auxiliar de Soporte TI). Modalidad: 100% Remoto en Colombia confirmado.</t>
        </is>
      </c>
      <c r="J130" s="2" t="inlineStr">
        <is>
          <t>Nueva</t>
        </is>
      </c>
      <c r="K130" s="3" t="inlineStr"/>
    </row>
    <row r="131" ht="22" customHeight="1">
      <c r="A131" s="2" t="inlineStr">
        <is>
          <t>50c79dfbfd49f52d</t>
        </is>
      </c>
      <c r="B131" s="2" t="inlineStr">
        <is>
          <t>2026-10-02 16:39</t>
        </is>
      </c>
      <c r="C131" s="3" t="inlineStr">
        <is>
          <t>Analista de redes noc 1 telecomunicaciones.</t>
        </is>
      </c>
      <c r="D131" s="3" t="inlineStr">
        <is>
          <t>MANPOWER</t>
        </is>
      </c>
      <c r="E131" s="7" t="n">
        <v>0.53</v>
      </c>
      <c r="F131" s="2" t="inlineStr">
        <is>
          <t>Remoto</t>
        </is>
      </c>
      <c r="G131" s="5">
        <f>HYPERLINK("https://www.elempleo.com/co/ofertas-trabajo/analista-de-redes-noc-1-telecomunicaciones-1886772075", "Ver Vacante")</f>
        <v/>
      </c>
      <c r="H131" s="6" t="inlineStr"/>
      <c r="I131" s="3" t="inlineStr">
        <is>
          <t>[Afinidad: 53/100 - Afinidad Moderada] Afinidad moderada en áreas técnicas del cargo (Técnico en Sistemas / Auxiliar de Soporte TI). Modalidad: 100% Remoto en Colombia confirmado.</t>
        </is>
      </c>
      <c r="J131" s="2" t="inlineStr">
        <is>
          <t>Nueva</t>
        </is>
      </c>
      <c r="K131" s="3" t="inlineStr"/>
    </row>
    <row r="132" ht="22" customHeight="1">
      <c r="A132" s="2" t="inlineStr">
        <is>
          <t>afe94b7770349744</t>
        </is>
      </c>
      <c r="B132" s="2" t="inlineStr">
        <is>
          <t>2026-10-20 15:43</t>
        </is>
      </c>
      <c r="C132" s="3" t="inlineStr">
        <is>
          <t>Consultor de Seguridad de Redes – Akamai WAF con Inglés B2 o Superior.</t>
        </is>
      </c>
      <c r="D132" s="3" t="inlineStr">
        <is>
          <t>Adecco Colombia S.A.</t>
        </is>
      </c>
      <c r="E132" s="7" t="n">
        <v>0.53</v>
      </c>
      <c r="F132" s="2" t="inlineStr">
        <is>
          <t>Remoto</t>
        </is>
      </c>
      <c r="G132" s="5">
        <f>HYPERLINK("https://co.computrabajo.com/ofertas-de-trabajo/oferta-de-trabajo-de-consultor-de-seguridad-de-redes-akamai-waf-con-ingles-b2-o-superior-en-bogota-dc-50B87E7E33B988D461373E686DCF3405", "Ver Vacante")</f>
        <v/>
      </c>
      <c r="H132" s="6" t="inlineStr">
        <is>
          <t>$ 10.000.000,00 (Mensual)</t>
        </is>
      </c>
      <c r="I132" s="3" t="inlineStr">
        <is>
          <t>[Afinidad: 53/100 - Afinidad Moderada] Afinidad moderada en áreas técnicas del cargo (Técnico en Sistemas / Auxiliar de Soporte TI). Modalidad: 100% Remoto en Colombia confirmado.</t>
        </is>
      </c>
      <c r="J132" s="2" t="inlineStr">
        <is>
          <t>Nueva</t>
        </is>
      </c>
      <c r="K132" s="3" t="inlineStr"/>
    </row>
    <row r="133" ht="22" customHeight="1">
      <c r="A133" s="2" t="inlineStr">
        <is>
          <t>0b0ae49f910109bb</t>
        </is>
      </c>
      <c r="B133" s="2" t="inlineStr">
        <is>
          <t>2026-09-25 15:54</t>
        </is>
      </c>
      <c r="C133" s="3" t="inlineStr">
        <is>
          <t>Ejecutivo Técnico Arancel Junior</t>
        </is>
      </c>
      <c r="D133" s="3" t="inlineStr">
        <is>
          <t>Importante Empresa de Logística y Comercio</t>
        </is>
      </c>
      <c r="E133" s="7" t="n">
        <v>0.5</v>
      </c>
      <c r="F133" s="2" t="inlineStr">
        <is>
          <t>Remoto</t>
        </is>
      </c>
      <c r="G133" s="5">
        <f>HYPERLINK("https://co.computrabajo.com/ofertas-de-trabajo/oferta-de-trabajo-de-ejecutivo-tecnico-arancel-junior-bogota-en-bogota-dc-547866639B487E0161373E686DCF3405", "Ver Vacante")</f>
        <v/>
      </c>
      <c r="H133" s="6" t="inlineStr">
        <is>
          <t>Remoto</t>
        </is>
      </c>
      <c r="I133" s="3" t="inlineStr">
        <is>
          <t>[Afinidad: 50/100 - Afinidad Moderada] Afinidad en rol base (Técnico en Sistemas / Auxiliar de Soporte TI). Modalidad: 100% Remoto en Colombia confirmado.</t>
        </is>
      </c>
      <c r="J133" s="2" t="inlineStr">
        <is>
          <t>Nueva</t>
        </is>
      </c>
      <c r="K133" s="3" t="inlineStr"/>
    </row>
    <row r="134" ht="22" customHeight="1">
      <c r="A134" s="2" t="inlineStr">
        <is>
          <t>582a04b3c639bfa0</t>
        </is>
      </c>
      <c r="B134" s="2" t="inlineStr">
        <is>
          <t>2026-09-30 16:49</t>
        </is>
      </c>
      <c r="C134" s="3" t="inlineStr">
        <is>
          <t>Junior IT Support Specialist</t>
        </is>
      </c>
      <c r="D134" s="3" t="inlineStr">
        <is>
          <t>Touch Support, Inc. &amp; SNF Back Office</t>
        </is>
      </c>
      <c r="E134" s="7" t="n">
        <v>0.5</v>
      </c>
      <c r="F134" s="2" t="inlineStr">
        <is>
          <t>Remoto</t>
        </is>
      </c>
      <c r="G134" s="5">
        <f>HYPERLINK("https://co.linkedin.com/jobs/view/junior-it-support-specialist-at-touch-support-inc-snf-back-office-4472187578", "Ver Vacante")</f>
        <v/>
      </c>
      <c r="H134" s="6" t="inlineStr"/>
      <c r="I134" s="3" t="inlineStr">
        <is>
          <t>[Afinidad: 50/100 - Afinidad Moderada] Afinidad en rol base (Técnico en Sistemas / Auxiliar de Soporte TI). Modalidad: 100% Remoto en Colombia confirmado.</t>
        </is>
      </c>
      <c r="J134" s="2" t="inlineStr">
        <is>
          <t>Nueva</t>
        </is>
      </c>
      <c r="K134" s="3" t="inlineStr"/>
    </row>
    <row r="135" ht="22" customHeight="1">
      <c r="A135" s="2" t="inlineStr">
        <is>
          <t>6e04c4d57d3fc3c7</t>
        </is>
      </c>
      <c r="B135" s="2" t="inlineStr">
        <is>
          <t>2026-10-01 17:26</t>
        </is>
      </c>
      <c r="C135" s="3" t="inlineStr">
        <is>
          <t>Ejecutivo Técnico Arancel Junior</t>
        </is>
      </c>
      <c r="D135" s="3" t="inlineStr">
        <is>
          <t>Importante Empresa de Logística y Comercio</t>
        </is>
      </c>
      <c r="E135" s="7" t="n">
        <v>0.5</v>
      </c>
      <c r="F135" s="2" t="inlineStr">
        <is>
          <t>Remoto</t>
        </is>
      </c>
      <c r="G135" s="5">
        <f>HYPERLINK("https://co.computrabajo.com/ofertas-de-trabajo/oferta-de-trabajo-de-ejecutivo-tecnico-arancel-junior-bogota-en-bogota-dc-8444AB594560844161373E686DCF3405", "Ver Vacante")</f>
        <v/>
      </c>
      <c r="H135" s="6" t="inlineStr">
        <is>
          <t>Remoto</t>
        </is>
      </c>
      <c r="I135" s="3" t="inlineStr">
        <is>
          <t>[Afinidad: 50/100 - Afinidad Moderada] Afinidad en rol base (Técnico en Sistemas / Auxiliar de Soporte TI). Modalidad: 100% Remoto en Colombia confirmado.</t>
        </is>
      </c>
      <c r="J135" s="2" t="inlineStr">
        <is>
          <t>Nueva</t>
        </is>
      </c>
      <c r="K135" s="3" t="inlineStr"/>
    </row>
    <row r="136" ht="22" customHeight="1">
      <c r="A136" s="2" t="inlineStr">
        <is>
          <t>8d81bacef79435aa</t>
        </is>
      </c>
      <c r="B136" s="2" t="inlineStr">
        <is>
          <t>2026-10-20 15:43</t>
        </is>
      </c>
      <c r="C136" s="3" t="inlineStr">
        <is>
          <t>Buscamos Estudiantes en Áreas de Sistemas, Software para trabajar desde casa // sin Experiencia</t>
        </is>
      </c>
      <c r="D136" s="3" t="inlineStr">
        <is>
          <t>emtelco</t>
        </is>
      </c>
      <c r="E136" s="7" t="n">
        <v>0.5</v>
      </c>
      <c r="F136" s="2" t="inlineStr">
        <is>
          <t>Remoto</t>
        </is>
      </c>
      <c r="G136" s="5">
        <f>HYPERLINK("https://co.computrabajo.com/ofertas-de-trabajo/oferta-de-trabajo-de-buscamos-estudiantes-en-areas-de-sistemas-software-para-trabajar-desde-casa-sin-experiencia-participa-todas-las-areas-relacionadas-con-soporte-tecnico-en-medellin-D756C734FE234C3D61373E686DCF3405", "Ver Vacante")</f>
        <v/>
      </c>
      <c r="H136" s="6" t="inlineStr">
        <is>
          <t>$ 1.750.905,00 (Mensual)</t>
        </is>
      </c>
      <c r="I136" s="3" t="inlineStr">
        <is>
          <t>[Afinidad: 50/100 - Afinidad Moderada] Afinidad en rol base (Técnico en Sistemas / Auxiliar de Soporte TI). Modalidad: 100% Remoto en Colombia confirmado.</t>
        </is>
      </c>
      <c r="J136" s="2" t="inlineStr">
        <is>
          <t>Nueva</t>
        </is>
      </c>
      <c r="K136" s="3" t="inlineStr"/>
    </row>
  </sheetData>
  <dataValidations count="1">
    <dataValidation sqref="J2:J500" showDropDown="0" showInputMessage="0" showErrorMessage="0" allowBlank="1" type="list">
      <formula1>"Nueva,Por revisar,Postulado,Descartado,Entrevista"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2026-10-22T15:57:17Z</dcterms:created>
  <dcterms:modified xmlns:dcterms="http://purl.org/dc/terms/" xmlns:xsi="http://www.w3.org/2001/XMLSchema-instance" xsi:type="dcterms:W3CDTF">2026-10-22T15:57:17Z</dcterms:modified>
</cp:coreProperties>
</file>