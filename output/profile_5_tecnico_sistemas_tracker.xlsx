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84d3343d319ef2ee</t>
        </is>
      </c>
      <c r="B2" s="2" t="inlineStr">
        <is>
          <t>2026-09-24 15:23</t>
        </is>
      </c>
      <c r="C2" s="3" t="inlineStr">
        <is>
          <t>Analista de soporte de aplicaciones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HYPERLINK("https://www.elempleo.com/co/ofertas-trabajo/analista-de-soporte-de-aplicaciones-1886744833", "Ver Vacante")</f>
        <v/>
      </c>
      <c r="H2" s="6" t="inlineStr"/>
      <c r="I2" s="3" t="inlineStr">
        <is>
          <t>[Afinidad: 93/100 - Alta Afinidad] Alta coincidencia técnica en Soporte Técnico de Sistemas, Hardware y Redes.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fb4057b60ee24f96</t>
        </is>
      </c>
      <c r="B3" s="2" t="inlineStr">
        <is>
          <t>2026-09-24 15:23</t>
        </is>
      </c>
      <c r="C3" s="3" t="inlineStr">
        <is>
          <t>Soporte de Aplicaciones</t>
        </is>
      </c>
      <c r="D3" s="3" t="inlineStr">
        <is>
          <t>Marsh</t>
        </is>
      </c>
      <c r="E3" s="4" t="n">
        <v>0.93</v>
      </c>
      <c r="F3" s="2" t="inlineStr">
        <is>
          <t>Remoto</t>
        </is>
      </c>
      <c r="G3" s="5">
        <f>HYPERLINK("https://co.linkedin.com/jobs/view/soporte-de-aplicaciones-at-marsh-4462495318", "Ver Vacante")</f>
        <v/>
      </c>
      <c r="H3" s="6" t="inlineStr"/>
      <c r="I3" s="3" t="inlineStr">
        <is>
          <t>[Afinidad: 93/100 - Alta Afinidad] Alta coincidencia técnica en Soporte Técnico de Sistemas, Hardware y Redes.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36d9af4a629bea69</t>
        </is>
      </c>
      <c r="B4" s="2" t="inlineStr">
        <is>
          <t>2026-09-24 15:23</t>
        </is>
      </c>
      <c r="C4" s="3" t="inlineStr">
        <is>
          <t>Soporte de Aplicaciones</t>
        </is>
      </c>
      <c r="D4" s="3" t="inlineStr">
        <is>
          <t>Marsh</t>
        </is>
      </c>
      <c r="E4" s="4" t="n">
        <v>0.93</v>
      </c>
      <c r="F4" s="2" t="inlineStr">
        <is>
          <t>Remoto</t>
        </is>
      </c>
      <c r="G4" s="5">
        <f>HYPERLINK("https://co.linkedin.com/jobs/view/soporte-de-aplicaciones-at-marsh-4462705041", "Ver Vacante")</f>
        <v/>
      </c>
      <c r="H4" s="6" t="inlineStr"/>
      <c r="I4" s="3" t="inlineStr">
        <is>
          <t>[Afinidad: 93/100 - Alta Afinidad] Alta coincidencia técnica en Soporte Técnico de Sistemas, Hardware y Redes.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c56208dd47729452</t>
        </is>
      </c>
      <c r="B5" s="2" t="inlineStr">
        <is>
          <t>2026-09-24 15:23</t>
        </is>
      </c>
      <c r="C5" s="3" t="inlineStr">
        <is>
          <t>Soporte de Aplicaciones</t>
        </is>
      </c>
      <c r="D5" s="3" t="inlineStr">
        <is>
          <t>Marsh Risk</t>
        </is>
      </c>
      <c r="E5" s="4" t="n">
        <v>0.93</v>
      </c>
      <c r="F5" s="2" t="inlineStr">
        <is>
          <t>Remoto</t>
        </is>
      </c>
      <c r="G5" s="5">
        <f>HYPERLINK("https://co.linkedin.com/jobs/view/soporte-de-aplicaciones-at-marsh-risk-4462800719", "Ver Vacante")</f>
        <v/>
      </c>
      <c r="H5" s="6" t="inlineStr"/>
      <c r="I5" s="3" t="inlineStr">
        <is>
          <t>[Afinidad: 93/100 - Alta Afinidad] Alta coincidencia técnica en Soporte Técnico de Sistemas, Hardware y Redes.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d0e25c686dd08685</t>
        </is>
      </c>
      <c r="B6" s="2" t="inlineStr">
        <is>
          <t>2026-09-24 15:23</t>
        </is>
      </c>
      <c r="C6" s="3" t="inlineStr">
        <is>
          <t>Soporte de Aplicaciones</t>
        </is>
      </c>
      <c r="D6" s="3" t="inlineStr">
        <is>
          <t>Marsh Risk</t>
        </is>
      </c>
      <c r="E6" s="4" t="n">
        <v>0.93</v>
      </c>
      <c r="F6" s="2" t="inlineStr">
        <is>
          <t>Remoto</t>
        </is>
      </c>
      <c r="G6" s="5">
        <f>HYPERLINK("https://co.linkedin.com/jobs/view/soporte-de-aplicaciones-at-marsh-risk-4462796772", "Ver Vacante")</f>
        <v/>
      </c>
      <c r="H6" s="6" t="inlineStr"/>
      <c r="I6" s="3" t="inlineStr">
        <is>
          <t>[Afinidad: 93/100 - Alta Afinidad] Alta coincidencia técnica en Soporte Técnico de Sistemas, Hardware y Redes.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05c483685b3940dc</t>
        </is>
      </c>
      <c r="B7" s="2" t="inlineStr">
        <is>
          <t>2026-09-24 15:23</t>
        </is>
      </c>
      <c r="C7" s="3" t="inlineStr">
        <is>
          <t>Consultor de Soporte PL/SQL</t>
        </is>
      </c>
      <c r="D7" s="3" t="inlineStr">
        <is>
          <t>GFT Technologies</t>
        </is>
      </c>
      <c r="E7" s="4" t="n">
        <v>0.93</v>
      </c>
      <c r="F7" s="2" t="inlineStr">
        <is>
          <t>Remoto</t>
        </is>
      </c>
      <c r="G7" s="5">
        <f>HYPERLINK("https://co.linkedin.com/jobs/view/consultor-de-soporte-pl-sql-at-gft-technologies-4463498852", "Ver Vacante")</f>
        <v/>
      </c>
      <c r="H7" s="6" t="inlineStr"/>
      <c r="I7" s="3" t="inlineStr">
        <is>
          <t>[Afinidad: 93/100 - Alta Afinidad] Alta coincidencia técnica en Soporte Técnico de Sistemas, Hardware y Redes.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c582f78c40a8cbef</t>
        </is>
      </c>
      <c r="B8" s="2" t="inlineStr">
        <is>
          <t>2026-09-24 15:23</t>
        </is>
      </c>
      <c r="C8" s="3" t="inlineStr">
        <is>
          <t>Analista de soporte técnico Software AML</t>
        </is>
      </c>
      <c r="D8" s="3" t="inlineStr">
        <is>
          <t>QUALITA CORP</t>
        </is>
      </c>
      <c r="E8" s="4" t="n">
        <v>0.73</v>
      </c>
      <c r="F8" s="2" t="inlineStr">
        <is>
          <t>Remoto</t>
        </is>
      </c>
      <c r="G8" s="5">
        <f>HYPERLINK("https://co.computrabajo.com/ofertas-de-trabajo/oferta-de-trabajo-de-analista-de-soporte-tecnico-software-aml-technical-support-analyst-en-cali-E6235476DD4F0EA861373E686DCF3405", "Ver Vacante")</f>
        <v/>
      </c>
      <c r="H8" s="6" t="inlineStr">
        <is>
          <t>$ 2.600.000,00 (Mensual)</t>
        </is>
      </c>
      <c r="I8" s="3" t="inlineStr">
        <is>
          <t>[Afinidad: 73/100 - Alta Afinidad] Alta coincidencia técnica en Soporte Técnico de Sistemas, Hardware y Redes.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c15b23736599b6ea</t>
        </is>
      </c>
      <c r="B9" s="2" t="inlineStr">
        <is>
          <t>2026-09-24 15:23</t>
        </is>
      </c>
      <c r="C9" s="3" t="inlineStr">
        <is>
          <t>Representante de Soporte Técnico</t>
        </is>
      </c>
      <c r="D9" s="3" t="inlineStr">
        <is>
          <t>Importante empresa del sector</t>
        </is>
      </c>
      <c r="E9" s="4" t="n">
        <v>0.73</v>
      </c>
      <c r="F9" s="2" t="inlineStr">
        <is>
          <t>Remoto</t>
        </is>
      </c>
      <c r="G9" s="5">
        <f>HYPERLINK("https://co.computrabajo.com/ofertas-de-trabajo/oferta-de-trabajo-de-representante-de-soporte-tecnico-bilingue-c1-en-bogota-dc-F55CBFF60004B2D661373E686DCF3405", "Ver Vacante")</f>
        <v/>
      </c>
      <c r="H9" s="6" t="inlineStr">
        <is>
          <t>$ 2.500.000,00 (Mensual)</t>
        </is>
      </c>
      <c r="I9" s="3" t="inlineStr">
        <is>
          <t>[Afinidad: 73/100 - Alta Afinidad] Alta coincidencia técnica en Soporte Técnico de Sistemas, Hardware y Redes.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a24e415f10a83868</t>
        </is>
      </c>
      <c r="B10" s="2" t="inlineStr">
        <is>
          <t>2026-09-24 15:23</t>
        </is>
      </c>
      <c r="C10" s="3" t="inlineStr">
        <is>
          <t>Asesores de Soporte Técnico desde Casa/ Salario fijo + variable</t>
        </is>
      </c>
      <c r="D10" s="3" t="inlineStr">
        <is>
          <t>emtelco</t>
        </is>
      </c>
      <c r="E10" s="4" t="n">
        <v>0.73</v>
      </c>
      <c r="F10" s="2" t="inlineStr">
        <is>
          <t>Remoto</t>
        </is>
      </c>
      <c r="G10" s="5">
        <f>HYPERLINK("https://co.computrabajo.com/ofertas-de-trabajo/oferta-de-trabajo-de-asesores-de-soporte-tecnico-desde-casa-salario-fijo-variable-en-medellin-746BA0FF31FDCC9B61373E686DCF3405", "Ver Vacante")</f>
        <v/>
      </c>
      <c r="H10" s="6" t="inlineStr">
        <is>
          <t>$ 2.000.000,00 (Mensual)</t>
        </is>
      </c>
      <c r="I10" s="3" t="inlineStr">
        <is>
          <t>[Afinidad: 73/100 - Alta Afinidad] Alta coincidencia técnica en Soporte Técnico de Sistemas, Hardware y Redes.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08e5d9a6ae76478b</t>
        </is>
      </c>
      <c r="B11" s="2" t="inlineStr">
        <is>
          <t>2026-09-24 15:23</t>
        </is>
      </c>
      <c r="C11" s="3" t="inlineStr">
        <is>
          <t>Analista de soporte tecnico</t>
        </is>
      </c>
      <c r="D11" s="3" t="inlineStr">
        <is>
          <t>HITSS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HYPERLINK("https://www.elempleo.com/co/ofertas-trabajo/analista-de-soporte-tecnico-1886747091", "Ver Vacante")</f>
        <v/>
      </c>
      <c r="H11" s="6" t="inlineStr"/>
      <c r="I11" s="3" t="inlineStr">
        <is>
          <t>[Afinidad: 73/100 - Alta Afinidad] Alta coincidencia técnica en Soporte Técnico de Sistemas, Hardware y Redes.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7fc45dde38ffcf1a</t>
        </is>
      </c>
      <c r="B12" s="2" t="inlineStr">
        <is>
          <t>2026-09-24 15:23</t>
        </is>
      </c>
      <c r="C12" s="3" t="inlineStr">
        <is>
          <t>Analista mesa de ayuda help desk bogotá</t>
        </is>
      </c>
      <c r="D12" s="3" t="inlineStr">
        <is>
          <t>Pro TALENTI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HYPERLINK("https://www.elempleo.com/co/ofertas-trabajo/analista-mesa-de-ayuda-help-desk-bogota-1886758291", "Ver Vacante")</f>
        <v/>
      </c>
      <c r="H12" s="6" t="inlineStr"/>
      <c r="I12" s="3" t="inlineStr">
        <is>
          <t>[Afinidad: 73/100 - Alta Afinidad] Alta coincidencia técnica en Soporte Técnico de Sistemas, Hardware y Redes.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a6b77694deed4eda</t>
        </is>
      </c>
      <c r="B13" s="2" t="inlineStr">
        <is>
          <t>2026-09-24 15:23</t>
        </is>
      </c>
      <c r="C13" s="3" t="inlineStr">
        <is>
          <t>Help Desk Technician Level 1</t>
        </is>
      </c>
      <c r="D13" s="3" t="inlineStr">
        <is>
          <t>SOLVO S.A.S</t>
        </is>
      </c>
      <c r="E13" s="4" t="n">
        <v>0.73</v>
      </c>
      <c r="F13" s="2" t="inlineStr">
        <is>
          <t>Remoto</t>
        </is>
      </c>
      <c r="G13" s="5">
        <f>HYPERLINK("https://co.computrabajo.com/ofertas-de-trabajo/oferta-de-trabajo-de-help-desk-technician-level-1-it-support-analyst-en-medellin-426546345875532361373E686DCF3405", "Ver Vacante")</f>
        <v/>
      </c>
      <c r="H13" s="6" t="inlineStr">
        <is>
          <t>Remoto</t>
        </is>
      </c>
      <c r="I13" s="3" t="inlineStr">
        <is>
          <t>[Afinidad: 73/100 - Alta Afinidad] Alta coincidencia técnica en Soporte Técnico de Sistemas, Hardware y Redes.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17bcb3c669035312</t>
        </is>
      </c>
      <c r="B14" s="2" t="inlineStr">
        <is>
          <t>2026-09-24 15:23</t>
        </is>
      </c>
      <c r="C14" s="3" t="inlineStr">
        <is>
          <t>Analista de soporte y mesa de ayuda ii</t>
        </is>
      </c>
      <c r="D14" s="3" t="inlineStr">
        <is>
          <t>TP COLOMBIA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HYPERLINK("https://www.elempleo.com/co/ofertas-trabajo/analista-de-soporte-y-mesa-de-ayuda-ii-1886760204", "Ver Vacante")</f>
        <v/>
      </c>
      <c r="H14" s="6" t="inlineStr"/>
      <c r="I14" s="3" t="inlineStr">
        <is>
          <t>[Afinidad: 73/100 - Alta Afinidad] Alta coincidencia técnica en Soporte Técnico de Sistemas, Hardware y Redes.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f49243c0d93e8dc6</t>
        </is>
      </c>
      <c r="B15" s="2" t="inlineStr">
        <is>
          <t>2026-09-24 15:23</t>
        </is>
      </c>
      <c r="C15" s="3" t="inlineStr">
        <is>
          <t>Help desk analyst l1 bilingüe</t>
        </is>
      </c>
      <c r="D15" s="3" t="inlineStr">
        <is>
          <t>Confidencial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HYPERLINK("https://www.elempleo.com/co/ofertas-trabajo/help-desk-analyst-l1-bilingue-ingles-conversational-entre-b2c1-1886760008", "Ver Vacante")</f>
        <v/>
      </c>
      <c r="H15" s="6" t="inlineStr"/>
      <c r="I15" s="3" t="inlineStr">
        <is>
          <t>[Afinidad: 73/100 - Alta Afinidad] Alta coincidencia técnica en Soporte Técnico de Sistemas, Hardware y Redes.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def61dbcc70790b0</t>
        </is>
      </c>
      <c r="B16" s="2" t="inlineStr">
        <is>
          <t>2026-09-24 15:23</t>
        </is>
      </c>
      <c r="C16" s="3" t="inlineStr">
        <is>
          <t>Help desk analyst n1 bilingüe 24/7 (inglés conversacional) bogotá</t>
        </is>
      </c>
      <c r="D16" s="3" t="inlineStr">
        <is>
          <t>Confidencial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HYPERLINK("https://www.elempleo.com/co/ofertas-trabajo/help-desk-analyst-n1-bilingue-24-7-ingles-conversacional-bogota-1886760175", "Ver Vacante")</f>
        <v/>
      </c>
      <c r="H16" s="6" t="inlineStr"/>
      <c r="I16" s="3" t="inlineStr">
        <is>
          <t>[Afinidad: 73/100 - Alta Afinidad] Alta coincidencia técnica en Soporte Técnico de Sistemas, Hardware y Redes.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fa8514832b21e057</t>
        </is>
      </c>
      <c r="B17" s="2" t="inlineStr">
        <is>
          <t>2026-09-24 15:23</t>
        </is>
      </c>
      <c r="C17" s="3" t="inlineStr">
        <is>
          <t>Help desk</t>
        </is>
      </c>
      <c r="D17" s="3" t="inlineStr">
        <is>
          <t>SISA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HYPERLINK("https://www.elempleo.com/co/ofertas-trabajo/help-desk-1886691178", "Ver Vacante")</f>
        <v/>
      </c>
      <c r="H17" s="6" t="inlineStr"/>
      <c r="I17" s="3" t="inlineStr">
        <is>
          <t>[Afinidad: 73/100 - Alta Afinidad] Alta coincidencia técnica en Soporte Técnico de Sistemas, Hardware y Redes.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7201f5ec58086561</t>
        </is>
      </c>
      <c r="B18" s="2" t="inlineStr">
        <is>
          <t>2026-09-24 15:23</t>
        </is>
      </c>
      <c r="C18" s="3" t="inlineStr">
        <is>
          <t>Help desk analyst n1 bilingüe (inglés conversacional) bogotá</t>
        </is>
      </c>
      <c r="D18" s="3" t="inlineStr">
        <is>
          <t>Confidencial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HYPERLINK("https://www.elempleo.com/co/ofertas-trabajo/help-desk-analyst-n1-bilingue-ingles-conversacional-bogota-1886752135", "Ver Vacante")</f>
        <v/>
      </c>
      <c r="H18" s="6" t="inlineStr"/>
      <c r="I18" s="3" t="inlineStr">
        <is>
          <t>[Afinidad: 73/100 - Alta Afinidad] Alta coincidencia técnica en Soporte Técnico de Sistemas, Hardware y Redes.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bf8e766566882d80</t>
        </is>
      </c>
      <c r="B19" s="2" t="inlineStr">
        <is>
          <t>2026-09-24 15:23</t>
        </is>
      </c>
      <c r="C19" s="3" t="inlineStr">
        <is>
          <t>Técnico de soporte help desk</t>
        </is>
      </c>
      <c r="D19" s="3" t="inlineStr">
        <is>
          <t>Confidencial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HYPERLINK("https://www.elempleo.com/co/ofertas-trabajo/tecnico-de-soporte-help-desk-1886771881", "Ver Vacante")</f>
        <v/>
      </c>
      <c r="H19" s="6" t="inlineStr"/>
      <c r="I19" s="3" t="inlineStr">
        <is>
          <t>[Afinidad: 73/100 - Alta Afinidad] Alta coincidencia técnica en Soporte Técnico de Sistemas, Hardware y Redes.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055987ec23570846</t>
        </is>
      </c>
      <c r="B20" s="2" t="inlineStr">
        <is>
          <t>2026-09-24 15:23</t>
        </is>
      </c>
      <c r="C20" s="3" t="inlineStr">
        <is>
          <t>Help desk analyst n1 bilingüe (inglés conversacional) 7x24 rotativo bogotá</t>
        </is>
      </c>
      <c r="D20" s="3" t="inlineStr">
        <is>
          <t>Confidencial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HYPERLINK("https://www.elempleo.com/co/ofertas-trabajo/help-desk-analyst-n1-bilingue-ingles-conversacional-7x24-rotativo-bogota-1886751464", "Ver Vacante")</f>
        <v/>
      </c>
      <c r="H20" s="6" t="inlineStr"/>
      <c r="I20" s="3" t="inlineStr">
        <is>
          <t>[Afinidad: 73/100 - Alta Afinidad] Alta coincidencia técnica en Soporte Técnico de Sistemas, Hardware y Redes.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076d17389f43db00</t>
        </is>
      </c>
      <c r="B21" s="2" t="inlineStr">
        <is>
          <t>2026-09-24 15:23</t>
        </is>
      </c>
      <c r="C21" s="3" t="inlineStr">
        <is>
          <t>Analista de mesa de ayuda - soporte incidentes</t>
        </is>
      </c>
      <c r="D21" s="3" t="inlineStr">
        <is>
          <t>Cinte Colombia SAS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HYPERLINK("https://www.elempleo.com/co/ofertas-trabajo/analista-de-mesa-de-ayuda-soporte-incidentes-1886762523", "Ver Vacante")</f>
        <v/>
      </c>
      <c r="H21" s="6" t="inlineStr"/>
      <c r="I21" s="3" t="inlineStr">
        <is>
          <t>[Afinidad: 73/100 - Alta Afinidad] Alta coincidencia técnica en Soporte Técnico de Sistemas, Hardware y Redes.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d9a2083450e72e22</t>
        </is>
      </c>
      <c r="B22" s="2" t="inlineStr">
        <is>
          <t>2026-09-24 15:23</t>
        </is>
      </c>
      <c r="C22" s="3" t="inlineStr">
        <is>
          <t>Técnico de soporte ti - bogota</t>
        </is>
      </c>
      <c r="D22" s="3" t="inlineStr">
        <is>
          <t>Confidencial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HYPERLINK("https://www.elempleo.com/co/ofertas-trabajo/tecnico-de-soporte-ti-bogota-1886768638", "Ver Vacante")</f>
        <v/>
      </c>
      <c r="H22" s="6" t="inlineStr"/>
      <c r="I22" s="3" t="inlineStr">
        <is>
          <t>[Afinidad: 73/100 - Alta Afinidad] Alta coincidencia técnica en Soporte Técnico de Sistemas, Hardware y Redes.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41db4cb1967404e7</t>
        </is>
      </c>
      <c r="B23" s="2" t="inlineStr">
        <is>
          <t>2026-09-24 15:23</t>
        </is>
      </c>
      <c r="C23" s="3" t="inlineStr">
        <is>
          <t>Técnico(a) de soporte ti</t>
        </is>
      </c>
      <c r="D23" s="3" t="inlineStr">
        <is>
          <t>SDT INGENIERIA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HYPERLINK("https://www.elempleo.com/co/ofertas-trabajo/tecnicoa-de-soporte-ti-1886746427", "Ver Vacante")</f>
        <v/>
      </c>
      <c r="H23" s="6" t="inlineStr"/>
      <c r="I23" s="3" t="inlineStr">
        <is>
          <t>[Afinidad: 73/100 - Alta Afinidad] Alta coincidencia técnica en Soporte Técnico de Sistemas, Hardware y Redes.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cec4961ed9898403</t>
        </is>
      </c>
      <c r="B24" s="2" t="inlineStr">
        <is>
          <t>2026-09-24 15:23</t>
        </is>
      </c>
      <c r="C24" s="3" t="inlineStr">
        <is>
          <t>Analista de soporte ti</t>
        </is>
      </c>
      <c r="D24" s="3" t="inlineStr">
        <is>
          <t>Confidencial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HYPERLINK("https://www.elempleo.com/co/ofertas-trabajo/analista-de-soporte-ti-1886760221", "Ver Vacante")</f>
        <v/>
      </c>
      <c r="H24" s="6" t="inlineStr"/>
      <c r="I24" s="3" t="inlineStr">
        <is>
          <t>[Afinidad: 73/100 - Alta Afinidad] Alta coincidencia técnica en Soporte Técnico de Sistemas, Hardware y Redes.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8a1d6b57bc4eb8f6</t>
        </is>
      </c>
      <c r="B25" s="2" t="inlineStr">
        <is>
          <t>2026-09-24 15:23</t>
        </is>
      </c>
      <c r="C25" s="3" t="inlineStr">
        <is>
          <t>Helpdesk Technician</t>
        </is>
      </c>
      <c r="D25" s="3" t="inlineStr">
        <is>
          <t>Ultimate Jet Vacations</t>
        </is>
      </c>
      <c r="E25" s="4" t="n">
        <v>0.73</v>
      </c>
      <c r="F25" s="2" t="inlineStr">
        <is>
          <t>Remoto</t>
        </is>
      </c>
      <c r="G25" s="5">
        <f>HYPERLINK("https://co.linkedin.com/jobs/view/helpdesk-technician-at-ultimate-jet-vacations-4460749773", "Ver Vacante")</f>
        <v/>
      </c>
      <c r="H25" s="6" t="inlineStr"/>
      <c r="I25" s="3" t="inlineStr">
        <is>
          <t>[Afinidad: 73/100 - Alta Afinidad] Alta coincidencia técnica en Soporte Técnico de Sistemas, Hardware y Redes.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606652c43fad3a74</t>
        </is>
      </c>
      <c r="B26" s="2" t="inlineStr">
        <is>
          <t>2026-09-24 15:23</t>
        </is>
      </c>
      <c r="C26" s="3" t="inlineStr">
        <is>
          <t>Helpdesk Technician</t>
        </is>
      </c>
      <c r="D26" s="3" t="inlineStr">
        <is>
          <t>Ultimate Jet Vacations</t>
        </is>
      </c>
      <c r="E26" s="4" t="n">
        <v>0.73</v>
      </c>
      <c r="F26" s="2" t="inlineStr">
        <is>
          <t>Remoto</t>
        </is>
      </c>
      <c r="G26" s="5">
        <f>HYPERLINK("https://co.linkedin.com/jobs/view/helpdesk-technician-at-ultimate-jet-vacations-4460749769", "Ver Vacante")</f>
        <v/>
      </c>
      <c r="H26" s="6" t="inlineStr"/>
      <c r="I26" s="3" t="inlineStr">
        <is>
          <t>[Afinidad: 73/100 - Alta Afinidad] Alta coincidencia técnica en Soporte Técnico de Sistemas, Hardware y Redes.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14b3ce1838b7650b</t>
        </is>
      </c>
      <c r="B27" s="2" t="inlineStr">
        <is>
          <t>2026-09-24 15:23</t>
        </is>
      </c>
      <c r="C27" s="3" t="inlineStr">
        <is>
          <t>Information Technology Help Desk</t>
        </is>
      </c>
      <c r="D27" s="3" t="inlineStr">
        <is>
          <t>Pyramid Consulting, Inc</t>
        </is>
      </c>
      <c r="E27" s="4" t="n">
        <v>0.73</v>
      </c>
      <c r="F27" s="2" t="inlineStr">
        <is>
          <t>Remoto</t>
        </is>
      </c>
      <c r="G27" s="5">
        <f>HYPERLINK("https://co.linkedin.com/jobs/view/information-technology-help-desk-at-pyramid-consulting-inc-4469196776", "Ver Vacante")</f>
        <v/>
      </c>
      <c r="H27" s="6" t="inlineStr"/>
      <c r="I27" s="3" t="inlineStr">
        <is>
          <t>[Afinidad: 73/100 - Alta Afinidad] Alta coincidencia técnica en Soporte Técnico de Sistemas, Hardware y Redes.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db74b26e8ede7d27</t>
        </is>
      </c>
      <c r="B28" s="2" t="inlineStr">
        <is>
          <t>2026-09-24 15:23</t>
        </is>
      </c>
      <c r="C28" s="3" t="inlineStr">
        <is>
          <t>IT Help Desk Specialist</t>
        </is>
      </c>
      <c r="D28" s="3" t="inlineStr">
        <is>
          <t>BraveUS BPO</t>
        </is>
      </c>
      <c r="E28" s="4" t="n">
        <v>0.73</v>
      </c>
      <c r="F28" s="2" t="inlineStr">
        <is>
          <t>Remoto</t>
        </is>
      </c>
      <c r="G28" s="5">
        <f>HYPERLINK("https://co.linkedin.com/jobs/view/it-help-desk-specialist-at-braveus-bpo-4469254526", "Ver Vacante")</f>
        <v/>
      </c>
      <c r="H28" s="6" t="inlineStr"/>
      <c r="I28" s="3" t="inlineStr">
        <is>
          <t>[Afinidad: 73/100 - Alta Afinidad] Alta coincidencia técnica en Soporte Técnico de Sistemas, Hardware y Redes.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ee4217b2fa3d599f</t>
        </is>
      </c>
      <c r="B29" s="2" t="inlineStr">
        <is>
          <t>2026-09-24 15:23</t>
        </is>
      </c>
      <c r="C29" s="3" t="inlineStr">
        <is>
          <t>Help Desk Technician Level 1</t>
        </is>
      </c>
      <c r="D29" s="3" t="inlineStr">
        <is>
          <t>Solvo Global</t>
        </is>
      </c>
      <c r="E29" s="4" t="n">
        <v>0.73</v>
      </c>
      <c r="F29" s="2" t="inlineStr">
        <is>
          <t>Remoto</t>
        </is>
      </c>
      <c r="G29" s="5">
        <f>HYPERLINK("https://co.linkedin.com/jobs/view/help-desk-technician-level-1-at-solvo-global-4461170901", "Ver Vacante")</f>
        <v/>
      </c>
      <c r="H29" s="6" t="inlineStr"/>
      <c r="I29" s="3" t="inlineStr">
        <is>
          <t>[Afinidad: 73/100 - Alta Afinidad] Alta coincidencia técnica en Soporte Técnico de Sistemas, Hardware y Redes.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26463d13fe219ac2</t>
        </is>
      </c>
      <c r="B30" s="2" t="inlineStr">
        <is>
          <t>2026-09-24 15:23</t>
        </is>
      </c>
      <c r="C30" s="3" t="inlineStr">
        <is>
          <t>Consultor/a SAP HelpDesk</t>
        </is>
      </c>
      <c r="D30" s="3" t="inlineStr">
        <is>
          <t>Inetum</t>
        </is>
      </c>
      <c r="E30" s="4" t="n">
        <v>0.73</v>
      </c>
      <c r="F30" s="2" t="inlineStr">
        <is>
          <t>Remoto</t>
        </is>
      </c>
      <c r="G30" s="5">
        <f>HYPERLINK("https://co.linkedin.com/jobs/view/consultor-a-sap-helpdesk-at-inetum-4443947973", "Ver Vacante")</f>
        <v/>
      </c>
      <c r="H30" s="6" t="inlineStr"/>
      <c r="I30" s="3" t="inlineStr">
        <is>
          <t>[Afinidad: 73/100 - Alta Afinidad] Alta coincidencia técnica en Soporte Técnico de Sistemas, Hardware y Redes.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afee514d25ff4533</t>
        </is>
      </c>
      <c r="B31" s="2" t="inlineStr">
        <is>
          <t>2026-09-24 15:37</t>
        </is>
      </c>
      <c r="C31" s="3" t="inlineStr">
        <is>
          <t>Vacante de inclusión laboral - auxiliar de sistemas / mesa de ayuda</t>
        </is>
      </c>
      <c r="D31" s="3" t="inlineStr">
        <is>
          <t>Confidencial</t>
        </is>
      </c>
      <c r="E31" s="4" t="n">
        <v>0.73</v>
      </c>
      <c r="F31" s="2" t="inlineStr">
        <is>
          <t>Remoto</t>
        </is>
      </c>
      <c r="G31" s="5">
        <f>HYPERLINK("https://www.elempleo.com/co/ofertas-trabajo/vacante-de-inclusion-laboral-auxiliar-de-sistemas-mesa-de-ayuda-1886764066", "Ver Vacante")</f>
        <v/>
      </c>
      <c r="H31" s="6" t="inlineStr"/>
      <c r="I31" s="3" t="inlineStr">
        <is>
          <t>[Afinidad: 73/100 - Alta Afinidad] Alta coincidencia técnica en Soporte Técnico de Sistemas, Hardware y Redes.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bf46f38ff92f8468</t>
        </is>
      </c>
      <c r="B32" s="2" t="inlineStr">
        <is>
          <t>2026-09-24 15:37</t>
        </is>
      </c>
      <c r="C32" s="3" t="inlineStr">
        <is>
          <t>Operador de soporte técnico nivel 1</t>
        </is>
      </c>
      <c r="D32" s="3" t="inlineStr">
        <is>
          <t>Cinte Colombia SAS</t>
        </is>
      </c>
      <c r="E32" s="4" t="n">
        <v>0.73</v>
      </c>
      <c r="F32" s="2" t="inlineStr">
        <is>
          <t>Remoto</t>
        </is>
      </c>
      <c r="G32" s="5">
        <f>HYPERLINK("https://www.elempleo.com/co/ofertas-trabajo/operador-de-soporte-tecnico-nivel-1-1886759478", "Ver Vacante")</f>
        <v/>
      </c>
      <c r="H32" s="6" t="inlineStr"/>
      <c r="I32" s="3" t="inlineStr">
        <is>
          <t>[Afinidad: 73/100 - Alta Afinidad] Alta coincidencia técnica en Soporte Técnico de Sistemas, Hardware y Redes.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69c4d327f77f46d2</t>
        </is>
      </c>
      <c r="B33" s="2" t="inlineStr">
        <is>
          <t>2026-09-24 15:37</t>
        </is>
      </c>
      <c r="C33" s="3" t="inlineStr">
        <is>
          <t>Auxiliar de sistemas e infraestructura para trabajar en cota</t>
        </is>
      </c>
      <c r="D33" s="3" t="inlineStr">
        <is>
          <t>ATIEMPO S.A.S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HYPERLINK("https://www.elempleo.com/co/ofertas-trabajo/auxiliar-de-sistemas-e-infraestructura-para-trabajar-en-cota-1886766898", "Ver Vacante")</f>
        <v/>
      </c>
      <c r="H33" s="6" t="inlineStr"/>
      <c r="I33" s="3" t="inlineStr">
        <is>
          <t>[Afinidad: 73/100 - Alta Afinidad] Alta coincidencia técnica en Soporte Técnico de Sistemas, Hardware y Redes.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8ea6294af7e133d9</t>
        </is>
      </c>
      <c r="B34" s="2" t="inlineStr">
        <is>
          <t>2026-09-24 15:37</t>
        </is>
      </c>
      <c r="C34" s="3" t="inlineStr">
        <is>
          <t>Técnico o tecnólogo en sistemas | auxiliar de sistemas e infraestructura - cota</t>
        </is>
      </c>
      <c r="D34" s="3" t="inlineStr">
        <is>
          <t>ATIEMPO S.A.S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HYPERLINK("https://www.elempleo.com/co/ofertas-trabajo/tecnico-o-tecnologo-en-sistemas-auxiliar-de-sistemas-e-infraestructura-cota-1886766903", "Ver Vacante")</f>
        <v/>
      </c>
      <c r="H34" s="6" t="inlineStr"/>
      <c r="I34" s="3" t="inlineStr">
        <is>
          <t>[Afinidad: 73/100 - Alta Afinidad] Alta coincidencia técnica en Soporte Técnico de Sistemas, Hardware y Redes.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0c0fd09d671f3d44</t>
        </is>
      </c>
      <c r="B35" s="2" t="inlineStr">
        <is>
          <t>2026-09-24 15:37</t>
        </is>
      </c>
      <c r="C35" s="3" t="inlineStr">
        <is>
          <t>Agente mesa de ayuda con experiencia</t>
        </is>
      </c>
      <c r="D35" s="3" t="inlineStr">
        <is>
          <t>SONDA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HYPERLINK("https://www.elempleo.com/co/ofertas-trabajo/agente-mesa-de-ayuda-con-experiencia-1886769727", "Ver Vacante")</f>
        <v/>
      </c>
      <c r="H35" s="6" t="inlineStr"/>
      <c r="I35" s="3" t="inlineStr">
        <is>
          <t>[Afinidad: 73/100 - Alta Afinidad] Alta coincidencia técnica en Soporte Técnico de Sistemas, Hardware y Redes.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7abab155924d34a2</t>
        </is>
      </c>
      <c r="B36" s="2" t="inlineStr">
        <is>
          <t>2026-09-24 15:37</t>
        </is>
      </c>
      <c r="C36" s="3" t="inlineStr">
        <is>
          <t>Agente mesa de ayuda</t>
        </is>
      </c>
      <c r="D36" s="3" t="inlineStr">
        <is>
          <t>Confidencial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HYPERLINK("https://www.elempleo.com/co/ofertas-trabajo/agente-mesa-de-ayuda-1886771838", "Ver Vacante")</f>
        <v/>
      </c>
      <c r="H36" s="6" t="inlineStr"/>
      <c r="I36" s="3" t="inlineStr">
        <is>
          <t>[Afinidad: 73/100 - Alta Afinidad] Alta coincidencia técnica en Soporte Técnico de Sistemas, Hardware y Redes.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1c748c123f2775f8</t>
        </is>
      </c>
      <c r="B37" s="2" t="inlineStr">
        <is>
          <t>2026-09-24 15:37</t>
        </is>
      </c>
      <c r="C37" s="3" t="inlineStr">
        <is>
          <t>Agente de mesa de ayuda</t>
        </is>
      </c>
      <c r="D37" s="3" t="inlineStr">
        <is>
          <t>SELCOMP INGENIERÍA SAS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HYPERLINK("https://www.elempleo.com/co/ofertas-trabajo/agente-de-mesa-de-ayuda-1886764458", "Ver Vacante")</f>
        <v/>
      </c>
      <c r="H37" s="6" t="inlineStr"/>
      <c r="I37" s="3" t="inlineStr">
        <is>
          <t>[Afinidad: 73/100 - Alta Afinidad] Alta coincidencia técnica en Soporte Técnico de Sistemas, Hardware y Redes.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c2932440f3be50ff</t>
        </is>
      </c>
      <c r="B38" s="2" t="inlineStr">
        <is>
          <t>2026-09-24 15:37</t>
        </is>
      </c>
      <c r="C38" s="3" t="inlineStr">
        <is>
          <t>Analista mesa de ayuda para tunja</t>
        </is>
      </c>
      <c r="D38" s="3" t="inlineStr">
        <is>
          <t>Gestión de Seguridad Electrónica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HYPERLINK("https://www.elempleo.com/co/ofertas-trabajo/analista-mesa-de-ayuda-para-tunja-1886699884", "Ver Vacante")</f>
        <v/>
      </c>
      <c r="H38" s="6" t="inlineStr"/>
      <c r="I38" s="3" t="inlineStr">
        <is>
          <t>[Afinidad: 73/100 - Alta Afinidad] Alta coincidencia técnica en Soporte Técnico de Sistemas, Hardware y Redes.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0b7f91df03d9708e</t>
        </is>
      </c>
      <c r="B39" s="2" t="inlineStr">
        <is>
          <t>2026-09-24 15:37</t>
        </is>
      </c>
      <c r="C39" s="3" t="inlineStr">
        <is>
          <t>Analista mesa de ayuda</t>
        </is>
      </c>
      <c r="D39" s="3" t="inlineStr">
        <is>
          <t>Confidencial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HYPERLINK("https://www.elempleo.com/co/ofertas-trabajo/analista-mesa-de-ayuda-1886754619", "Ver Vacante")</f>
        <v/>
      </c>
      <c r="H39" s="6" t="inlineStr"/>
      <c r="I39" s="3" t="inlineStr">
        <is>
          <t>[Afinidad: 73/100 - Alta Afinidad] Alta coincidencia técnica en Soporte Técnico de Sistemas, Hardware y Redes.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42a7050c3f06b2ae</t>
        </is>
      </c>
      <c r="B40" s="2" t="inlineStr">
        <is>
          <t>2026-09-24 15:37</t>
        </is>
      </c>
      <c r="C40" s="3" t="inlineStr">
        <is>
          <t>Técnico de mesa de ayuda</t>
        </is>
      </c>
      <c r="D40" s="3" t="inlineStr">
        <is>
          <t>Colsof S.A.S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HYPERLINK("https://www.elempleo.com/co/ofertas-trabajo/tecnico-de-mesa-de-ayuda-1886731992", "Ver Vacante")</f>
        <v/>
      </c>
      <c r="H40" s="6" t="inlineStr"/>
      <c r="I40" s="3" t="inlineStr">
        <is>
          <t>[Afinidad: 73/100 - Alta Afinidad] Alta coincidencia técnica en Soporte Técnico de Sistemas, Hardware y Redes.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e5d77b0fc7770ea2</t>
        </is>
      </c>
      <c r="B41" s="2" t="inlineStr">
        <is>
          <t>2026-09-24 15:37</t>
        </is>
      </c>
      <c r="C41" s="3" t="inlineStr">
        <is>
          <t>Agente de mesa de ayuda</t>
        </is>
      </c>
      <c r="D41" s="3" t="inlineStr">
        <is>
          <t>SONDA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HYPERLINK("https://www.elempleo.com/co/ofertas-trabajo/agente-de-mesa-de-ayuda-1886748231", "Ver Vacante")</f>
        <v/>
      </c>
      <c r="H41" s="6" t="inlineStr"/>
      <c r="I41" s="3" t="inlineStr">
        <is>
          <t>[Afinidad: 73/100 - Alta Afinidad] Alta coincidencia técnica en Soporte Técnico de Sistemas, Hardware y Redes.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8bb787ccf4370a8e</t>
        </is>
      </c>
      <c r="B42" s="2" t="inlineStr">
        <is>
          <t>2026-09-24 15:37</t>
        </is>
      </c>
      <c r="C42" s="3" t="inlineStr">
        <is>
          <t>Mesa de ayuda / bogotá</t>
        </is>
      </c>
      <c r="D42" s="3" t="inlineStr">
        <is>
          <t>Colsof S.A.S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HYPERLINK("https://www.elempleo.com/co/ofertas-trabajo/mesa-de-ayuda-bogota-1886752825", "Ver Vacante")</f>
        <v/>
      </c>
      <c r="H42" s="6" t="inlineStr"/>
      <c r="I42" s="3" t="inlineStr">
        <is>
          <t>[Afinidad: 73/100 - Alta Afinidad] Alta coincidencia técnica en Soporte Técnico de Sistemas, Hardware y Redes.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2c0788a7a3b3417d</t>
        </is>
      </c>
      <c r="B43" s="2" t="inlineStr">
        <is>
          <t>2026-09-24 15:37</t>
        </is>
      </c>
      <c r="C43" s="3" t="inlineStr">
        <is>
          <t>Analista mesa de ayuda nivel 1 / técnico o tecnólogo en sistemas / cota</t>
        </is>
      </c>
      <c r="D43" s="3" t="inlineStr">
        <is>
          <t>IMPRESISTEM S.A.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HYPERLINK("https://www.elempleo.com/co/ofertas-trabajo/analista-mesa-de-ayuda-nivel-1-tecnico-o-tecnologo-en-sistemas-cota-1886757061", "Ver Vacante")</f>
        <v/>
      </c>
      <c r="H43" s="6" t="inlineStr"/>
      <c r="I43" s="3" t="inlineStr">
        <is>
          <t>[Afinidad: 73/100 - Alta Afinidad] Alta coincidencia técnica en Soporte Técnico de Sistemas, Hardware y Redes.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97a1b3f2527f8ce8</t>
        </is>
      </c>
      <c r="B44" s="2" t="inlineStr">
        <is>
          <t>2026-09-24 15:37</t>
        </is>
      </c>
      <c r="C44" s="3" t="inlineStr">
        <is>
          <t>Analista de mesa de ayuda l1 - medellín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HYPERLINK("https://www.elempleo.com/co/ofertas-trabajo/analista-de-mesa-de-ayuda-l1-medellin-1886747056", "Ver Vacante")</f>
        <v/>
      </c>
      <c r="H44" s="6" t="inlineStr"/>
      <c r="I44" s="3" t="inlineStr">
        <is>
          <t>[Afinidad: 73/100 - Alta Afinidad] Alta coincidencia técnica en Soporte Técnico de Sistemas, Hardware y Redes.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a0df8e7687e7665c</t>
        </is>
      </c>
      <c r="B45" s="2" t="inlineStr">
        <is>
          <t>2026-09-24 15:37</t>
        </is>
      </c>
      <c r="C45" s="3" t="inlineStr">
        <is>
          <t>Agente mesa de ayuda</t>
        </is>
      </c>
      <c r="D45" s="3" t="inlineStr">
        <is>
          <t>Confidencial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HYPERLINK("https://www.elempleo.com/co/ofertas-trabajo/agente-mesa-de-ayuda-tecnologo-o-minimo-6-semestre-de-ingenieria-1886743820", "Ver Vacante")</f>
        <v/>
      </c>
      <c r="H45" s="6" t="inlineStr"/>
      <c r="I45" s="3" t="inlineStr">
        <is>
          <t>[Afinidad: 73/100 - Alta Afinidad] Alta coincidencia técnica en Soporte Técnico de Sistemas, Hardware y Redes.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12aafa5353e0252c</t>
        </is>
      </c>
      <c r="B46" s="2" t="inlineStr">
        <is>
          <t>2026-09-24 15:37</t>
        </is>
      </c>
      <c r="C46" s="3" t="inlineStr">
        <is>
          <t>Técnico de soporte nivel 1 con itil</t>
        </is>
      </c>
      <c r="D46" s="3" t="inlineStr">
        <is>
          <t>Confidencial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HYPERLINK("https://www.elempleo.com/co/ofertas-trabajo/tecnico-de-soporte-nivel-1-con-itil-1886769153", "Ver Vacante")</f>
        <v/>
      </c>
      <c r="H46" s="6" t="inlineStr"/>
      <c r="I46" s="3" t="inlineStr">
        <is>
          <t>[Afinidad: 73/100 - Alta Afinidad] Alta coincidencia técnica en Soporte Técnico de Sistemas, Hardware y Redes.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33bef2c4222966bf</t>
        </is>
      </c>
      <c r="B47" s="2" t="inlineStr">
        <is>
          <t>2026-09-24 15:37</t>
        </is>
      </c>
      <c r="C47" s="3" t="inlineStr">
        <is>
          <t>Gestor técnico nivel 1</t>
        </is>
      </c>
      <c r="D47" s="3" t="inlineStr">
        <is>
          <t>Gestión de Seguridad Electrónica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HYPERLINK("https://www.elempleo.com/co/ofertas-trabajo/gestor-tecnico-nivel-1-soporte-ti-tunja-1886700537", "Ver Vacante")</f>
        <v/>
      </c>
      <c r="H47" s="6" t="inlineStr"/>
      <c r="I47" s="3" t="inlineStr">
        <is>
          <t>[Afinidad: 73/100 - Alta Afinidad] Alta coincidencia técnica en Soporte Técnico de Sistemas, Hardware y Redes.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759c05a3a2a45bb7</t>
        </is>
      </c>
      <c r="B48" s="2" t="inlineStr">
        <is>
          <t>2026-09-24 15:37</t>
        </is>
      </c>
      <c r="C48" s="3" t="inlineStr">
        <is>
          <t>Técnico de soporte de redes y datacenter - bogotá</t>
        </is>
      </c>
      <c r="D48" s="3" t="inlineStr">
        <is>
          <t>TALYCAP GLOBAL SAS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HYPERLINK("https://www.elempleo.com/co/ofertas-trabajo/tecnico-de-soporte-de-redes-y-datacenter-bogota-1886765274", "Ver Vacante")</f>
        <v/>
      </c>
      <c r="H48" s="6" t="inlineStr"/>
      <c r="I48" s="3" t="inlineStr">
        <is>
          <t>[Afinidad: 73/100 - Alta Afinidad] Alta coincidencia técnica en Soporte Técnico de Sistemas, Hardware y Redes.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5d9bd5e6584b63b9</t>
        </is>
      </c>
      <c r="B49" s="2" t="inlineStr">
        <is>
          <t>2026-09-24 15:37</t>
        </is>
      </c>
      <c r="C49" s="3" t="inlineStr">
        <is>
          <t>Technical Support Help Desk</t>
        </is>
      </c>
      <c r="D49" s="3" t="inlineStr">
        <is>
          <t>Sutherland</t>
        </is>
      </c>
      <c r="E49" s="4" t="n">
        <v>0.73</v>
      </c>
      <c r="F49" s="2" t="inlineStr">
        <is>
          <t>Remoto</t>
        </is>
      </c>
      <c r="G49" s="5">
        <f>HYPERLINK("https://co.linkedin.com/jobs/view/technical-support-help-desk-at-sutherland-4466891252", "Ver Vacante")</f>
        <v/>
      </c>
      <c r="H49" s="6" t="inlineStr"/>
      <c r="I49" s="3" t="inlineStr">
        <is>
          <t>[Afinidad: 73/100 - Alta Afinidad] Alta coincidencia técnica en Soporte Técnico de Sistemas, Hardware y Redes.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7652a72b60c5253a</t>
        </is>
      </c>
      <c r="B50" s="2" t="inlineStr">
        <is>
          <t>2026-09-24 15:37</t>
        </is>
      </c>
      <c r="C50" s="3" t="inlineStr">
        <is>
          <t>Helpdesk &amp; Customer Suceess Operation Agent</t>
        </is>
      </c>
      <c r="D50" s="3" t="inlineStr">
        <is>
          <t>Regnology</t>
        </is>
      </c>
      <c r="E50" s="4" t="n">
        <v>0.73</v>
      </c>
      <c r="F50" s="2" t="inlineStr">
        <is>
          <t>Remoto</t>
        </is>
      </c>
      <c r="G50" s="5">
        <f>HYPERLINK("https://co.linkedin.com/jobs/view/helpdesk-customer-suceess-operation-agent-at-regnology-4463373207", "Ver Vacante")</f>
        <v/>
      </c>
      <c r="H50" s="6" t="inlineStr"/>
      <c r="I50" s="3" t="inlineStr">
        <is>
          <t>[Afinidad: 73/100 - Alta Afinidad] Alta coincidencia técnica en Soporte Técnico de Sistemas, Hardware y Redes.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ae736277661dc78b</t>
        </is>
      </c>
      <c r="B51" s="2" t="inlineStr">
        <is>
          <t>2026-09-24 15:23</t>
        </is>
      </c>
      <c r="C51" s="3" t="inlineStr">
        <is>
          <t>Analista de redes cisco</t>
        </is>
      </c>
      <c r="D51" s="3" t="inlineStr">
        <is>
          <t>ATCG DE COLOMBIA S.A.S</t>
        </is>
      </c>
      <c r="E51" s="7" t="n">
        <v>0.68</v>
      </c>
      <c r="F51" s="2" t="inlineStr">
        <is>
          <t>Remoto</t>
        </is>
      </c>
      <c r="G51" s="5">
        <f>HYPERLINK("https://www.elempleo.com/co/ofertas-trabajo/analista-de-redes-cisco-1886760389", "Ver Vacante")</f>
        <v/>
      </c>
      <c r="H51" s="6" t="inlineStr"/>
      <c r="I51" s="3" t="inlineStr">
        <is>
          <t>[Afinidad: 68/100 - Afinidad Moderada] Alta coincidencia técnica en Soporte Técnico de Sistemas, Hardware y Redes.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e29676fac3409ad6</t>
        </is>
      </c>
      <c r="B52" s="2" t="inlineStr">
        <is>
          <t>2026-09-24 15:23</t>
        </is>
      </c>
      <c r="C52" s="3" t="inlineStr">
        <is>
          <t>Analista de redes y telecomunicaciones - nivel 1</t>
        </is>
      </c>
      <c r="D52" s="3" t="inlineStr">
        <is>
          <t>MANPOWER</t>
        </is>
      </c>
      <c r="E52" s="7" t="n">
        <v>0.68</v>
      </c>
      <c r="F52" s="2" t="inlineStr">
        <is>
          <t>Remoto</t>
        </is>
      </c>
      <c r="G52" s="5">
        <f>HYPERLINK("https://www.elempleo.com/co/ofertas-trabajo/analista-de-redes-y-telecomunicaciones-nivel-1-1886760565", "Ver Vacante")</f>
        <v/>
      </c>
      <c r="H52" s="6" t="inlineStr"/>
      <c r="I52" s="3" t="inlineStr">
        <is>
          <t>[Afinidad: 68/100 - Afinidad Moderada] Alta coincidencia técnica en Soporte Técnico de Sistemas, Hardware y Redes. Modalidad: 100% Remoto en Colombia confirmado.</t>
        </is>
      </c>
      <c r="J52" s="2" t="inlineStr">
        <is>
          <t>Nueva</t>
        </is>
      </c>
      <c r="K52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2026-09-24T20:49:24Z</dcterms:created>
  <dcterms:modified xmlns:dcterms="http://purl.org/dc/terms/" xmlns:xsi="http://www.w3.org/2001/XMLSchema-instance" xsi:type="dcterms:W3CDTF">2026-09-24T20:49:24Z</dcterms:modified>
</cp:coreProperties>
</file>