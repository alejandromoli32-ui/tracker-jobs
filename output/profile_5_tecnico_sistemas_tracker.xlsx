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bf87ccb4338ffa01</t>
        </is>
      </c>
      <c r="B2" s="2" t="inlineStr">
        <is>
          <t>2026-09-24 15:23</t>
        </is>
      </c>
      <c r="C2" s="3" t="inlineStr">
        <is>
          <t>Ingeniero de desarrollo backend python y cloud</t>
        </is>
      </c>
      <c r="D2" s="3" t="inlineStr">
        <is>
          <t>FUCS</t>
        </is>
      </c>
      <c r="E2" s="4" t="n">
        <v>0.93</v>
      </c>
      <c r="F2" s="2" t="inlineStr">
        <is>
          <t>Remoto</t>
        </is>
      </c>
      <c r="G2" s="5">
        <f>HYPERLINK("https://www.elempleo.com/co/ofertas-trabajo/ingeniero-de-desarrollo-backend-python-y-cloud-1886770665",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7e09ea6611c0cb07</t>
        </is>
      </c>
      <c r="B3" s="2" t="inlineStr">
        <is>
          <t>2026-09-24 15:23</t>
        </is>
      </c>
      <c r="C3" s="3" t="inlineStr">
        <is>
          <t>Líder de desarrollo python - desarrollador senior python</t>
        </is>
      </c>
      <c r="D3" s="3" t="inlineStr">
        <is>
          <t>MICHAEL PAGE INTERNATIONAL</t>
        </is>
      </c>
      <c r="E3" s="4" t="n">
        <v>0.93</v>
      </c>
      <c r="F3" s="2" t="inlineStr">
        <is>
          <t>Remoto</t>
        </is>
      </c>
      <c r="G3" s="5">
        <f>HYPERLINK("https://www.elempleo.com/co/ofertas-trabajo/lider-de-desarrollo-python-desarrollador-senior-python-1886759933",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d710f9dad7e529d9</t>
        </is>
      </c>
      <c r="B4" s="2" t="inlineStr">
        <is>
          <t>2026-09-24 15:23</t>
        </is>
      </c>
      <c r="C4" s="3" t="inlineStr">
        <is>
          <t>Desarrollador python</t>
        </is>
      </c>
      <c r="D4" s="3" t="inlineStr">
        <is>
          <t>Confidencial</t>
        </is>
      </c>
      <c r="E4" s="4" t="n">
        <v>0.93</v>
      </c>
      <c r="F4" s="2" t="inlineStr">
        <is>
          <t>Remoto</t>
        </is>
      </c>
      <c r="G4" s="5">
        <f>HYPERLINK("https://www.elempleo.com/co/ofertas-trabajo/desarrollador-python-1886761697",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2b821e4219343f51</t>
        </is>
      </c>
      <c r="B5" s="2" t="inlineStr">
        <is>
          <t>2026-09-24 15:23</t>
        </is>
      </c>
      <c r="C5" s="3" t="inlineStr">
        <is>
          <t>Desarrollador(a) full stack python + react</t>
        </is>
      </c>
      <c r="D5" s="3" t="inlineStr">
        <is>
          <t>Confidencial</t>
        </is>
      </c>
      <c r="E5" s="4" t="n">
        <v>0.93</v>
      </c>
      <c r="F5" s="2" t="inlineStr">
        <is>
          <t>Remoto</t>
        </is>
      </c>
      <c r="G5" s="5">
        <f>HYPERLINK("https://www.elempleo.com/co/ofertas-trabajo/desarrolladora-full-stack-python-react-1886745481",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f23a3e45ab69720c</t>
        </is>
      </c>
      <c r="B6" s="2" t="inlineStr">
        <is>
          <t>2026-09-24 15:23</t>
        </is>
      </c>
      <c r="C6" s="3" t="inlineStr">
        <is>
          <t>Desarrollador fullstack .net, python, ia generativa - remoto</t>
        </is>
      </c>
      <c r="D6" s="3" t="inlineStr">
        <is>
          <t>Cinte Colombia SAS</t>
        </is>
      </c>
      <c r="E6" s="4" t="n">
        <v>0.93</v>
      </c>
      <c r="F6" s="2" t="inlineStr">
        <is>
          <t>Remoto</t>
        </is>
      </c>
      <c r="G6" s="5">
        <f>HYPERLINK("https://www.elempleo.com/co/ofertas-trabajo/desarrollador-fullstack-net-python-ia-generativa-remoto-1886767813",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9b770387020698eb</t>
        </is>
      </c>
      <c r="B7" s="2" t="inlineStr">
        <is>
          <t>2026-09-24 15:23</t>
        </is>
      </c>
      <c r="C7" s="3" t="inlineStr">
        <is>
          <t>Desarrollador python para ifrs 17</t>
        </is>
      </c>
      <c r="D7" s="3" t="inlineStr">
        <is>
          <t>MANPOWER</t>
        </is>
      </c>
      <c r="E7" s="4" t="n">
        <v>0.93</v>
      </c>
      <c r="F7" s="2" t="inlineStr">
        <is>
          <t>Remoto</t>
        </is>
      </c>
      <c r="G7" s="5">
        <f>HYPERLINK("https://www.elempleo.com/co/ofertas-trabajo/desarrollador-python-para-ifrs-17-1886745276",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45320704a7ef8601</t>
        </is>
      </c>
      <c r="B8" s="2" t="inlineStr">
        <is>
          <t>2026-09-24 15:23</t>
        </is>
      </c>
      <c r="C8" s="3" t="inlineStr">
        <is>
          <t>Desarrollador .net / python</t>
        </is>
      </c>
      <c r="D8" s="3" t="inlineStr">
        <is>
          <t>Cinte Colombia SAS</t>
        </is>
      </c>
      <c r="E8" s="4" t="n">
        <v>0.93</v>
      </c>
      <c r="F8" s="2" t="inlineStr">
        <is>
          <t>Remoto</t>
        </is>
      </c>
      <c r="G8" s="5">
        <f>HYPERLINK("https://www.elempleo.com/co/ofertas-trabajo/desarrollador-net-python-1886768004", "Ver Vacante")</f>
        <v/>
      </c>
      <c r="H8" s="6" t="inlineStr"/>
      <c r="I8" s="3" t="inlineStr">
        <is>
          <t>[Afinidad: 93/100 -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4e75a3d1c7ac2960</t>
        </is>
      </c>
      <c r="B9" s="2" t="inlineStr">
        <is>
          <t>2026-09-24 15:23</t>
        </is>
      </c>
      <c r="C9" s="3" t="inlineStr">
        <is>
          <t>Desarrollador .net / python</t>
        </is>
      </c>
      <c r="D9" s="3" t="inlineStr">
        <is>
          <t>Cinte Colombia SAS</t>
        </is>
      </c>
      <c r="E9" s="4" t="n">
        <v>0.93</v>
      </c>
      <c r="F9" s="2" t="inlineStr">
        <is>
          <t>Remoto</t>
        </is>
      </c>
      <c r="G9" s="5">
        <f>HYPERLINK("https://www.elempleo.com/co/ofertas-trabajo/desarrollador-net-python-1886755130", "Ver Vacante")</f>
        <v/>
      </c>
      <c r="H9" s="6" t="inlineStr"/>
      <c r="I9" s="3" t="inlineStr">
        <is>
          <t>[Afinidad: 93/100 -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9c57ab51260539d2</t>
        </is>
      </c>
      <c r="B10" s="2" t="inlineStr">
        <is>
          <t>2026-09-24 15:23</t>
        </is>
      </c>
      <c r="C10" s="3" t="inlineStr">
        <is>
          <t>Desarrollador python. remoto</t>
        </is>
      </c>
      <c r="D10" s="3" t="inlineStr">
        <is>
          <t>Cinte Colombia SAS</t>
        </is>
      </c>
      <c r="E10" s="4" t="n">
        <v>0.93</v>
      </c>
      <c r="F10" s="2" t="inlineStr">
        <is>
          <t>Remoto</t>
        </is>
      </c>
      <c r="G10" s="5">
        <f>HYPERLINK("https://www.elempleo.com/co/ofertas-trabajo/desarrollador-python-remoto-1886750332", "Ver Vacante")</f>
        <v/>
      </c>
      <c r="H10" s="6" t="inlineStr"/>
      <c r="I10" s="3" t="inlineStr">
        <is>
          <t>[Afinidad: 93/100 -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c8b9722c0f037d1c</t>
        </is>
      </c>
      <c r="B11" s="2" t="inlineStr">
        <is>
          <t>2026-09-24 15:23</t>
        </is>
      </c>
      <c r="C11" s="3" t="inlineStr">
        <is>
          <t>Desarrollador python, pyspark, airflow. remoto</t>
        </is>
      </c>
      <c r="D11" s="3" t="inlineStr">
        <is>
          <t>Cinte Colombia SAS</t>
        </is>
      </c>
      <c r="E11" s="4" t="n">
        <v>0.93</v>
      </c>
      <c r="F11" s="2" t="inlineStr">
        <is>
          <t>Remoto</t>
        </is>
      </c>
      <c r="G11" s="5">
        <f>HYPERLINK("https://www.elempleo.com/co/ofertas-trabajo/desarrollador-python-pyspark-airflow-remoto-1886750989", "Ver Vacante")</f>
        <v/>
      </c>
      <c r="H11" s="6" t="inlineStr"/>
      <c r="I11" s="3" t="inlineStr">
        <is>
          <t>[Afinidad: 93/100 -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4097434732b87693</t>
        </is>
      </c>
      <c r="B12" s="2" t="inlineStr">
        <is>
          <t>2026-09-24 15:23</t>
        </is>
      </c>
      <c r="C12" s="3" t="inlineStr">
        <is>
          <t>Desarrollador python, pyspark, airflow. remoto</t>
        </is>
      </c>
      <c r="D12" s="3" t="inlineStr">
        <is>
          <t>Cinte Colombia SAS</t>
        </is>
      </c>
      <c r="E12" s="4" t="n">
        <v>0.93</v>
      </c>
      <c r="F12" s="2" t="inlineStr">
        <is>
          <t>Remoto</t>
        </is>
      </c>
      <c r="G12" s="5">
        <f>HYPERLINK("https://www.elempleo.com/co/ofertas-trabajo/desarrollador-python-pyspark-airflow-remoto-1886768679", "Ver Vacante")</f>
        <v/>
      </c>
      <c r="H12" s="6" t="inlineStr"/>
      <c r="I12" s="3" t="inlineStr">
        <is>
          <t>[Afinidad: 93/100 -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947b01ae0a945f0d</t>
        </is>
      </c>
      <c r="B13" s="2" t="inlineStr">
        <is>
          <t>2026-09-24 15:23</t>
        </is>
      </c>
      <c r="C13" s="3" t="inlineStr">
        <is>
          <t>Desarrollador / diseñador python</t>
        </is>
      </c>
      <c r="D13" s="3" t="inlineStr">
        <is>
          <t>Cinte Colombia SAS</t>
        </is>
      </c>
      <c r="E13" s="4" t="n">
        <v>0.93</v>
      </c>
      <c r="F13" s="2" t="inlineStr">
        <is>
          <t>Remoto</t>
        </is>
      </c>
      <c r="G13" s="5">
        <f>HYPERLINK("https://www.elempleo.com/co/ofertas-trabajo/desarrollador-disenador-python-1886755154", "Ver Vacante")</f>
        <v/>
      </c>
      <c r="H13" s="6" t="inlineStr"/>
      <c r="I13" s="3" t="inlineStr">
        <is>
          <t>[Afinidad: 93/100 -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54722f93ecad86d6</t>
        </is>
      </c>
      <c r="B14" s="2" t="inlineStr">
        <is>
          <t>2026-09-24 15:23</t>
        </is>
      </c>
      <c r="C14" s="3" t="inlineStr">
        <is>
          <t>Especialista de sql</t>
        </is>
      </c>
      <c r="D14" s="3" t="inlineStr">
        <is>
          <t>Confidencial</t>
        </is>
      </c>
      <c r="E14" s="4" t="n">
        <v>0.93</v>
      </c>
      <c r="F14" s="2" t="inlineStr">
        <is>
          <t>Remoto</t>
        </is>
      </c>
      <c r="G14" s="5">
        <f>HYPERLINK("https://www.elempleo.com/co/ofertas-trabajo/especialista-de-sql-1886771843", "Ver Vacante")</f>
        <v/>
      </c>
      <c r="H14" s="6" t="inlineStr"/>
      <c r="I14" s="3" t="inlineStr">
        <is>
          <t>[Afinidad: 93/100 -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66d1f18add5f7a9f</t>
        </is>
      </c>
      <c r="B15" s="2" t="inlineStr">
        <is>
          <t>2026-09-24 15:23</t>
        </is>
      </c>
      <c r="C15" s="3" t="inlineStr">
        <is>
          <t>Programador python</t>
        </is>
      </c>
      <c r="D15" s="3" t="inlineStr">
        <is>
          <t>ASISTALENTO SAS</t>
        </is>
      </c>
      <c r="E15" s="4" t="n">
        <v>0.93</v>
      </c>
      <c r="F15" s="2" t="inlineStr">
        <is>
          <t>Remoto</t>
        </is>
      </c>
      <c r="G15" s="5">
        <f>HYPERLINK("https://www.elempleo.com/co/ofertas-trabajo/programador-python-1886747195", "Ver Vacante")</f>
        <v/>
      </c>
      <c r="H15" s="6" t="inlineStr"/>
      <c r="I15" s="3" t="inlineStr">
        <is>
          <t>[Afinidad: 93/100 -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0c0cbba25a62a873</t>
        </is>
      </c>
      <c r="B16" s="2" t="inlineStr">
        <is>
          <t>2026-09-24 15:23</t>
        </is>
      </c>
      <c r="C16" s="3" t="inlineStr">
        <is>
          <t>Programador python</t>
        </is>
      </c>
      <c r="D16" s="3" t="inlineStr">
        <is>
          <t>ASISTALENTO SAS</t>
        </is>
      </c>
      <c r="E16" s="4" t="n">
        <v>0.93</v>
      </c>
      <c r="F16" s="2" t="inlineStr">
        <is>
          <t>Remoto</t>
        </is>
      </c>
      <c r="G16" s="5">
        <f>HYPERLINK("https://www.elempleo.com/co/ofertas-trabajo/programador-python-1886759830", "Ver Vacante")</f>
        <v/>
      </c>
      <c r="H16" s="6" t="inlineStr"/>
      <c r="I16" s="3" t="inlineStr">
        <is>
          <t>[Afinidad: 93/100 -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b6581d4aaaff95a4</t>
        </is>
      </c>
      <c r="B17" s="2" t="inlineStr">
        <is>
          <t>2026-09-24 15:23</t>
        </is>
      </c>
      <c r="C17" s="3" t="inlineStr">
        <is>
          <t>Desarrollador azure y soporte de aplicaciones</t>
        </is>
      </c>
      <c r="D17" s="3" t="inlineStr">
        <is>
          <t>Confidencial</t>
        </is>
      </c>
      <c r="E17" s="4" t="n">
        <v>0.93</v>
      </c>
      <c r="F17" s="2" t="inlineStr">
        <is>
          <t>Remoto</t>
        </is>
      </c>
      <c r="G17" s="5">
        <f>HYPERLINK("https://www.elempleo.com/co/ofertas-trabajo/desarrollador-azure-y-soporte-de-aplicaciones-1886764548", "Ver Vacante")</f>
        <v/>
      </c>
      <c r="H17" s="6" t="inlineStr"/>
      <c r="I17" s="3" t="inlineStr">
        <is>
          <t>[Afinidad: 93/100 -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0bcdf0f2f6f1b6cd</t>
        </is>
      </c>
      <c r="B18" s="2" t="inlineStr">
        <is>
          <t>2026-09-24 15:23</t>
        </is>
      </c>
      <c r="C18" s="3" t="inlineStr">
        <is>
          <t>Especialista soporte de aplicaciones</t>
        </is>
      </c>
      <c r="D18" s="3" t="inlineStr">
        <is>
          <t>Confidencial</t>
        </is>
      </c>
      <c r="E18" s="4" t="n">
        <v>0.93</v>
      </c>
      <c r="F18" s="2" t="inlineStr">
        <is>
          <t>Remoto</t>
        </is>
      </c>
      <c r="G18" s="5">
        <f>HYPERLINK("https://www.elempleo.com/co/ofertas-trabajo/especialista-soporte-de-aplicaciones-1886761905", "Ver Vacante")</f>
        <v/>
      </c>
      <c r="H18" s="6" t="inlineStr"/>
      <c r="I18" s="3" t="inlineStr">
        <is>
          <t>[Afinidad: 93/100 -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84d3343d319ef2ee</t>
        </is>
      </c>
      <c r="B19" s="2" t="inlineStr">
        <is>
          <t>2026-09-24 15:23</t>
        </is>
      </c>
      <c r="C19" s="3" t="inlineStr">
        <is>
          <t>Analista de soporte de aplicaciones</t>
        </is>
      </c>
      <c r="D19" s="3" t="inlineStr">
        <is>
          <t>Confidencial</t>
        </is>
      </c>
      <c r="E19" s="4" t="n">
        <v>0.93</v>
      </c>
      <c r="F19" s="2" t="inlineStr">
        <is>
          <t>Remoto</t>
        </is>
      </c>
      <c r="G19" s="5">
        <f>HYPERLINK("https://www.elempleo.com/co/ofertas-trabajo/analista-de-soporte-de-aplicaciones-1886744833", "Ver Vacante")</f>
        <v/>
      </c>
      <c r="H19" s="6" t="inlineStr"/>
      <c r="I19" s="3" t="inlineStr">
        <is>
          <t>[Afinidad: 93/100 -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df75daac897ae052</t>
        </is>
      </c>
      <c r="B20" s="2" t="inlineStr">
        <is>
          <t>2026-09-24 15:23</t>
        </is>
      </c>
      <c r="C20" s="3" t="inlineStr">
        <is>
          <t>Analytics engineer senior - dbt + sql</t>
        </is>
      </c>
      <c r="D20" s="3" t="inlineStr">
        <is>
          <t>PRAXIS I.T COLOMBIA LTDA</t>
        </is>
      </c>
      <c r="E20" s="4" t="n">
        <v>0.93</v>
      </c>
      <c r="F20" s="2" t="inlineStr">
        <is>
          <t>Remoto</t>
        </is>
      </c>
      <c r="G20" s="5">
        <f>HYPERLINK("https://www.elempleo.com/co/ofertas-trabajo/analytics-engineer-senior-dbt-sql-1886751908", "Ver Vacante")</f>
        <v/>
      </c>
      <c r="H20" s="6" t="inlineStr"/>
      <c r="I20" s="3" t="inlineStr">
        <is>
          <t>[Afinidad: 93/100 -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7987b5b03e63ab6f</t>
        </is>
      </c>
      <c r="B21" s="2" t="inlineStr">
        <is>
          <t>2026-09-24 15:23</t>
        </is>
      </c>
      <c r="C21" s="3" t="inlineStr">
        <is>
          <t>Analista de datos sql/aws</t>
        </is>
      </c>
      <c r="D21" s="3" t="inlineStr">
        <is>
          <t>INTER RAPIDISIMO</t>
        </is>
      </c>
      <c r="E21" s="4" t="n">
        <v>0.93</v>
      </c>
      <c r="F21" s="2" t="inlineStr">
        <is>
          <t>Remoto</t>
        </is>
      </c>
      <c r="G21" s="5">
        <f>HYPERLINK("https://www.elempleo.com/co/ofertas-trabajo/analista-de-datos-sql-aws-1886761195", "Ver Vacante")</f>
        <v/>
      </c>
      <c r="H21" s="6" t="inlineStr"/>
      <c r="I21" s="3" t="inlineStr">
        <is>
          <t>[Afinidad: 93/100 -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0b786b1a9dff01e7</t>
        </is>
      </c>
      <c r="B22" s="2" t="inlineStr">
        <is>
          <t>2026-09-24 15:23</t>
        </is>
      </c>
      <c r="C22" s="3" t="inlineStr">
        <is>
          <t>Analista de Soporte Senior – Java y Oracle PL/SQL</t>
        </is>
      </c>
      <c r="D22" s="3" t="inlineStr">
        <is>
          <t>Hitss Colombia</t>
        </is>
      </c>
      <c r="E22" s="4" t="n">
        <v>0.93</v>
      </c>
      <c r="F22" s="2" t="inlineStr">
        <is>
          <t>Remoto</t>
        </is>
      </c>
      <c r="G22" s="5">
        <f>HYPERLINK("https://co.linkedin.com/jobs/view/analista-de-soporte-senior-%E2%80%93-java-y-oracle-pl-sql-at-hitss-colombia-4461182911", "Ver Vacante")</f>
        <v/>
      </c>
      <c r="H22" s="6" t="inlineStr"/>
      <c r="I22" s="3" t="inlineStr">
        <is>
          <t>[Afinidad: 93/100 -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fb4057b60ee24f96</t>
        </is>
      </c>
      <c r="B23" s="2" t="inlineStr">
        <is>
          <t>2026-09-24 15:23</t>
        </is>
      </c>
      <c r="C23" s="3" t="inlineStr">
        <is>
          <t>Soporte de Aplicaciones</t>
        </is>
      </c>
      <c r="D23" s="3" t="inlineStr">
        <is>
          <t>Marsh</t>
        </is>
      </c>
      <c r="E23" s="4" t="n">
        <v>0.93</v>
      </c>
      <c r="F23" s="2" t="inlineStr">
        <is>
          <t>Remoto</t>
        </is>
      </c>
      <c r="G23" s="5">
        <f>HYPERLINK("https://co.linkedin.com/jobs/view/soporte-de-aplicaciones-at-marsh-4462495318", "Ver Vacante")</f>
        <v/>
      </c>
      <c r="H23" s="6" t="inlineStr"/>
      <c r="I23" s="3" t="inlineStr">
        <is>
          <t>[Afinidad: 93/100 -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36d9af4a629bea69</t>
        </is>
      </c>
      <c r="B24" s="2" t="inlineStr">
        <is>
          <t>2026-09-24 15:23</t>
        </is>
      </c>
      <c r="C24" s="3" t="inlineStr">
        <is>
          <t>Soporte de Aplicaciones</t>
        </is>
      </c>
      <c r="D24" s="3" t="inlineStr">
        <is>
          <t>Marsh</t>
        </is>
      </c>
      <c r="E24" s="4" t="n">
        <v>0.93</v>
      </c>
      <c r="F24" s="2" t="inlineStr">
        <is>
          <t>Remoto</t>
        </is>
      </c>
      <c r="G24" s="5">
        <f>HYPERLINK("https://co.linkedin.com/jobs/view/soporte-de-aplicaciones-at-marsh-4462705041", "Ver Vacante")</f>
        <v/>
      </c>
      <c r="H24" s="6" t="inlineStr"/>
      <c r="I24" s="3" t="inlineStr">
        <is>
          <t>[Afinidad: 93/100 -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c56208dd47729452</t>
        </is>
      </c>
      <c r="B25" s="2" t="inlineStr">
        <is>
          <t>2026-09-24 15:23</t>
        </is>
      </c>
      <c r="C25" s="3" t="inlineStr">
        <is>
          <t>Soporte de Aplicaciones</t>
        </is>
      </c>
      <c r="D25" s="3" t="inlineStr">
        <is>
          <t>Marsh Risk</t>
        </is>
      </c>
      <c r="E25" s="4" t="n">
        <v>0.93</v>
      </c>
      <c r="F25" s="2" t="inlineStr">
        <is>
          <t>Remoto</t>
        </is>
      </c>
      <c r="G25" s="5">
        <f>HYPERLINK("https://co.linkedin.com/jobs/view/soporte-de-aplicaciones-at-marsh-risk-4462800719", "Ver Vacante")</f>
        <v/>
      </c>
      <c r="H25" s="6" t="inlineStr"/>
      <c r="I25" s="3" t="inlineStr">
        <is>
          <t>[Afinidad: 93/100 -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d0e25c686dd08685</t>
        </is>
      </c>
      <c r="B26" s="2" t="inlineStr">
        <is>
          <t>2026-09-24 15:23</t>
        </is>
      </c>
      <c r="C26" s="3" t="inlineStr">
        <is>
          <t>Soporte de Aplicaciones</t>
        </is>
      </c>
      <c r="D26" s="3" t="inlineStr">
        <is>
          <t>Marsh Risk</t>
        </is>
      </c>
      <c r="E26" s="4" t="n">
        <v>0.93</v>
      </c>
      <c r="F26" s="2" t="inlineStr">
        <is>
          <t>Remoto</t>
        </is>
      </c>
      <c r="G26" s="5">
        <f>HYPERLINK("https://co.linkedin.com/jobs/view/soporte-de-aplicaciones-at-marsh-risk-4462796772", "Ver Vacante")</f>
        <v/>
      </c>
      <c r="H26" s="6" t="inlineStr"/>
      <c r="I26" s="3" t="inlineStr">
        <is>
          <t>[Afinidad: 93/100 -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05c483685b3940dc</t>
        </is>
      </c>
      <c r="B27" s="2" t="inlineStr">
        <is>
          <t>2026-09-24 15:23</t>
        </is>
      </c>
      <c r="C27" s="3" t="inlineStr">
        <is>
          <t>Consultor de Soporte PL/SQL</t>
        </is>
      </c>
      <c r="D27" s="3" t="inlineStr">
        <is>
          <t>GFT Technologies</t>
        </is>
      </c>
      <c r="E27" s="4" t="n">
        <v>0.93</v>
      </c>
      <c r="F27" s="2" t="inlineStr">
        <is>
          <t>Remoto</t>
        </is>
      </c>
      <c r="G27" s="5">
        <f>HYPERLINK("https://co.linkedin.com/jobs/view/consultor-de-soporte-pl-sql-at-gft-technologies-4463498852", "Ver Vacante")</f>
        <v/>
      </c>
      <c r="H27" s="6" t="inlineStr"/>
      <c r="I27" s="3" t="inlineStr">
        <is>
          <t>[Afinidad: 93/100 -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6634fd75aadf2a42</t>
        </is>
      </c>
      <c r="B28" s="2" t="inlineStr">
        <is>
          <t>2026-09-24 15:23</t>
        </is>
      </c>
      <c r="C28" s="3" t="inlineStr">
        <is>
          <t>Ingeniero en soporte y mesa de ayuda</t>
        </is>
      </c>
      <c r="D28" s="3" t="inlineStr">
        <is>
          <t>TALENT SPEAKERS COLOMBIA SAS</t>
        </is>
      </c>
      <c r="E28" s="4" t="n">
        <v>0.78</v>
      </c>
      <c r="F28" s="2" t="inlineStr">
        <is>
          <t>Remoto</t>
        </is>
      </c>
      <c r="G28" s="5">
        <f>HYPERLINK("https://www.elempleo.com/co/ofertas-trabajo/ingeniero-en-soporte-y-mesa-de-ayuda-soporte-de-aplicaciones-1886762795", "Ver Vacante")</f>
        <v/>
      </c>
      <c r="H28" s="6" t="inlineStr"/>
      <c r="I28" s="3" t="inlineStr">
        <is>
          <t>[Afinidad: 78/100 - Alta Afinidad] Afinidad moderada en áreas técnicas del cargo (Técnico en Sistemas / Soporte TI Remoto).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b1a7f88a1318843e</t>
        </is>
      </c>
      <c r="B29" s="2" t="inlineStr">
        <is>
          <t>2026-09-24 15:23</t>
        </is>
      </c>
      <c r="C29" s="3" t="inlineStr">
        <is>
          <t>Desarrollador backend junior</t>
        </is>
      </c>
      <c r="D29" s="3" t="inlineStr">
        <is>
          <t>Confidencial</t>
        </is>
      </c>
      <c r="E29" s="4" t="n">
        <v>0.75</v>
      </c>
      <c r="F29" s="2" t="inlineStr">
        <is>
          <t>Remoto</t>
        </is>
      </c>
      <c r="G29" s="5">
        <f>HYPERLINK("https://www.elempleo.com/co/ofertas-trabajo/desarrollador-backend-junior-laravel-python-1886746541", "Ver Vacante")</f>
        <v/>
      </c>
      <c r="H29" s="6" t="inlineStr"/>
      <c r="I29" s="3" t="inlineStr">
        <is>
          <t>[Afinidad: 75/100 -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0b0ae49f910109bb</t>
        </is>
      </c>
      <c r="B30" s="2" t="inlineStr">
        <is>
          <t>2026-09-24 15:23</t>
        </is>
      </c>
      <c r="C30" s="3" t="inlineStr">
        <is>
          <t>Ejecutivo Técnico Arancel Junior</t>
        </is>
      </c>
      <c r="D30" s="3" t="inlineStr">
        <is>
          <t>Importante Empresa de Logística y Comercio</t>
        </is>
      </c>
      <c r="E30" s="4" t="n">
        <v>0.75</v>
      </c>
      <c r="F30" s="2" t="inlineStr">
        <is>
          <t>Remoto</t>
        </is>
      </c>
      <c r="G30" s="5">
        <f>HYPERLINK("https://co.computrabajo.com/ofertas-de-trabajo/oferta-de-trabajo-de-ejecutivo-tecnico-arancel-junior-bogota-en-bogota-dc-547866639B487E0161373E686DCF3405", "Ver Vacante")</f>
        <v/>
      </c>
      <c r="H30" s="6" t="inlineStr">
        <is>
          <t>Remoto</t>
        </is>
      </c>
      <c r="I30" s="3" t="inlineStr">
        <is>
          <t>[Afinidad: 75/100 -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4ca071a8293342c4</t>
        </is>
      </c>
      <c r="B31" s="2" t="inlineStr">
        <is>
          <t>2026-09-24 15:23</t>
        </is>
      </c>
      <c r="C31" s="3" t="inlineStr">
        <is>
          <t>Ingeniero consultor de soporte junior</t>
        </is>
      </c>
      <c r="D31" s="3" t="inlineStr">
        <is>
          <t>TALENT SPEAKERS COLOMBIA SAS</t>
        </is>
      </c>
      <c r="E31" s="4" t="n">
        <v>0.75</v>
      </c>
      <c r="F31" s="2" t="inlineStr">
        <is>
          <t>Remoto</t>
        </is>
      </c>
      <c r="G31" s="5">
        <f>HYPERLINK("https://www.elempleo.com/co/ofertas-trabajo/ingeniero-consultor-de-soporte-junior-1886750430", "Ver Vacante")</f>
        <v/>
      </c>
      <c r="H31" s="6" t="inlineStr"/>
      <c r="I31" s="3" t="inlineStr">
        <is>
          <t>[Afinidad: 75/100 -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c582f78c40a8cbef</t>
        </is>
      </c>
      <c r="B32" s="2" t="inlineStr">
        <is>
          <t>2026-09-24 15:23</t>
        </is>
      </c>
      <c r="C32" s="3" t="inlineStr">
        <is>
          <t>Analista de soporte técnico Software AML</t>
        </is>
      </c>
      <c r="D32" s="3" t="inlineStr">
        <is>
          <t>QUALITA CORP</t>
        </is>
      </c>
      <c r="E32" s="4" t="n">
        <v>0.73</v>
      </c>
      <c r="F32" s="2" t="inlineStr">
        <is>
          <t>Remoto</t>
        </is>
      </c>
      <c r="G32" s="5">
        <f>HYPERLINK("https://co.computrabajo.com/ofertas-de-trabajo/oferta-de-trabajo-de-analista-de-soporte-tecnico-software-aml-technical-support-analyst-en-cali-E6235476DD4F0EA861373E686DCF3405", "Ver Vacante")</f>
        <v/>
      </c>
      <c r="H32" s="6" t="inlineStr">
        <is>
          <t>$ 2.600.000,00 (Mensual)</t>
        </is>
      </c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c15b23736599b6ea</t>
        </is>
      </c>
      <c r="B33" s="2" t="inlineStr">
        <is>
          <t>2026-09-24 15:23</t>
        </is>
      </c>
      <c r="C33" s="3" t="inlineStr">
        <is>
          <t>Representante de Soporte Técnico</t>
        </is>
      </c>
      <c r="D33" s="3" t="inlineStr">
        <is>
          <t>Importante empresa del sector</t>
        </is>
      </c>
      <c r="E33" s="4" t="n">
        <v>0.73</v>
      </c>
      <c r="F33" s="2" t="inlineStr">
        <is>
          <t>Remoto</t>
        </is>
      </c>
      <c r="G33" s="5">
        <f>HYPERLINK("https://co.computrabajo.com/ofertas-de-trabajo/oferta-de-trabajo-de-representante-de-soporte-tecnico-bilingue-c1-en-bogota-dc-F55CBFF60004B2D661373E686DCF3405", "Ver Vacante")</f>
        <v/>
      </c>
      <c r="H33" s="6" t="inlineStr">
        <is>
          <t>$ 2.500.000,00 (Mensual)</t>
        </is>
      </c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a24e415f10a83868</t>
        </is>
      </c>
      <c r="B34" s="2" t="inlineStr">
        <is>
          <t>2026-09-24 15:23</t>
        </is>
      </c>
      <c r="C34" s="3" t="inlineStr">
        <is>
          <t>Asesores de Soporte Técnico desde Casa/ Salario fijo + variable</t>
        </is>
      </c>
      <c r="D34" s="3" t="inlineStr">
        <is>
          <t>emtelco</t>
        </is>
      </c>
      <c r="E34" s="4" t="n">
        <v>0.73</v>
      </c>
      <c r="F34" s="2" t="inlineStr">
        <is>
          <t>Remoto</t>
        </is>
      </c>
      <c r="G34" s="5">
        <f>HYPERLINK("https://co.computrabajo.com/ofertas-de-trabajo/oferta-de-trabajo-de-asesores-de-soporte-tecnico-desde-casa-salario-fijo-variable-en-medellin-746BA0FF31FDCC9B61373E686DCF3405", "Ver Vacante")</f>
        <v/>
      </c>
      <c r="H34" s="6" t="inlineStr">
        <is>
          <t>$ 2.000.000,00 (Mensual)</t>
        </is>
      </c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08e5d9a6ae76478b</t>
        </is>
      </c>
      <c r="B35" s="2" t="inlineStr">
        <is>
          <t>2026-09-24 15:23</t>
        </is>
      </c>
      <c r="C35" s="3" t="inlineStr">
        <is>
          <t>Analista de soporte tecnico</t>
        </is>
      </c>
      <c r="D35" s="3" t="inlineStr">
        <is>
          <t>HITSS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HYPERLINK("https://www.elempleo.com/co/ofertas-trabajo/analista-de-soporte-tecnico-1886747091",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7fc45dde38ffcf1a</t>
        </is>
      </c>
      <c r="B36" s="2" t="inlineStr">
        <is>
          <t>2026-09-24 15:23</t>
        </is>
      </c>
      <c r="C36" s="3" t="inlineStr">
        <is>
          <t>Analista mesa de ayuda help desk bogotá</t>
        </is>
      </c>
      <c r="D36" s="3" t="inlineStr">
        <is>
          <t>Pro TALENTI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HYPERLINK("https://www.elempleo.com/co/ofertas-trabajo/analista-mesa-de-ayuda-help-desk-bogota-1886758291",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d569dc4150ddb8fe</t>
        </is>
      </c>
      <c r="B37" s="2" t="inlineStr">
        <is>
          <t>2026-09-24 15:23</t>
        </is>
      </c>
      <c r="C37" s="3" t="inlineStr">
        <is>
          <t>Analista de datos (power bi/etl/excel/sql) - remoto</t>
        </is>
      </c>
      <c r="D37" s="3" t="inlineStr">
        <is>
          <t>Cinte Colombia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HYPERLINK("https://www.elempleo.com/co/ofertas-trabajo/analista-de-datos-power-bi-etl-excel-sql-remoto-1886758109", "Ver Vacante")</f>
        <v/>
      </c>
      <c r="H37" s="6" t="inlineStr"/>
      <c r="I37" s="3" t="inlineStr">
        <is>
          <t>[Afinidad: 73/100 - Alta Afinidad] Alta coincidencia técnica en Programación Básica, Scripts, SQL y Automatización.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b87bb07478fb925b</t>
        </is>
      </c>
      <c r="B38" s="2" t="inlineStr">
        <is>
          <t>2026-09-24 15:23</t>
        </is>
      </c>
      <c r="C38" s="3" t="inlineStr">
        <is>
          <t>Dev python (pyspark/airflow/postgresql) - remoto</t>
        </is>
      </c>
      <c r="D38" s="3" t="inlineStr">
        <is>
          <t>Cinte Colombia SAS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HYPERLINK("https://www.elempleo.com/co/ofertas-trabajo/dev-python-pyspark-airflow-postgresql-remoto-1886749859", "Ver Vacante")</f>
        <v/>
      </c>
      <c r="H38" s="6" t="inlineStr"/>
      <c r="I38" s="3" t="inlineStr">
        <is>
          <t>[Afinidad: 73/100 - Alta Afinidad] Alta coincidencia técnica en Programación Básica, Scripts, SQL y Automatización.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0cc3fb16534cb121</t>
        </is>
      </c>
      <c r="B39" s="2" t="inlineStr">
        <is>
          <t>2026-09-24 15:23</t>
        </is>
      </c>
      <c r="C39" s="3" t="inlineStr">
        <is>
          <t>Desarrallador bases de datos senior sql server 2019</t>
        </is>
      </c>
      <c r="D39" s="3" t="inlineStr">
        <is>
          <t>TALYCAP GLOBAL SAS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HYPERLINK("https://www.elempleo.com/co/ofertas-trabajo/desarrallador-bases-de-datos-senior-sql-server-2019-1886760033", "Ver Vacante")</f>
        <v/>
      </c>
      <c r="H39" s="6" t="inlineStr"/>
      <c r="I39" s="3" t="inlineStr">
        <is>
          <t>[Afinidad: 73/100 - Alta Afinidad] Alta coincidencia técnica en Programación, Scripts, SQL y Automatización.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179398d83fdbd6f1</t>
        </is>
      </c>
      <c r="B40" s="2" t="inlineStr">
        <is>
          <t>2026-09-24 15:23</t>
        </is>
      </c>
      <c r="C40" s="3" t="inlineStr">
        <is>
          <t>Full stack engineer (c#, python, javascript &amp; azure) - intelligent automation &amp; product features</t>
        </is>
      </c>
      <c r="D40" s="3" t="inlineStr">
        <is>
          <t>BIZAGI LATAM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HYPERLINK("https://www.elempleo.com/co/ofertas-trabajo/full-stack-engineer-c-python-javascript-azure-intelligent-automation-product-features-1886746853", "Ver Vacante")</f>
        <v/>
      </c>
      <c r="H40" s="6" t="inlineStr"/>
      <c r="I40" s="3" t="inlineStr">
        <is>
          <t>[Afinidad: 73/100 - Alta Afinidad] Alta coincidencia técnica en Programación, Scripts, SQL y Automatización.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a795c558fc4af408</t>
        </is>
      </c>
      <c r="B41" s="2" t="inlineStr">
        <is>
          <t>2026-09-24 15:23</t>
        </is>
      </c>
      <c r="C41" s="3" t="inlineStr">
        <is>
          <t>Desarrollador fullstack .net + angular + sql server - bogotá presencial</t>
        </is>
      </c>
      <c r="D41" s="3" t="inlineStr">
        <is>
          <t>TALYCAP GLOBAL SAS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HYPERLINK("https://www.elempleo.com/co/ofertas-trabajo/desarrollador-fullstack-net-angular-sql-server-bogota-presencial-1886767913", "Ver Vacante")</f>
        <v/>
      </c>
      <c r="H41" s="6" t="inlineStr"/>
      <c r="I41" s="3" t="inlineStr">
        <is>
          <t>[Afinidad: 73/100 - Alta Afinidad] Alta coincidencia técnica en Programación, Scripts, SQL y Automatización.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a6b77694deed4eda</t>
        </is>
      </c>
      <c r="B42" s="2" t="inlineStr">
        <is>
          <t>2026-09-24 15:23</t>
        </is>
      </c>
      <c r="C42" s="3" t="inlineStr">
        <is>
          <t>Help Desk Technician Level 1</t>
        </is>
      </c>
      <c r="D42" s="3" t="inlineStr">
        <is>
          <t>SOLVO S.A.S</t>
        </is>
      </c>
      <c r="E42" s="4" t="n">
        <v>0.73</v>
      </c>
      <c r="F42" s="2" t="inlineStr">
        <is>
          <t>Remoto</t>
        </is>
      </c>
      <c r="G42" s="5">
        <f>HYPERLINK("https://co.computrabajo.com/ofertas-de-trabajo/oferta-de-trabajo-de-help-desk-technician-level-1-it-support-analyst-en-medellin-426546345875532361373E686DCF3405", "Ver Vacante")</f>
        <v/>
      </c>
      <c r="H42" s="6" t="inlineStr">
        <is>
          <t>Remoto</t>
        </is>
      </c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17bcb3c669035312</t>
        </is>
      </c>
      <c r="B43" s="2" t="inlineStr">
        <is>
          <t>2026-09-24 15:23</t>
        </is>
      </c>
      <c r="C43" s="3" t="inlineStr">
        <is>
          <t>Analista de soporte y mesa de ayuda ii</t>
        </is>
      </c>
      <c r="D43" s="3" t="inlineStr">
        <is>
          <t>TP COLOMBIA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HYPERLINK("https://www.elempleo.com/co/ofertas-trabajo/analista-de-soporte-y-mesa-de-ayuda-ii-1886760204",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f49243c0d93e8dc6</t>
        </is>
      </c>
      <c r="B44" s="2" t="inlineStr">
        <is>
          <t>2026-09-24 15:23</t>
        </is>
      </c>
      <c r="C44" s="3" t="inlineStr">
        <is>
          <t>Help desk analyst l1 bilingüe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HYPERLINK("https://www.elempleo.com/co/ofertas-trabajo/help-desk-analyst-l1-bilingue-ingles-conversational-entre-b2c1-1886760008",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def61dbcc70790b0</t>
        </is>
      </c>
      <c r="B45" s="2" t="inlineStr">
        <is>
          <t>2026-09-24 15:23</t>
        </is>
      </c>
      <c r="C45" s="3" t="inlineStr">
        <is>
          <t>Help desk analyst n1 bilingüe 24/7 (inglés conversacional) bogotá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HYPERLINK("https://www.elempleo.com/co/ofertas-trabajo/help-desk-analyst-n1-bilingue-24-7-ingles-conversacional-bogota-1886760175",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fa8514832b21e057</t>
        </is>
      </c>
      <c r="B46" s="2" t="inlineStr">
        <is>
          <t>2026-09-24 15:23</t>
        </is>
      </c>
      <c r="C46" s="3" t="inlineStr">
        <is>
          <t>Help desk</t>
        </is>
      </c>
      <c r="D46" s="3" t="inlineStr">
        <is>
          <t>SISA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HYPERLINK("https://www.elempleo.com/co/ofertas-trabajo/help-desk-1886691178",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7201f5ec58086561</t>
        </is>
      </c>
      <c r="B47" s="2" t="inlineStr">
        <is>
          <t>2026-09-24 15:23</t>
        </is>
      </c>
      <c r="C47" s="3" t="inlineStr">
        <is>
          <t>Help desk analyst n1 bilingüe (inglés conversacional) bogotá</t>
        </is>
      </c>
      <c r="D47" s="3" t="inlineStr">
        <is>
          <t>Confidencial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HYPERLINK("https://www.elempleo.com/co/ofertas-trabajo/help-desk-analyst-n1-bilingue-ingles-conversacional-bogota-1886752135",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bf8e766566882d80</t>
        </is>
      </c>
      <c r="B48" s="2" t="inlineStr">
        <is>
          <t>2026-09-24 15:23</t>
        </is>
      </c>
      <c r="C48" s="3" t="inlineStr">
        <is>
          <t>Técnico de soporte help desk</t>
        </is>
      </c>
      <c r="D48" s="3" t="inlineStr">
        <is>
          <t>Confidencial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HYPERLINK("https://www.elempleo.com/co/ofertas-trabajo/tecnico-de-soporte-help-desk-1886771881",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055987ec23570846</t>
        </is>
      </c>
      <c r="B49" s="2" t="inlineStr">
        <is>
          <t>2026-09-24 15:23</t>
        </is>
      </c>
      <c r="C49" s="3" t="inlineStr">
        <is>
          <t>Help desk analyst n1 bilingüe (inglés conversacional) 7x24 rotativo bogotá</t>
        </is>
      </c>
      <c r="D49" s="3" t="inlineStr">
        <is>
          <t>Confidencial</t>
        </is>
      </c>
      <c r="E49" s="4" t="n">
        <v>0.73</v>
      </c>
      <c r="F49" s="2" t="inlineStr">
        <is>
          <t>Remoto</t>
        </is>
      </c>
      <c r="G49" s="5">
        <f>HYPERLINK("https://www.elempleo.com/co/ofertas-trabajo/help-desk-analyst-n1-bilingue-ingles-conversacional-7x24-rotativo-bogota-1886751464",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d6ff47ee53ffcd90</t>
        </is>
      </c>
      <c r="B50" s="2" t="inlineStr">
        <is>
          <t>2026-09-24 15:23</t>
        </is>
      </c>
      <c r="C50" s="3" t="inlineStr">
        <is>
          <t>Desarrollador full stack de datos azure</t>
        </is>
      </c>
      <c r="D50" s="3" t="inlineStr">
        <is>
          <t>Confidencial</t>
        </is>
      </c>
      <c r="E50" s="4" t="n">
        <v>0.73</v>
      </c>
      <c r="F50" s="2" t="inlineStr">
        <is>
          <t>Remoto</t>
        </is>
      </c>
      <c r="G50" s="5">
        <f>HYPERLINK("https://www.elempleo.com/co/ofertas-trabajo/desarrollador-full-stack-de-datos-azure-python-1886758876",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77f36b55d06481fc</t>
        </is>
      </c>
      <c r="B51" s="2" t="inlineStr">
        <is>
          <t>2026-09-24 15:23</t>
        </is>
      </c>
      <c r="C51" s="3" t="inlineStr">
        <is>
          <t>Desarrollador backend</t>
        </is>
      </c>
      <c r="D51" s="3" t="inlineStr">
        <is>
          <t>SETI S.A.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HYPERLINK("https://www.elempleo.com/co/ofertas-trabajo/desarrollador-backend-java-python-1886753647",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076d17389f43db00</t>
        </is>
      </c>
      <c r="B52" s="2" t="inlineStr">
        <is>
          <t>2026-09-24 15:23</t>
        </is>
      </c>
      <c r="C52" s="3" t="inlineStr">
        <is>
          <t>Analista de mesa de ayuda - soporte incidentes</t>
        </is>
      </c>
      <c r="D52" s="3" t="inlineStr">
        <is>
          <t>Cinte Colombia SAS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HYPERLINK("https://www.elempleo.com/co/ofertas-trabajo/analista-de-mesa-de-ayuda-soporte-incidentes-1886762523",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d9a2083450e72e22</t>
        </is>
      </c>
      <c r="B53" s="2" t="inlineStr">
        <is>
          <t>2026-09-24 15:23</t>
        </is>
      </c>
      <c r="C53" s="3" t="inlineStr">
        <is>
          <t>Técnico de soporte ti - bogota</t>
        </is>
      </c>
      <c r="D53" s="3" t="inlineStr">
        <is>
          <t>Confidencial</t>
        </is>
      </c>
      <c r="E53" s="4" t="n">
        <v>0.73</v>
      </c>
      <c r="F53" s="2" t="inlineStr">
        <is>
          <t>Remoto</t>
        </is>
      </c>
      <c r="G53" s="5">
        <f>HYPERLINK("https://www.elempleo.com/co/ofertas-trabajo/tecnico-de-soporte-ti-bogota-1886768638", "Ver Vacante")</f>
        <v/>
      </c>
      <c r="H53" s="6" t="inlineStr"/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41db4cb1967404e7</t>
        </is>
      </c>
      <c r="B54" s="2" t="inlineStr">
        <is>
          <t>2026-09-24 15:23</t>
        </is>
      </c>
      <c r="C54" s="3" t="inlineStr">
        <is>
          <t>Técnico(a) de soporte ti</t>
        </is>
      </c>
      <c r="D54" s="3" t="inlineStr">
        <is>
          <t>SDT INGENIERIA</t>
        </is>
      </c>
      <c r="E54" s="4" t="n">
        <v>0.73</v>
      </c>
      <c r="F54" s="2" t="inlineStr">
        <is>
          <t>Remoto</t>
        </is>
      </c>
      <c r="G54" s="5">
        <f>HYPERLINK("https://www.elempleo.com/co/ofertas-trabajo/tecnicoa-de-soporte-ti-1886746427", "Ver Vacante")</f>
        <v/>
      </c>
      <c r="H54" s="6" t="inlineStr"/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cec4961ed9898403</t>
        </is>
      </c>
      <c r="B55" s="2" t="inlineStr">
        <is>
          <t>2026-09-24 15:23</t>
        </is>
      </c>
      <c r="C55" s="3" t="inlineStr">
        <is>
          <t>Analista de soporte ti</t>
        </is>
      </c>
      <c r="D55" s="3" t="inlineStr">
        <is>
          <t>Confidencial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HYPERLINK("https://www.elempleo.com/co/ofertas-trabajo/analista-de-soporte-ti-1886760221", "Ver Vacante")</f>
        <v/>
      </c>
      <c r="H55" s="6" t="inlineStr"/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8a1d6b57bc4eb8f6</t>
        </is>
      </c>
      <c r="B56" s="2" t="inlineStr">
        <is>
          <t>2026-09-24 15:23</t>
        </is>
      </c>
      <c r="C56" s="3" t="inlineStr">
        <is>
          <t>Helpdesk Technician</t>
        </is>
      </c>
      <c r="D56" s="3" t="inlineStr">
        <is>
          <t>Ultimate Jet Vacations</t>
        </is>
      </c>
      <c r="E56" s="4" t="n">
        <v>0.73</v>
      </c>
      <c r="F56" s="2" t="inlineStr">
        <is>
          <t>Remoto</t>
        </is>
      </c>
      <c r="G56" s="5">
        <f>HYPERLINK("https://co.linkedin.com/jobs/view/helpdesk-technician-at-ultimate-jet-vacations-4460749773", "Ver Vacante")</f>
        <v/>
      </c>
      <c r="H56" s="6" t="inlineStr"/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606652c43fad3a74</t>
        </is>
      </c>
      <c r="B57" s="2" t="inlineStr">
        <is>
          <t>2026-09-24 15:23</t>
        </is>
      </c>
      <c r="C57" s="3" t="inlineStr">
        <is>
          <t>Helpdesk Technician</t>
        </is>
      </c>
      <c r="D57" s="3" t="inlineStr">
        <is>
          <t>Ultimate Jet Vacations</t>
        </is>
      </c>
      <c r="E57" s="4" t="n">
        <v>0.73</v>
      </c>
      <c r="F57" s="2" t="inlineStr">
        <is>
          <t>Remoto</t>
        </is>
      </c>
      <c r="G57" s="5">
        <f>HYPERLINK("https://co.linkedin.com/jobs/view/helpdesk-technician-at-ultimate-jet-vacations-4460749769", "Ver Vacante")</f>
        <v/>
      </c>
      <c r="H57" s="6" t="inlineStr"/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16a7c662c99e368e</t>
        </is>
      </c>
      <c r="B58" s="2" t="inlineStr">
        <is>
          <t>2026-09-24 15:23</t>
        </is>
      </c>
      <c r="C58" s="3" t="inlineStr">
        <is>
          <t>Ingeniero Senior de Soporte IT</t>
        </is>
      </c>
      <c r="D58" s="3" t="inlineStr">
        <is>
          <t>DOXA Talent</t>
        </is>
      </c>
      <c r="E58" s="4" t="n">
        <v>0.73</v>
      </c>
      <c r="F58" s="2" t="inlineStr">
        <is>
          <t>Remoto</t>
        </is>
      </c>
      <c r="G58" s="5">
        <f>HYPERLINK("https://co.linkedin.com/jobs/view/ingeniero-senior-de-soporte-it-at-doxa-talent-4465092613", "Ver Vacante")</f>
        <v/>
      </c>
      <c r="H58" s="6" t="inlineStr"/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14b3ce1838b7650b</t>
        </is>
      </c>
      <c r="B59" s="2" t="inlineStr">
        <is>
          <t>2026-09-24 15:23</t>
        </is>
      </c>
      <c r="C59" s="3" t="inlineStr">
        <is>
          <t>Information Technology Help Desk</t>
        </is>
      </c>
      <c r="D59" s="3" t="inlineStr">
        <is>
          <t>Pyramid Consulting, Inc</t>
        </is>
      </c>
      <c r="E59" s="4" t="n">
        <v>0.73</v>
      </c>
      <c r="F59" s="2" t="inlineStr">
        <is>
          <t>Remoto</t>
        </is>
      </c>
      <c r="G59" s="5">
        <f>HYPERLINK("https://co.linkedin.com/jobs/view/information-technology-help-desk-at-pyramid-consulting-inc-4469196776", "Ver Vacante")</f>
        <v/>
      </c>
      <c r="H59" s="6" t="inlineStr"/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db74b26e8ede7d27</t>
        </is>
      </c>
      <c r="B60" s="2" t="inlineStr">
        <is>
          <t>2026-09-24 15:23</t>
        </is>
      </c>
      <c r="C60" s="3" t="inlineStr">
        <is>
          <t>IT Help Desk Specialist</t>
        </is>
      </c>
      <c r="D60" s="3" t="inlineStr">
        <is>
          <t>BraveUS BPO</t>
        </is>
      </c>
      <c r="E60" s="4" t="n">
        <v>0.73</v>
      </c>
      <c r="F60" s="2" t="inlineStr">
        <is>
          <t>Remoto</t>
        </is>
      </c>
      <c r="G60" s="5">
        <f>HYPERLINK("https://co.linkedin.com/jobs/view/it-help-desk-specialist-at-braveus-bpo-4469254526", "Ver Vacante")</f>
        <v/>
      </c>
      <c r="H60" s="6" t="inlineStr"/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ee4217b2fa3d599f</t>
        </is>
      </c>
      <c r="B61" s="2" t="inlineStr">
        <is>
          <t>2026-09-24 15:23</t>
        </is>
      </c>
      <c r="C61" s="3" t="inlineStr">
        <is>
          <t>Help Desk Technician Level 1</t>
        </is>
      </c>
      <c r="D61" s="3" t="inlineStr">
        <is>
          <t>Solvo Global</t>
        </is>
      </c>
      <c r="E61" s="4" t="n">
        <v>0.73</v>
      </c>
      <c r="F61" s="2" t="inlineStr">
        <is>
          <t>Remoto</t>
        </is>
      </c>
      <c r="G61" s="5">
        <f>HYPERLINK("https://co.linkedin.com/jobs/view/help-desk-technician-level-1-at-solvo-global-4461170901",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26463d13fe219ac2</t>
        </is>
      </c>
      <c r="B62" s="2" t="inlineStr">
        <is>
          <t>2026-09-24 15:23</t>
        </is>
      </c>
      <c r="C62" s="3" t="inlineStr">
        <is>
          <t>Consultor/a SAP HelpDesk</t>
        </is>
      </c>
      <c r="D62" s="3" t="inlineStr">
        <is>
          <t>Inetum</t>
        </is>
      </c>
      <c r="E62" s="4" t="n">
        <v>0.73</v>
      </c>
      <c r="F62" s="2" t="inlineStr">
        <is>
          <t>Remoto</t>
        </is>
      </c>
      <c r="G62" s="5">
        <f>HYPERLINK("https://co.linkedin.com/jobs/view/consultor-a-sap-helpdesk-at-inetum-4443947973", "Ver Vacante")</f>
        <v/>
      </c>
      <c r="H62" s="6" t="inlineStr"/>
      <c r="I62" s="3" t="inlineStr">
        <is>
          <t>[Afinidad: 73/100 - Alta Afinidad]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67d48e405d92af2d</t>
        </is>
      </c>
      <c r="B63" s="2" t="inlineStr">
        <is>
          <t>2026-09-24 15:37</t>
        </is>
      </c>
      <c r="C63" s="3" t="inlineStr">
        <is>
          <t>Coordinado de mesa de ayuda con itil practice manager</t>
        </is>
      </c>
      <c r="D63" s="3" t="inlineStr">
        <is>
          <t>Sinergy &amp; Lowells</t>
        </is>
      </c>
      <c r="E63" s="4" t="n">
        <v>0.73</v>
      </c>
      <c r="F63" s="2" t="inlineStr">
        <is>
          <t>Remoto</t>
        </is>
      </c>
      <c r="G63" s="5">
        <f>HYPERLINK("https://www.elempleo.com/co/ofertas-trabajo/coordinado-de-mesa-de-ayuda-con-itil-practice-manager-1886758471", "Ver Vacante")</f>
        <v/>
      </c>
      <c r="H63" s="6" t="inlineStr"/>
      <c r="I63" s="3" t="inlineStr">
        <is>
          <t>[Afinidad: 73/100 - Alta Afinidad]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afee514d25ff4533</t>
        </is>
      </c>
      <c r="B64" s="2" t="inlineStr">
        <is>
          <t>2026-09-24 15:37</t>
        </is>
      </c>
      <c r="C64" s="3" t="inlineStr">
        <is>
          <t>Vacante de inclusión laboral - auxiliar de sistemas / mesa de ayuda</t>
        </is>
      </c>
      <c r="D64" s="3" t="inlineStr">
        <is>
          <t>Confidencial</t>
        </is>
      </c>
      <c r="E64" s="4" t="n">
        <v>0.73</v>
      </c>
      <c r="F64" s="2" t="inlineStr">
        <is>
          <t>Remoto</t>
        </is>
      </c>
      <c r="G64" s="5">
        <f>HYPERLINK("https://www.elempleo.com/co/ofertas-trabajo/vacante-de-inclusion-laboral-auxiliar-de-sistemas-mesa-de-ayuda-1886764066", "Ver Vacante")</f>
        <v/>
      </c>
      <c r="H64" s="6" t="inlineStr"/>
      <c r="I64" s="3" t="inlineStr">
        <is>
          <t>[Afinidad: 73/100 - Alta Afinidad]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bf46f38ff92f8468</t>
        </is>
      </c>
      <c r="B65" s="2" t="inlineStr">
        <is>
          <t>2026-09-24 15:37</t>
        </is>
      </c>
      <c r="C65" s="3" t="inlineStr">
        <is>
          <t>Operador de soporte técnico nivel 1</t>
        </is>
      </c>
      <c r="D65" s="3" t="inlineStr">
        <is>
          <t>Cinte Colombia SAS</t>
        </is>
      </c>
      <c r="E65" s="4" t="n">
        <v>0.73</v>
      </c>
      <c r="F65" s="2" t="inlineStr">
        <is>
          <t>Remoto</t>
        </is>
      </c>
      <c r="G65" s="5">
        <f>HYPERLINK("https://www.elempleo.com/co/ofertas-trabajo/operador-de-soporte-tecnico-nivel-1-1886759478", "Ver Vacante")</f>
        <v/>
      </c>
      <c r="H65" s="6" t="inlineStr"/>
      <c r="I65" s="3" t="inlineStr">
        <is>
          <t>[Afinidad: 73/100 - Alta Afinidad] Alta coincidencia técnica en Soporte Técnico de Sistemas, Hardware y Redes.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69c4d327f77f46d2</t>
        </is>
      </c>
      <c r="B66" s="2" t="inlineStr">
        <is>
          <t>2026-09-24 15:37</t>
        </is>
      </c>
      <c r="C66" s="3" t="inlineStr">
        <is>
          <t>Auxiliar de sistemas e infraestructura para trabajar en cota</t>
        </is>
      </c>
      <c r="D66" s="3" t="inlineStr">
        <is>
          <t>ATIEMPO S.A.S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HYPERLINK("https://www.elempleo.com/co/ofertas-trabajo/auxiliar-de-sistemas-e-infraestructura-para-trabajar-en-cota-1886766898", "Ver Vacante")</f>
        <v/>
      </c>
      <c r="H66" s="6" t="inlineStr"/>
      <c r="I66" s="3" t="inlineStr">
        <is>
          <t>[Afinidad: 73/100 - Alta Afinidad] Alta coincidencia técnica en Soporte Técnico de Sistemas, Hardware y Redes.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8ea6294af7e133d9</t>
        </is>
      </c>
      <c r="B67" s="2" t="inlineStr">
        <is>
          <t>2026-09-24 15:37</t>
        </is>
      </c>
      <c r="C67" s="3" t="inlineStr">
        <is>
          <t>Técnico o tecnólogo en sistemas | auxiliar de sistemas e infraestructura - cota</t>
        </is>
      </c>
      <c r="D67" s="3" t="inlineStr">
        <is>
          <t>ATIEMPO S.A.S</t>
        </is>
      </c>
      <c r="E67" s="4" t="n">
        <v>0.73</v>
      </c>
      <c r="F67" s="2" t="inlineStr">
        <is>
          <t>Remoto</t>
        </is>
      </c>
      <c r="G67" s="5">
        <f>HYPERLINK("https://www.elempleo.com/co/ofertas-trabajo/tecnico-o-tecnologo-en-sistemas-auxiliar-de-sistemas-e-infraestructura-cota-1886766903", "Ver Vacante")</f>
        <v/>
      </c>
      <c r="H67" s="6" t="inlineStr"/>
      <c r="I67" s="3" t="inlineStr">
        <is>
          <t>[Afinidad: 73/100 - Alta Afinidad] Alta coincidencia técnica en Soporte Técnico de Sistemas, Hardware y Redes.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0c0fd09d671f3d44</t>
        </is>
      </c>
      <c r="B68" s="2" t="inlineStr">
        <is>
          <t>2026-09-24 15:37</t>
        </is>
      </c>
      <c r="C68" s="3" t="inlineStr">
        <is>
          <t>Agente mesa de ayuda con experiencia</t>
        </is>
      </c>
      <c r="D68" s="3" t="inlineStr">
        <is>
          <t>SONDA</t>
        </is>
      </c>
      <c r="E68" s="4" t="n">
        <v>0.73</v>
      </c>
      <c r="F68" s="2" t="inlineStr">
        <is>
          <t>Remoto</t>
        </is>
      </c>
      <c r="G68" s="5">
        <f>HYPERLINK("https://www.elempleo.com/co/ofertas-trabajo/agente-mesa-de-ayuda-con-experiencia-1886769727", "Ver Vacante")</f>
        <v/>
      </c>
      <c r="H68" s="6" t="inlineStr"/>
      <c r="I68" s="3" t="inlineStr">
        <is>
          <t>[Afinidad: 73/100 - Alta Afinidad] Alta coincidencia técnica en Soporte Técnico de Sistemas, Hardware y Redes.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7abab155924d34a2</t>
        </is>
      </c>
      <c r="B69" s="2" t="inlineStr">
        <is>
          <t>2026-09-24 15:37</t>
        </is>
      </c>
      <c r="C69" s="3" t="inlineStr">
        <is>
          <t>Agente mesa de ayuda</t>
        </is>
      </c>
      <c r="D69" s="3" t="inlineStr">
        <is>
          <t>Confidencial</t>
        </is>
      </c>
      <c r="E69" s="4" t="n">
        <v>0.73</v>
      </c>
      <c r="F69" s="2" t="inlineStr">
        <is>
          <t>Remoto</t>
        </is>
      </c>
      <c r="G69" s="5">
        <f>HYPERLINK("https://www.elempleo.com/co/ofertas-trabajo/agente-mesa-de-ayuda-1886771838", "Ver Vacante")</f>
        <v/>
      </c>
      <c r="H69" s="6" t="inlineStr"/>
      <c r="I69" s="3" t="inlineStr">
        <is>
          <t>[Afinidad: 73/100 - Alta Afinidad] Alta coincidencia técnica en Soporte Técnico de Sistemas, Hardware y Redes.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1c748c123f2775f8</t>
        </is>
      </c>
      <c r="B70" s="2" t="inlineStr">
        <is>
          <t>2026-09-24 15:37</t>
        </is>
      </c>
      <c r="C70" s="3" t="inlineStr">
        <is>
          <t>Agente de mesa de ayuda</t>
        </is>
      </c>
      <c r="D70" s="3" t="inlineStr">
        <is>
          <t>SELCOMP INGENIERÍA SAS</t>
        </is>
      </c>
      <c r="E70" s="4" t="n">
        <v>0.73</v>
      </c>
      <c r="F70" s="2" t="inlineStr">
        <is>
          <t>Remoto</t>
        </is>
      </c>
      <c r="G70" s="5">
        <f>HYPERLINK("https://www.elempleo.com/co/ofertas-trabajo/agente-de-mesa-de-ayuda-1886764458", "Ver Vacante")</f>
        <v/>
      </c>
      <c r="H70" s="6" t="inlineStr"/>
      <c r="I70" s="3" t="inlineStr">
        <is>
          <t>[Afinidad: 73/100 - Alta Afinidad] Alta coincidencia técnica en Soporte Técnico de Sistemas, Hardware y Redes.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c2932440f3be50ff</t>
        </is>
      </c>
      <c r="B71" s="2" t="inlineStr">
        <is>
          <t>2026-09-24 15:37</t>
        </is>
      </c>
      <c r="C71" s="3" t="inlineStr">
        <is>
          <t>Analista mesa de ayuda para tunja</t>
        </is>
      </c>
      <c r="D71" s="3" t="inlineStr">
        <is>
          <t>Gestión de Seguridad Electrónica</t>
        </is>
      </c>
      <c r="E71" s="4" t="n">
        <v>0.73</v>
      </c>
      <c r="F71" s="2" t="inlineStr">
        <is>
          <t>Remoto</t>
        </is>
      </c>
      <c r="G71" s="5">
        <f>HYPERLINK("https://www.elempleo.com/co/ofertas-trabajo/analista-mesa-de-ayuda-para-tunja-1886699884", "Ver Vacante")</f>
        <v/>
      </c>
      <c r="H71" s="6" t="inlineStr"/>
      <c r="I71" s="3" t="inlineStr">
        <is>
          <t>[Afinidad: 73/100 - Alta Afinidad] Alta coincidencia técnica en Soporte Técnico de Sistemas, Hardware y Redes.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0b7f91df03d9708e</t>
        </is>
      </c>
      <c r="B72" s="2" t="inlineStr">
        <is>
          <t>2026-09-24 15:37</t>
        </is>
      </c>
      <c r="C72" s="3" t="inlineStr">
        <is>
          <t>Analista mesa de ayuda</t>
        </is>
      </c>
      <c r="D72" s="3" t="inlineStr">
        <is>
          <t>Confidencial</t>
        </is>
      </c>
      <c r="E72" s="4" t="n">
        <v>0.73</v>
      </c>
      <c r="F72" s="2" t="inlineStr">
        <is>
          <t>Remoto</t>
        </is>
      </c>
      <c r="G72" s="5">
        <f>HYPERLINK("https://www.elempleo.com/co/ofertas-trabajo/analista-mesa-de-ayuda-1886754619", "Ver Vacante")</f>
        <v/>
      </c>
      <c r="H72" s="6" t="inlineStr"/>
      <c r="I72" s="3" t="inlineStr">
        <is>
          <t>[Afinidad: 73/100 - Alta Afinidad] Alta coincidencia técnica en Soporte Técnico de Sistemas, Hardware y Redes.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6245a0a87c307de3</t>
        </is>
      </c>
      <c r="B73" s="2" t="inlineStr">
        <is>
          <t>2026-09-24 15:37</t>
        </is>
      </c>
      <c r="C73" s="3" t="inlineStr">
        <is>
          <t>Supervisor mesa de ayuda - bogotá- temporal</t>
        </is>
      </c>
      <c r="D73" s="3" t="inlineStr">
        <is>
          <t>TIVIT COLOMBIA SAS</t>
        </is>
      </c>
      <c r="E73" s="4" t="n">
        <v>0.73</v>
      </c>
      <c r="F73" s="2" t="inlineStr">
        <is>
          <t>Remoto</t>
        </is>
      </c>
      <c r="G73" s="5">
        <f>HYPERLINK("https://www.elempleo.com/co/ofertas-trabajo/supervisor-mesa-de-ayuda-bogota-temporal-1886756748", "Ver Vacante")</f>
        <v/>
      </c>
      <c r="H73" s="6" t="inlineStr"/>
      <c r="I73" s="3" t="inlineStr">
        <is>
          <t>[Afinidad: 73/100 - Alta Afinidad] Alta coincidencia técnica en Soporte Técnico de Sistemas, Hardware y Redes.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03f363ab408877a2</t>
        </is>
      </c>
      <c r="B74" s="2" t="inlineStr">
        <is>
          <t>2026-09-24 15:37</t>
        </is>
      </c>
      <c r="C74" s="3" t="inlineStr">
        <is>
          <t>Coordinador mesa de ayuda</t>
        </is>
      </c>
      <c r="D74" s="3" t="inlineStr">
        <is>
          <t>Confidencial</t>
        </is>
      </c>
      <c r="E74" s="4" t="n">
        <v>0.73</v>
      </c>
      <c r="F74" s="2" t="inlineStr">
        <is>
          <t>Remoto</t>
        </is>
      </c>
      <c r="G74" s="5">
        <f>HYPERLINK("https://www.elempleo.com/co/ofertas-trabajo/coordinador-mesa-de-ayuda-1886753194", "Ver Vacante")</f>
        <v/>
      </c>
      <c r="H74" s="6" t="inlineStr"/>
      <c r="I74" s="3" t="inlineStr">
        <is>
          <t>[Afinidad: 73/100 - Alta Afinidad] Alta coincidencia técnica en Soporte Técnico de Sistemas, Hardware y Redes.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42a7050c3f06b2ae</t>
        </is>
      </c>
      <c r="B75" s="2" t="inlineStr">
        <is>
          <t>2026-09-24 15:37</t>
        </is>
      </c>
      <c r="C75" s="3" t="inlineStr">
        <is>
          <t>Técnico de mesa de ayuda</t>
        </is>
      </c>
      <c r="D75" s="3" t="inlineStr">
        <is>
          <t>Colsof S.A.S</t>
        </is>
      </c>
      <c r="E75" s="4" t="n">
        <v>0.73</v>
      </c>
      <c r="F75" s="2" t="inlineStr">
        <is>
          <t>Remoto</t>
        </is>
      </c>
      <c r="G75" s="5">
        <f>HYPERLINK("https://www.elempleo.com/co/ofertas-trabajo/tecnico-de-mesa-de-ayuda-1886731992", "Ver Vacante")</f>
        <v/>
      </c>
      <c r="H75" s="6" t="inlineStr"/>
      <c r="I75" s="3" t="inlineStr">
        <is>
          <t>[Afinidad: 73/100 - Alta Afinidad] Alta coincidencia técnica en Soporte Técnico de Sistemas, Hardware y Redes.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e5d77b0fc7770ea2</t>
        </is>
      </c>
      <c r="B76" s="2" t="inlineStr">
        <is>
          <t>2026-09-24 15:37</t>
        </is>
      </c>
      <c r="C76" s="3" t="inlineStr">
        <is>
          <t>Agente de mesa de ayuda</t>
        </is>
      </c>
      <c r="D76" s="3" t="inlineStr">
        <is>
          <t>SONDA</t>
        </is>
      </c>
      <c r="E76" s="4" t="n">
        <v>0.73</v>
      </c>
      <c r="F76" s="2" t="inlineStr">
        <is>
          <t>Remoto</t>
        </is>
      </c>
      <c r="G76" s="5">
        <f>HYPERLINK("https://www.elempleo.com/co/ofertas-trabajo/agente-de-mesa-de-ayuda-1886748231", "Ver Vacante")</f>
        <v/>
      </c>
      <c r="H76" s="6" t="inlineStr"/>
      <c r="I76" s="3" t="inlineStr">
        <is>
          <t>[Afinidad: 73/100 - Alta Afinidad] Alta coincidencia técnica en Soporte Técnico de Sistemas, Hardware y Redes.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8bb787ccf4370a8e</t>
        </is>
      </c>
      <c r="B77" s="2" t="inlineStr">
        <is>
          <t>2026-09-24 15:37</t>
        </is>
      </c>
      <c r="C77" s="3" t="inlineStr">
        <is>
          <t>Mesa de ayuda / bogotá</t>
        </is>
      </c>
      <c r="D77" s="3" t="inlineStr">
        <is>
          <t>Colsof S.A.S</t>
        </is>
      </c>
      <c r="E77" s="4" t="n">
        <v>0.73</v>
      </c>
      <c r="F77" s="2" t="inlineStr">
        <is>
          <t>Remoto</t>
        </is>
      </c>
      <c r="G77" s="5">
        <f>HYPERLINK("https://www.elempleo.com/co/ofertas-trabajo/mesa-de-ayuda-bogota-1886752825", "Ver Vacante")</f>
        <v/>
      </c>
      <c r="H77" s="6" t="inlineStr"/>
      <c r="I77" s="3" t="inlineStr">
        <is>
          <t>[Afinidad: 73/100 - Alta Afinidad] Alta coincidencia técnica en Soporte Técnico de Sistemas, Hardware y Redes.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2c0788a7a3b3417d</t>
        </is>
      </c>
      <c r="B78" s="2" t="inlineStr">
        <is>
          <t>2026-09-24 15:37</t>
        </is>
      </c>
      <c r="C78" s="3" t="inlineStr">
        <is>
          <t>Analista mesa de ayuda nivel 1 / técnico o tecnólogo en sistemas / cota</t>
        </is>
      </c>
      <c r="D78" s="3" t="inlineStr">
        <is>
          <t>IMPRESISTEM S.A.</t>
        </is>
      </c>
      <c r="E78" s="4" t="n">
        <v>0.73</v>
      </c>
      <c r="F78" s="2" t="inlineStr">
        <is>
          <t>Remoto</t>
        </is>
      </c>
      <c r="G78" s="5">
        <f>HYPERLINK("https://www.elempleo.com/co/ofertas-trabajo/analista-mesa-de-ayuda-nivel-1-tecnico-o-tecnologo-en-sistemas-cota-1886757061", "Ver Vacante")</f>
        <v/>
      </c>
      <c r="H78" s="6" t="inlineStr"/>
      <c r="I78" s="3" t="inlineStr">
        <is>
          <t>[Afinidad: 73/100 - Alta Afinidad] Alta coincidencia técnica en Soporte Técnico de Sistemas, Hardware y Redes.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97a1b3f2527f8ce8</t>
        </is>
      </c>
      <c r="B79" s="2" t="inlineStr">
        <is>
          <t>2026-09-24 15:37</t>
        </is>
      </c>
      <c r="C79" s="3" t="inlineStr">
        <is>
          <t>Analista de mesa de ayuda l1 - medellín</t>
        </is>
      </c>
      <c r="D79" s="3" t="inlineStr">
        <is>
          <t>Confidencial</t>
        </is>
      </c>
      <c r="E79" s="4" t="n">
        <v>0.73</v>
      </c>
      <c r="F79" s="2" t="inlineStr">
        <is>
          <t>Remoto</t>
        </is>
      </c>
      <c r="G79" s="5">
        <f>HYPERLINK("https://www.elempleo.com/co/ofertas-trabajo/analista-de-mesa-de-ayuda-l1-medellin-1886747056", "Ver Vacante")</f>
        <v/>
      </c>
      <c r="H79" s="6" t="inlineStr"/>
      <c r="I79" s="3" t="inlineStr">
        <is>
          <t>[Afinidad: 73/100 - Alta Afinidad] Alta coincidencia técnica en Soporte Técnico de Sistemas, Hardware y Redes.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a0df8e7687e7665c</t>
        </is>
      </c>
      <c r="B80" s="2" t="inlineStr">
        <is>
          <t>2026-09-24 15:37</t>
        </is>
      </c>
      <c r="C80" s="3" t="inlineStr">
        <is>
          <t>Agente mesa de ayuda</t>
        </is>
      </c>
      <c r="D80" s="3" t="inlineStr">
        <is>
          <t>Confidencial</t>
        </is>
      </c>
      <c r="E80" s="4" t="n">
        <v>0.73</v>
      </c>
      <c r="F80" s="2" t="inlineStr">
        <is>
          <t>Remoto</t>
        </is>
      </c>
      <c r="G80" s="5">
        <f>HYPERLINK("https://www.elempleo.com/co/ofertas-trabajo/agente-mesa-de-ayuda-tecnologo-o-minimo-6-semestre-de-ingenieria-1886743820", "Ver Vacante")</f>
        <v/>
      </c>
      <c r="H80" s="6" t="inlineStr"/>
      <c r="I80" s="3" t="inlineStr">
        <is>
          <t>[Afinidad: 73/100 - Alta Afinidad] Alta coincidencia técnica en Soporte Técnico de Sistemas, Hardware y Redes.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12aafa5353e0252c</t>
        </is>
      </c>
      <c r="B81" s="2" t="inlineStr">
        <is>
          <t>2026-09-24 15:37</t>
        </is>
      </c>
      <c r="C81" s="3" t="inlineStr">
        <is>
          <t>Técnico de soporte nivel 1 con itil</t>
        </is>
      </c>
      <c r="D81" s="3" t="inlineStr">
        <is>
          <t>Confidencial</t>
        </is>
      </c>
      <c r="E81" s="4" t="n">
        <v>0.73</v>
      </c>
      <c r="F81" s="2" t="inlineStr">
        <is>
          <t>Remoto</t>
        </is>
      </c>
      <c r="G81" s="5">
        <f>HYPERLINK("https://www.elempleo.com/co/ofertas-trabajo/tecnico-de-soporte-nivel-1-con-itil-1886769153", "Ver Vacante")</f>
        <v/>
      </c>
      <c r="H81" s="6" t="inlineStr"/>
      <c r="I81" s="3" t="inlineStr">
        <is>
          <t>[Afinidad: 73/100 - Alta Afinidad] Alta coincidencia técnica en Soporte Técnico de Sistemas, Hardware y Redes.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33bef2c4222966bf</t>
        </is>
      </c>
      <c r="B82" s="2" t="inlineStr">
        <is>
          <t>2026-09-24 15:37</t>
        </is>
      </c>
      <c r="C82" s="3" t="inlineStr">
        <is>
          <t>Gestor técnico nivel 1</t>
        </is>
      </c>
      <c r="D82" s="3" t="inlineStr">
        <is>
          <t>Gestión de Seguridad Electrónica</t>
        </is>
      </c>
      <c r="E82" s="4" t="n">
        <v>0.73</v>
      </c>
      <c r="F82" s="2" t="inlineStr">
        <is>
          <t>Remoto</t>
        </is>
      </c>
      <c r="G82" s="5">
        <f>HYPERLINK("https://www.elempleo.com/co/ofertas-trabajo/gestor-tecnico-nivel-1-soporte-ti-tunja-1886700537", "Ver Vacante")</f>
        <v/>
      </c>
      <c r="H82" s="6" t="inlineStr"/>
      <c r="I82" s="3" t="inlineStr">
        <is>
          <t>[Afinidad: 73/100 - Alta Afinidad] Alta coincidencia técnica en Soporte Técnico de Sistemas, Hardware y Redes.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759c05a3a2a45bb7</t>
        </is>
      </c>
      <c r="B83" s="2" t="inlineStr">
        <is>
          <t>2026-09-24 15:37</t>
        </is>
      </c>
      <c r="C83" s="3" t="inlineStr">
        <is>
          <t>Técnico de soporte de redes y datacenter - bogotá</t>
        </is>
      </c>
      <c r="D83" s="3" t="inlineStr">
        <is>
          <t>TALYCAP GLOBAL SAS</t>
        </is>
      </c>
      <c r="E83" s="4" t="n">
        <v>0.73</v>
      </c>
      <c r="F83" s="2" t="inlineStr">
        <is>
          <t>Remoto</t>
        </is>
      </c>
      <c r="G83" s="5">
        <f>HYPERLINK("https://www.elempleo.com/co/ofertas-trabajo/tecnico-de-soporte-de-redes-y-datacenter-bogota-1886765274", "Ver Vacante")</f>
        <v/>
      </c>
      <c r="H83" s="6" t="inlineStr"/>
      <c r="I83" s="3" t="inlineStr">
        <is>
          <t>[Afinidad: 73/100 - Alta Afinidad] Alta coincidencia técnica en Soporte Técnico de Sistemas, Hardware y Redes.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5d9bd5e6584b63b9</t>
        </is>
      </c>
      <c r="B84" s="2" t="inlineStr">
        <is>
          <t>2026-09-24 15:37</t>
        </is>
      </c>
      <c r="C84" s="3" t="inlineStr">
        <is>
          <t>Technical Support Help Desk</t>
        </is>
      </c>
      <c r="D84" s="3" t="inlineStr">
        <is>
          <t>Sutherland</t>
        </is>
      </c>
      <c r="E84" s="4" t="n">
        <v>0.73</v>
      </c>
      <c r="F84" s="2" t="inlineStr">
        <is>
          <t>Remoto</t>
        </is>
      </c>
      <c r="G84" s="5">
        <f>HYPERLINK("https://co.linkedin.com/jobs/view/technical-support-help-desk-at-sutherland-4466891252", "Ver Vacante")</f>
        <v/>
      </c>
      <c r="H84" s="6" t="inlineStr"/>
      <c r="I84" s="3" t="inlineStr">
        <is>
          <t>[Afinidad: 73/100 - Alta Afinidad] Alta coincidencia técnica en Soporte Técnico de Sistemas, Hardware y Redes.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7652a72b60c5253a</t>
        </is>
      </c>
      <c r="B85" s="2" t="inlineStr">
        <is>
          <t>2026-09-24 15:37</t>
        </is>
      </c>
      <c r="C85" s="3" t="inlineStr">
        <is>
          <t>Helpdesk &amp; Customer Suceess Operation Agent</t>
        </is>
      </c>
      <c r="D85" s="3" t="inlineStr">
        <is>
          <t>Regnology</t>
        </is>
      </c>
      <c r="E85" s="4" t="n">
        <v>0.73</v>
      </c>
      <c r="F85" s="2" t="inlineStr">
        <is>
          <t>Remoto</t>
        </is>
      </c>
      <c r="G85" s="5">
        <f>HYPERLINK("https://co.linkedin.com/jobs/view/helpdesk-customer-suceess-operation-agent-at-regnology-4463373207", "Ver Vacante")</f>
        <v/>
      </c>
      <c r="H85" s="6" t="inlineStr"/>
      <c r="I85" s="3" t="inlineStr">
        <is>
          <t>[Afinidad: 73/100 - Alta Afinidad] Alta coincidencia técnica en Soporte Técnico de Sistemas, Hardware y Redes.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9d88982013279bd8</t>
        </is>
      </c>
      <c r="B86" s="2" t="inlineStr">
        <is>
          <t>2026-09-24 15:23</t>
        </is>
      </c>
      <c r="C86" s="3" t="inlineStr">
        <is>
          <t>Ingeniero/a de agentes de IA y automatización Multiagente – Senior</t>
        </is>
      </c>
      <c r="D86" s="3" t="inlineStr">
        <is>
          <t>OC People and services</t>
        </is>
      </c>
      <c r="E86" s="7" t="n">
        <v>0.68</v>
      </c>
      <c r="F86" s="2" t="inlineStr">
        <is>
          <t>Remoto</t>
        </is>
      </c>
      <c r="G86" s="5">
        <f>HYPERLINK("https://co.computrabajo.com/ofertas-de-trabajo/oferta-de-trabajo-de-ingenieroa-de-agentes-de-ia-y-automatizacion-multiagente-senior-en-bogota-dc-D1A0C70BCC17904061373E686DCF3405", "Ver Vacante")</f>
        <v/>
      </c>
      <c r="H86" s="6" t="inlineStr">
        <is>
          <t>Remoto</t>
        </is>
      </c>
      <c r="I86" s="3" t="inlineStr">
        <is>
          <t>[Afinidad: 68/100 - Afinidad Moderada] Alta coincidencia técnica en Programación, Scripts, SQL y Automatización.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3fa5f6b47656bee5</t>
        </is>
      </c>
      <c r="B87" s="2" t="inlineStr">
        <is>
          <t>2026-09-24 15:23</t>
        </is>
      </c>
      <c r="C87" s="3" t="inlineStr">
        <is>
          <t>Analista de Automatización</t>
        </is>
      </c>
      <c r="D87" s="3" t="inlineStr">
        <is>
          <t>CARVAJAL TECNOLOGIA Y SERVICIOS S.A.S</t>
        </is>
      </c>
      <c r="E87" s="7" t="n">
        <v>0.68</v>
      </c>
      <c r="F87" s="2" t="inlineStr">
        <is>
          <t>Remoto</t>
        </is>
      </c>
      <c r="G87" s="5">
        <f>HYPERLINK("https://co.computrabajo.com/ofertas-de-trabajo/oferta-de-trabajo-de-analista-de-automatizacion-marketing-en-bogota-dc-8E8A462321A7AD2261373E686DCF3405", "Ver Vacante")</f>
        <v/>
      </c>
      <c r="H87" s="6" t="inlineStr">
        <is>
          <t>$ 3.600.000,00 (Mensual)</t>
        </is>
      </c>
      <c r="I87" s="3" t="inlineStr">
        <is>
          <t>[Afinidad: 68/100 - Afinidad Moderada] Alta coincidencia técnica en Programación Básica, Scripts, SQL y Automatización.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7df56f2b5c6b6dcf</t>
        </is>
      </c>
      <c r="B88" s="2" t="inlineStr">
        <is>
          <t>2026-09-24 15:23</t>
        </is>
      </c>
      <c r="C88" s="3" t="inlineStr">
        <is>
          <t>Analista de Datos y Automatización</t>
        </is>
      </c>
      <c r="D88" s="3" t="inlineStr">
        <is>
          <t>Tiempos SAS</t>
        </is>
      </c>
      <c r="E88" s="7" t="n">
        <v>0.68</v>
      </c>
      <c r="F88" s="2" t="inlineStr">
        <is>
          <t>Remoto</t>
        </is>
      </c>
      <c r="G88" s="5">
        <f>HYPERLINK("https://co.computrabajo.com/ofertas-de-trabajo/oferta-de-trabajo-de-analista-de-datos-y-automatizacion-teletrabajo-en-bogota-dc-E3868169DA8AE7FC61373E686DCF3405", "Ver Vacante")</f>
        <v/>
      </c>
      <c r="H88" s="6" t="inlineStr">
        <is>
          <t>$ 4.570.618,00 (Mensual)</t>
        </is>
      </c>
      <c r="I88" s="3" t="inlineStr">
        <is>
          <t>[Afinidad: 68/100 - Afinidad Moderada] Alta coincidencia técnica en Programación Básica, Scripts, SQL y Automatización.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e03faa9fc91e4b71</t>
        </is>
      </c>
      <c r="B89" s="2" t="inlineStr">
        <is>
          <t>2026-09-24 15:23</t>
        </is>
      </c>
      <c r="C89" s="3" t="inlineStr">
        <is>
          <t>Ingeniero Senior de Redes 54223</t>
        </is>
      </c>
      <c r="D89" s="3" t="inlineStr">
        <is>
          <t>PeakU</t>
        </is>
      </c>
      <c r="E89" s="7" t="n">
        <v>0.68</v>
      </c>
      <c r="F89" s="2" t="inlineStr">
        <is>
          <t>Remoto</t>
        </is>
      </c>
      <c r="G89" s="5">
        <f>HYPERLINK("https://co.computrabajo.com/ofertas-de-trabajo/oferta-de-trabajo-de-ingeniero-senior-de-redes-54223-remoto-en-medellin-823C3FC83EA55A7D61373E686DCF3405", "Ver Vacante")</f>
        <v/>
      </c>
      <c r="H89" s="6" t="inlineStr">
        <is>
          <t>Remoto</t>
        </is>
      </c>
      <c r="I89" s="3" t="inlineStr">
        <is>
          <t>[Afinidad: 68/100 - Afinidad Moderada] Alta coincidencia técnica en Soporte Técnico de Sistemas, Hardware y Redes.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d3844d860d4f45c1</t>
        </is>
      </c>
      <c r="B90" s="2" t="inlineStr">
        <is>
          <t>2026-09-24 15:23</t>
        </is>
      </c>
      <c r="C90" s="3" t="inlineStr">
        <is>
          <t>Especialista en redes sd-wan / networking</t>
        </is>
      </c>
      <c r="D90" s="3" t="inlineStr">
        <is>
          <t>ATCG DE COLOMBIA S.A.S</t>
        </is>
      </c>
      <c r="E90" s="7" t="n">
        <v>0.68</v>
      </c>
      <c r="F90" s="2" t="inlineStr">
        <is>
          <t>Remoto</t>
        </is>
      </c>
      <c r="G90" s="5">
        <f>HYPERLINK("https://www.elempleo.com/co/ofertas-trabajo/especialista-en-redes-sdwan-networking-1886771188", "Ver Vacante")</f>
        <v/>
      </c>
      <c r="H90" s="6" t="inlineStr"/>
      <c r="I90" s="3" t="inlineStr">
        <is>
          <t>[Afinidad: 68/100 - Afinidad Moderada] Alta coincidencia técnica en Soporte Técnico de Sistemas, Hardware y Redes.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910a620a68b48ba5</t>
        </is>
      </c>
      <c r="B91" s="2" t="inlineStr">
        <is>
          <t>2026-09-24 15:23</t>
        </is>
      </c>
      <c r="C91" s="3" t="inlineStr">
        <is>
          <t>Ingeniero de redes cisco</t>
        </is>
      </c>
      <c r="D91" s="3" t="inlineStr">
        <is>
          <t>ATCG DE COLOMBIA S.A.S</t>
        </is>
      </c>
      <c r="E91" s="7" t="n">
        <v>0.68</v>
      </c>
      <c r="F91" s="2" t="inlineStr">
        <is>
          <t>Remoto</t>
        </is>
      </c>
      <c r="G91" s="5">
        <f>HYPERLINK("https://www.elempleo.com/co/ofertas-trabajo/ingeniero-de-redes-cisco-1886760088", "Ver Vacante")</f>
        <v/>
      </c>
      <c r="H91" s="6" t="inlineStr"/>
      <c r="I91" s="3" t="inlineStr">
        <is>
          <t>[Afinidad: 68/100 - Afinidad Moderada] Alta coincidencia técnica en Soporte Técnico de Sistemas, Hardware y Redes.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ae736277661dc78b</t>
        </is>
      </c>
      <c r="B92" s="2" t="inlineStr">
        <is>
          <t>2026-09-24 15:23</t>
        </is>
      </c>
      <c r="C92" s="3" t="inlineStr">
        <is>
          <t>Analista de redes cisco</t>
        </is>
      </c>
      <c r="D92" s="3" t="inlineStr">
        <is>
          <t>ATCG DE COLOMBIA S.A.S</t>
        </is>
      </c>
      <c r="E92" s="7" t="n">
        <v>0.68</v>
      </c>
      <c r="F92" s="2" t="inlineStr">
        <is>
          <t>Remoto</t>
        </is>
      </c>
      <c r="G92" s="5">
        <f>HYPERLINK("https://www.elempleo.com/co/ofertas-trabajo/analista-de-redes-cisco-1886760389", "Ver Vacante")</f>
        <v/>
      </c>
      <c r="H92" s="6" t="inlineStr"/>
      <c r="I92" s="3" t="inlineStr">
        <is>
          <t>[Afinidad: 68/100 - Afinidad Moderada] Alta coincidencia técnica en Soporte Técnico de Sistemas, Hardware y Redes.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e29676fac3409ad6</t>
        </is>
      </c>
      <c r="B93" s="2" t="inlineStr">
        <is>
          <t>2026-09-24 15:23</t>
        </is>
      </c>
      <c r="C93" s="3" t="inlineStr">
        <is>
          <t>Analista de redes y telecomunicaciones - nivel 1</t>
        </is>
      </c>
      <c r="D93" s="3" t="inlineStr">
        <is>
          <t>MANPOWER</t>
        </is>
      </c>
      <c r="E93" s="7" t="n">
        <v>0.68</v>
      </c>
      <c r="F93" s="2" t="inlineStr">
        <is>
          <t>Remoto</t>
        </is>
      </c>
      <c r="G93" s="5">
        <f>HYPERLINK("https://www.elempleo.com/co/ofertas-trabajo/analista-de-redes-y-telecomunicaciones-nivel-1-1886760565", "Ver Vacante")</f>
        <v/>
      </c>
      <c r="H93" s="6" t="inlineStr"/>
      <c r="I93" s="3" t="inlineStr">
        <is>
          <t>[Afinidad: 68/100 - Afinidad Moderada] Alta coincidencia técnica en Soporte Técnico de Sistemas, Hardware y Redes.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216a52b7ac10333a</t>
        </is>
      </c>
      <c r="B94" s="2" t="inlineStr">
        <is>
          <t>2026-09-24 15:23</t>
        </is>
      </c>
      <c r="C94" s="3" t="inlineStr">
        <is>
          <t>Tecnico de sistemas mesa de ayuda- bogota norte calle 185 presencial</t>
        </is>
      </c>
      <c r="D94" s="3" t="inlineStr">
        <is>
          <t>Confidencial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HYPERLINK("https://www.elempleo.com/co/ofertas-trabajo/tecnico-de-sistemas-mesa-de-ayuda-bogota-norte-calle-185-presencial-1886759808", "Ver Vacante")</f>
        <v/>
      </c>
      <c r="H94" s="6" t="inlineStr"/>
      <c r="I94" s="3" t="inlineStr">
        <is>
          <t>[Afinidad: 58/100 - Afinidad Moderada] Afinidad moderada en áreas técnicas del cargo (Técnico en Sistemas / Soporte TI Remoto).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c20db52fe65351ad</t>
        </is>
      </c>
      <c r="B95" s="2" t="inlineStr">
        <is>
          <t>2026-09-24 15:23</t>
        </is>
      </c>
      <c r="C95" s="3" t="inlineStr">
        <is>
          <t>Analista de soporte it. presencial, bogotá</t>
        </is>
      </c>
      <c r="D95" s="3" t="inlineStr">
        <is>
          <t>Cinte Colombia SAS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HYPERLINK("https://www.elempleo.com/co/ofertas-trabajo/analista-de-soporte-it-presencial-bogota-1886755633", "Ver Vacante")</f>
        <v/>
      </c>
      <c r="H95" s="6" t="inlineStr"/>
      <c r="I95" s="3" t="inlineStr">
        <is>
          <t>[Afinidad: 58/100 - Afinidad Moderada] Afinidad moderada en áreas técnicas del cargo (Técnico en Sistemas / Soporte TI Remoto).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155fc78897867636</t>
        </is>
      </c>
      <c r="B96" s="2" t="inlineStr">
        <is>
          <t>2026-09-24 15:23</t>
        </is>
      </c>
      <c r="C96" s="3" t="inlineStr">
        <is>
          <t>Help desk analyst n1 - presencial bogotá - horario diurno rotativo</t>
        </is>
      </c>
      <c r="D96" s="3" t="inlineStr">
        <is>
          <t>STEFANINI INFORMATICA &amp; TECNOLOGIA S.A.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HYPERLINK("https://www.elempleo.com/co/ofertas-trabajo/help-desk-analyst-n1-presencial-bogota-horario-diurno-rotativo-1886765180", "Ver Vacante")</f>
        <v/>
      </c>
      <c r="H96" s="6" t="inlineStr"/>
      <c r="I96" s="3" t="inlineStr">
        <is>
          <t>[Afinidad: 58/100 - Afinidad Moderada] Afinidad moderada en áreas técnicas del cargo (Técnico en Sistemas / Soporte TI Remoto).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6d55f3dd43e45493</t>
        </is>
      </c>
      <c r="B97" s="2" t="inlineStr">
        <is>
          <t>2026-09-24 15:23</t>
        </is>
      </c>
      <c r="C97" s="3" t="inlineStr">
        <is>
          <t>Help desk analyst n1 - presencial bogotá - término fijo 06 meses</t>
        </is>
      </c>
      <c r="D97" s="3" t="inlineStr">
        <is>
          <t>STEFANINI INFORMATICA &amp; TECNOLOGIA S.A.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HYPERLINK("https://www.elempleo.com/co/ofertas-trabajo/help-desk-analyst-n1-presencial-bogota-termino-fijo-06-meses-1886765188", "Ver Vacante")</f>
        <v/>
      </c>
      <c r="H97" s="6" t="inlineStr"/>
      <c r="I97" s="3" t="inlineStr">
        <is>
          <t>[Afinidad: 58/100 - Afinidad Moderada] Afinidad moderada en áreas técnicas del cargo (Técnico en Sistemas / Soporte TI Remoto).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456f34fe64104d96</t>
        </is>
      </c>
      <c r="B98" s="2" t="inlineStr">
        <is>
          <t>2026-09-24 15:23</t>
        </is>
      </c>
      <c r="C98" s="3" t="inlineStr">
        <is>
          <t>Ingeniero de datos financieros (python/power bi/sql) - hibrido en bogotá</t>
        </is>
      </c>
      <c r="D98" s="3" t="inlineStr">
        <is>
          <t>Cinte Colombia SAS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HYPERLINK("https://www.elempleo.com/co/ofertas-trabajo/ingeniero-de-datos-financieros-python-power-bi-sql-hibrido-en-bogota-1886770211", "Ver Vacante")</f>
        <v/>
      </c>
      <c r="H98" s="6" t="inlineStr"/>
      <c r="I98" s="3" t="inlineStr">
        <is>
          <t>[Afinidad: 58/100 - Afinidad Moderada] Alta coincidencia técnica en Programación, Scripts, SQL y Automatización. Modalidad: Modalidad híbrida / parcial. Alerta: Modalidad híbrida puede requerir presencia ocasional.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ccaf9f8780b44030</t>
        </is>
      </c>
      <c r="B99" s="2" t="inlineStr">
        <is>
          <t>2026-09-24 15:23</t>
        </is>
      </c>
      <c r="C99" s="3" t="inlineStr">
        <is>
          <t>Analista de datos (power bi/etl/excel/sql) - híbrido en bogotá</t>
        </is>
      </c>
      <c r="D99" s="3" t="inlineStr">
        <is>
          <t>Cinte Colombia SAS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HYPERLINK("https://www.elempleo.com/co/ofertas-trabajo/analista-de-datos-power-bi-etl-excel-sql-hibrido-en-bogota-1886758056", "Ver Vacante")</f>
        <v/>
      </c>
      <c r="H99" s="6" t="inlineStr"/>
      <c r="I99" s="3" t="inlineStr">
        <is>
          <t>[Afinidad: 58/100 - Afinidad Moderada] Alta coincidencia técnica en Programación Básica, Scripts, SQL y Automatización. Modalidad: Modalidad híbrida / parcial. Alerta: Modalidad híbrida puede requerir presencia ocasional.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75eff91cd86e2d25</t>
        </is>
      </c>
      <c r="B100" s="2" t="inlineStr">
        <is>
          <t>2026-09-24 15:23</t>
        </is>
      </c>
      <c r="C100" s="3" t="inlineStr">
        <is>
          <t>Analista de soporte cisco aci y redes lan - bogotá presencial 100%</t>
        </is>
      </c>
      <c r="D100" s="3" t="inlineStr">
        <is>
          <t>TALYCAP GLOBAL SAS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HYPERLINK("https://www.elempleo.com/co/ofertas-trabajo/analista-de-soporte-cisco-aci-y-redes-lan-bogota-presencial-100-1886751212", "Ver Vacante")</f>
        <v/>
      </c>
      <c r="H100" s="6" t="inlineStr"/>
      <c r="I100" s="3" t="inlineStr">
        <is>
          <t>[Afinidad: 58/100 - Afinidad Moderada] Afinidad moderada en áreas técnicas del cargo (Técnico en Sistemas / Soporte TI Remoto).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ea62374731b3e510</t>
        </is>
      </c>
      <c r="B101" s="2" t="inlineStr">
        <is>
          <t>2026-09-24 15:23</t>
        </is>
      </c>
      <c r="C101" s="3" t="inlineStr">
        <is>
          <t>Frontend Web Application Developer</t>
        </is>
      </c>
      <c r="D101" s="3" t="inlineStr">
        <is>
          <t>KoboToolbox</t>
        </is>
      </c>
      <c r="E101" s="7" t="n">
        <v>0.58</v>
      </c>
      <c r="F101" s="2" t="inlineStr">
        <is>
          <t>Remoto</t>
        </is>
      </c>
      <c r="G101" s="5">
        <f>HYPERLINK("https://remotive.com/remote-jobs/design/frontend-web-application-developer-2091141", "Ver Vacante")</f>
        <v/>
      </c>
      <c r="H101" s="6" t="inlineStr">
        <is>
          <t>$90k - $105k</t>
        </is>
      </c>
      <c r="I101" s="3" t="inlineStr">
        <is>
          <t>[Afinidad: 58/100 - Afinidad Moderada] Alta coincidencia técnica en Programación Básica, Scripts, SQL y Automatización.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e8e8c41d26fee7e8</t>
        </is>
      </c>
      <c r="B102" s="2" t="inlineStr">
        <is>
          <t>2026-09-24 15:23</t>
        </is>
      </c>
      <c r="C102" s="3" t="inlineStr">
        <is>
          <t>Senior Shopify Developer</t>
        </is>
      </c>
      <c r="D102" s="3" t="inlineStr">
        <is>
          <t>Sanctuary Computer Inc</t>
        </is>
      </c>
      <c r="E102" s="7" t="n">
        <v>0.58</v>
      </c>
      <c r="F102" s="2" t="inlineStr">
        <is>
          <t>Remoto</t>
        </is>
      </c>
      <c r="G102" s="5">
        <f>HYPERLINK("https://remotive.com/remote-jobs/software-development/senior-shopify-developer-2091140", "Ver Vacante")</f>
        <v/>
      </c>
      <c r="H102" s="6" t="inlineStr">
        <is>
          <t>$80k - $150k</t>
        </is>
      </c>
      <c r="I102" s="3" t="inlineStr">
        <is>
          <t>[Afinidad: 58/100 - Afinidad Moderada] Alta coincidencia técnica en Programación, Scripts, SQL y Automatización.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6f9a298b38d7d57b</t>
        </is>
      </c>
      <c r="B103" s="2" t="inlineStr">
        <is>
          <t>2026-09-24 15:23</t>
        </is>
      </c>
      <c r="C103" s="3" t="inlineStr">
        <is>
          <t>Senior AI Engineer</t>
        </is>
      </c>
      <c r="D103" s="3" t="inlineStr">
        <is>
          <t>Lemon.io</t>
        </is>
      </c>
      <c r="E103" s="7" t="n">
        <v>0.58</v>
      </c>
      <c r="F103" s="2" t="inlineStr">
        <is>
          <t>Remoto</t>
        </is>
      </c>
      <c r="G103" s="5">
        <f>HYPERLINK("https://remotive.com/remote-jobs/artificial-intelligence/senior-ai-engineer-2091131", "Ver Vacante")</f>
        <v/>
      </c>
      <c r="H103" s="6" t="inlineStr"/>
      <c r="I103" s="3" t="inlineStr">
        <is>
          <t>[Afinidad: 58/100 - Afinidad Moderada] Alta coincidencia técnica en Programación, Scripts, SQL y Automatización.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4dd048896d0f6d65</t>
        </is>
      </c>
      <c r="B104" s="2" t="inlineStr">
        <is>
          <t>2026-09-24 15:23</t>
        </is>
      </c>
      <c r="C104" s="3" t="inlineStr">
        <is>
          <t>Senior .NET Full-stack Developer</t>
        </is>
      </c>
      <c r="D104" s="3" t="inlineStr">
        <is>
          <t>Lemon.io</t>
        </is>
      </c>
      <c r="E104" s="7" t="n">
        <v>0.58</v>
      </c>
      <c r="F104" s="2" t="inlineStr">
        <is>
          <t>Remoto</t>
        </is>
      </c>
      <c r="G104" s="5">
        <f>HYPERLINK("https://remotive.com/remote-jobs/software-development/senior-net-full-stack-developer-2091130", "Ver Vacante")</f>
        <v/>
      </c>
      <c r="H104" s="6" t="inlineStr"/>
      <c r="I104" s="3" t="inlineStr">
        <is>
          <t>[Afinidad: 58/100 - Afinidad Moderada] Alta coincidencia técnica en Programación, Scripts, SQL y Automatización.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a9d8e6e11954b4ed</t>
        </is>
      </c>
      <c r="B105" s="2" t="inlineStr">
        <is>
          <t>2026-09-24 15:23</t>
        </is>
      </c>
      <c r="C105" s="3" t="inlineStr">
        <is>
          <t>Senior Data Scientist</t>
        </is>
      </c>
      <c r="D105" s="3" t="inlineStr">
        <is>
          <t>Lemon.io</t>
        </is>
      </c>
      <c r="E105" s="7" t="n">
        <v>0.58</v>
      </c>
      <c r="F105" s="2" t="inlineStr">
        <is>
          <t>Remoto</t>
        </is>
      </c>
      <c r="G105" s="5">
        <f>HYPERLINK("https://remotive.com/remote-jobs/data/senior-data-scientist-2091129", "Ver Vacante")</f>
        <v/>
      </c>
      <c r="H105" s="6" t="inlineStr"/>
      <c r="I105" s="3" t="inlineStr">
        <is>
          <t>[Afinidad: 58/100 - Afinidad Moderada] Alta coincidencia técnica en Programación, Scripts, SQL y Automatización.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a18589077c92ad8c</t>
        </is>
      </c>
      <c r="B106" s="2" t="inlineStr">
        <is>
          <t>2026-09-24 15:23</t>
        </is>
      </c>
      <c r="C106" s="3" t="inlineStr">
        <is>
          <t>Senior React Full-stack Developer</t>
        </is>
      </c>
      <c r="D106" s="3" t="inlineStr">
        <is>
          <t>Lemon.io</t>
        </is>
      </c>
      <c r="E106" s="7" t="n">
        <v>0.58</v>
      </c>
      <c r="F106" s="2" t="inlineStr">
        <is>
          <t>Remoto</t>
        </is>
      </c>
      <c r="G106" s="5">
        <f>HYPERLINK("https://remotive.com/remote-jobs/software-development/senior-react-full-stack-developer-2091101", "Ver Vacante")</f>
        <v/>
      </c>
      <c r="H106" s="6" t="inlineStr"/>
      <c r="I106" s="3" t="inlineStr">
        <is>
          <t>[Afinidad: 58/100 - Afinidad Moderada] Alta coincidencia técnica en Programación, Scripts, SQL y Automatización.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6db39c2f55a85146</t>
        </is>
      </c>
      <c r="B107" s="2" t="inlineStr">
        <is>
          <t>2026-09-24 15:23</t>
        </is>
      </c>
      <c r="C107" s="3" t="inlineStr">
        <is>
          <t>Senior QA Engineer</t>
        </is>
      </c>
      <c r="D107" s="3" t="inlineStr">
        <is>
          <t>Lemon.io</t>
        </is>
      </c>
      <c r="E107" s="7" t="n">
        <v>0.58</v>
      </c>
      <c r="F107" s="2" t="inlineStr">
        <is>
          <t>Remoto</t>
        </is>
      </c>
      <c r="G107" s="5">
        <f>HYPERLINK("https://remotive.com/remote-jobs/qa/senior-qa-engineer-2091100", "Ver Vacante")</f>
        <v/>
      </c>
      <c r="H107" s="6" t="inlineStr"/>
      <c r="I107" s="3" t="inlineStr">
        <is>
          <t>[Afinidad: 58/100 - Afinidad Moderada] Alta coincidencia técnica en Programación, Scripts, SQL y Automatización.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5828ee7cdbb35c70</t>
        </is>
      </c>
      <c r="B108" s="2" t="inlineStr">
        <is>
          <t>2026-09-24 15:23</t>
        </is>
      </c>
      <c r="C108" s="3" t="inlineStr">
        <is>
          <t>Senior DevOps Engineer</t>
        </is>
      </c>
      <c r="D108" s="3" t="inlineStr">
        <is>
          <t>Lemon.io</t>
        </is>
      </c>
      <c r="E108" s="7" t="n">
        <v>0.58</v>
      </c>
      <c r="F108" s="2" t="inlineStr">
        <is>
          <t>Remoto</t>
        </is>
      </c>
      <c r="G108" s="5">
        <f>HYPERLINK("https://remotive.com/remote-jobs/devops/senior-devops-engineer-2091099", "Ver Vacante")</f>
        <v/>
      </c>
      <c r="H108" s="6" t="inlineStr"/>
      <c r="I108" s="3" t="inlineStr">
        <is>
          <t>[Afinidad: 58/100 - Afinidad Moderada] Alta coincidencia técnica en Programación, Scripts, SQL y Automatización.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552066cc9c949c2c</t>
        </is>
      </c>
      <c r="B109" s="2" t="inlineStr">
        <is>
          <t>2026-09-24 15:23</t>
        </is>
      </c>
      <c r="C109" s="3" t="inlineStr">
        <is>
          <t>Tier III Service Desk Engineer</t>
        </is>
      </c>
      <c r="D109" s="3" t="inlineStr">
        <is>
          <t>Unio Digital</t>
        </is>
      </c>
      <c r="E109" s="7" t="n">
        <v>0.58</v>
      </c>
      <c r="F109" s="2" t="inlineStr">
        <is>
          <t>Remoto</t>
        </is>
      </c>
      <c r="G109" s="5">
        <f>HYPERLINK("https://remotive.com/remote-jobs/information-technology/tier-iii-service-desk-engineer-2091045", "Ver Vacante")</f>
        <v/>
      </c>
      <c r="H109" s="6" t="inlineStr"/>
      <c r="I109" s="3" t="inlineStr">
        <is>
          <t>[Afinidad: 58/100 - Afinidad Moderada] Alta coincidencia técnica en Soporte Técnico de Sistemas, Hardware y Redes.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55fdaa0983ef9124</t>
        </is>
      </c>
      <c r="B110" s="2" t="inlineStr">
        <is>
          <t>2026-09-24 15:37</t>
        </is>
      </c>
      <c r="C110" s="3" t="inlineStr">
        <is>
          <t>Lider técnico con itil practice manager</t>
        </is>
      </c>
      <c r="D110" s="3" t="inlineStr">
        <is>
          <t>Sinergy &amp; Lowells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HYPERLINK("https://www.elempleo.com/co/ofertas-trabajo/lider-tecnico-con-itil-practice-manager-1886753953", "Ver Vacante")</f>
        <v/>
      </c>
      <c r="H110" s="6" t="inlineStr"/>
      <c r="I110" s="3" t="inlineStr">
        <is>
          <t>[Afinidad: 58/100 - Afinidad Moderada] Afinidad moderada en áreas técnicas del cargo (Técnico en Sistemas / Auxiliar de Soporte TI).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9c65f710f43158b7</t>
        </is>
      </c>
      <c r="B111" s="2" t="inlineStr">
        <is>
          <t>2026-09-24 15:37</t>
        </is>
      </c>
      <c r="C111" s="3" t="inlineStr">
        <is>
          <t>Tecnico de instalaciones cableado de redes - licencia conte</t>
        </is>
      </c>
      <c r="D111" s="3" t="inlineStr">
        <is>
          <t>Confidencial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HYPERLINK("https://www.elempleo.com/co/ofertas-trabajo/tecnico-de-instalaciones-cableado-de-redes-licencia-conte-1886749397", "Ver Vacante")</f>
        <v/>
      </c>
      <c r="H111" s="6" t="inlineStr"/>
      <c r="I111" s="3" t="inlineStr">
        <is>
          <t>[Afinidad: 58/100 - Afinidad Moderada] Afinidad moderada en áreas técnicas del cargo (Técnico en Sistemas / Auxiliar de Soporte TI).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541d99c3c6e9a353</t>
        </is>
      </c>
      <c r="B112" s="2" t="inlineStr">
        <is>
          <t>2026-09-24 15:23</t>
        </is>
      </c>
      <c r="C112" s="3" t="inlineStr">
        <is>
          <t>Analista de infraestructura i (redes/firewall) - presencial en bogotá</t>
        </is>
      </c>
      <c r="D112" s="3" t="inlineStr">
        <is>
          <t>Cinte Colombia SAS</t>
        </is>
      </c>
      <c r="E112" s="7" t="n">
        <v>0.53</v>
      </c>
      <c r="F112" s="2" t="inlineStr">
        <is>
          <t>Remoto</t>
        </is>
      </c>
      <c r="G112" s="5">
        <f>HYPERLINK("https://www.elempleo.com/co/ofertas-trabajo/analista-de-infraestructura-i-redes-firewall-presencial-en-bogota-1886756899", "Ver Vacante")</f>
        <v/>
      </c>
      <c r="H112" s="6" t="inlineStr"/>
      <c r="I112" s="3" t="inlineStr">
        <is>
          <t>[Afinidad: 53/100 - Afinidad Moderada] Afinidad moderada en áreas técnicas del cargo (Técnico en Sistemas / Soporte TI Remoto).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386eb46216f50233</t>
        </is>
      </c>
      <c r="B113" s="2" t="inlineStr">
        <is>
          <t>2026-09-24 15:23</t>
        </is>
      </c>
      <c r="C113" s="3" t="inlineStr">
        <is>
          <t>Profesional junior soporte bases datos - presencial - bogota 114149</t>
        </is>
      </c>
      <c r="D113" s="3" t="inlineStr">
        <is>
          <t>NUEVA EPS S.A</t>
        </is>
      </c>
      <c r="E113" s="7" t="n">
        <v>0.5</v>
      </c>
      <c r="F113" s="2" t="inlineStr">
        <is>
          <t>Remoto</t>
        </is>
      </c>
      <c r="G113" s="5">
        <f>HYPERLINK("https://www.elempleo.com/co/ofertas-trabajo/profesional-junior-soporte-bases-datos-presencial-bogota-114149-1886765098", "Ver Vacante")</f>
        <v/>
      </c>
      <c r="H113" s="6" t="inlineStr"/>
      <c r="I113" s="3" t="inlineStr">
        <is>
          <t>[Afinidad: 50/100 - Afinidad Moderada] Afinidad en rol base (Técnico en Sistemas / Soporte TI Remoto). Modalidad: 100% Remoto en Colombia confirmado.</t>
        </is>
      </c>
      <c r="J113" s="2" t="inlineStr">
        <is>
          <t>Nueva</t>
        </is>
      </c>
      <c r="K113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2026-09-24T20:38:03Z</dcterms:created>
  <dcterms:modified xmlns:dcterms="http://purl.org/dc/terms/" xmlns:xsi="http://www.w3.org/2001/XMLSchema-instance" xsi:type="dcterms:W3CDTF">2026-09-24T20:38:03Z</dcterms:modified>
</cp:coreProperties>
</file>