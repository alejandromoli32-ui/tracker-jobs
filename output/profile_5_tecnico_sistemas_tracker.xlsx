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ae736277661dc78b</t>
        </is>
      </c>
      <c r="B57" s="2" t="inlineStr">
        <is>
          <t>2026-09-24 15:23</t>
        </is>
      </c>
      <c r="C57" s="3" t="inlineStr">
        <is>
          <t>Analista de redes cisco</t>
        </is>
      </c>
      <c r="D57" s="3" t="inlineStr">
        <is>
          <t>ATCG DE COLOMBIA S.A.S</t>
        </is>
      </c>
      <c r="E57" s="7" t="n">
        <v>0.68</v>
      </c>
      <c r="F57" s="2" t="inlineStr">
        <is>
          <t>Remoto</t>
        </is>
      </c>
      <c r="G57" s="5">
        <f>HYPERLINK("https://www.elempleo.com/co/ofertas-trabajo/analista-de-redes-cisco-1886760389", "Ver Vacante")</f>
        <v/>
      </c>
      <c r="H57" s="6" t="inlineStr"/>
      <c r="I57" s="3" t="inlineStr">
        <is>
          <t>[Afinidad: 68/100 - Afinidad Moderada]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e29676fac3409ad6</t>
        </is>
      </c>
      <c r="B58" s="2" t="inlineStr">
        <is>
          <t>2026-09-24 15:23</t>
        </is>
      </c>
      <c r="C58" s="3" t="inlineStr">
        <is>
          <t>Analista de redes y telecomunicaciones - nivel 1</t>
        </is>
      </c>
      <c r="D58" s="3" t="inlineStr">
        <is>
          <t>MANPOWER</t>
        </is>
      </c>
      <c r="E58" s="7" t="n">
        <v>0.68</v>
      </c>
      <c r="F58" s="2" t="inlineStr">
        <is>
          <t>Remoto</t>
        </is>
      </c>
      <c r="G58" s="5">
        <f>HYPERLINK("https://www.elempleo.com/co/ofertas-trabajo/analista-de-redes-y-telecomunicaciones-nivel-1-1886760565", "Ver Vacante")</f>
        <v/>
      </c>
      <c r="H58" s="6" t="inlineStr"/>
      <c r="I58" s="3" t="inlineStr">
        <is>
          <t>[Afinidad: 68/100 - Afinidad Moderada]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8d7f304ffb8625b5</t>
        </is>
      </c>
      <c r="B59" s="2" t="inlineStr">
        <is>
          <t>2026-09-25 15:54</t>
        </is>
      </c>
      <c r="C59" s="3" t="inlineStr">
        <is>
          <t>Auxiliar de sistemas</t>
        </is>
      </c>
      <c r="D59" s="3" t="inlineStr">
        <is>
          <t>Confidencial</t>
        </is>
      </c>
      <c r="E59" s="7" t="n">
        <v>0.58</v>
      </c>
      <c r="F59" s="2" t="inlineStr">
        <is>
          <t>Remoto</t>
        </is>
      </c>
      <c r="G59" s="5">
        <f>HYPERLINK("https://www.elempleo.com/co/ofertas-trabajo/auxiliar-de-sistemas-1886751888", "Ver Vacante")</f>
        <v/>
      </c>
      <c r="H59" s="6" t="inlineStr"/>
      <c r="I59" s="3" t="inlineStr">
        <is>
          <t>[Afinidad: 58/100 - Afinidad Moderada] Afinidad moderada en áreas técnicas del cargo (Técnico en Sistemas / Auxiliar de Soporte TI).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3b5b26f92a305c0c</t>
        </is>
      </c>
      <c r="B60" s="2" t="inlineStr">
        <is>
          <t>2026-09-25 15:54</t>
        </is>
      </c>
      <c r="C60" s="3" t="inlineStr">
        <is>
          <t>Auxiliar de sistemas</t>
        </is>
      </c>
      <c r="D60" s="3" t="inlineStr">
        <is>
          <t>Confidencial</t>
        </is>
      </c>
      <c r="E60" s="7" t="n">
        <v>0.58</v>
      </c>
      <c r="F60" s="2" t="inlineStr">
        <is>
          <t>Remoto</t>
        </is>
      </c>
      <c r="G60" s="5">
        <f>HYPERLINK("https://www.elempleo.com/co/ofertas-trabajo/auxiliar-de-sistemas-1886749497", "Ver Vacante")</f>
        <v/>
      </c>
      <c r="H60" s="6" t="inlineStr"/>
      <c r="I60" s="3" t="inlineStr">
        <is>
          <t>[Afinidad: 58/100 - Afinidad Moderada] Afinidad moderada en áreas técnicas del cargo (Técnico en Sistemas / Auxiliar de Soporte TI).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e760bcd88d90fbbe</t>
        </is>
      </c>
      <c r="B61" s="2" t="inlineStr">
        <is>
          <t>2026-09-25 15:54</t>
        </is>
      </c>
      <c r="C61" s="3" t="inlineStr">
        <is>
          <t>Agente de mesa de ayuda</t>
        </is>
      </c>
      <c r="D61" s="3" t="inlineStr">
        <is>
          <t>SELCOMP INGENIERÍA SAS</t>
        </is>
      </c>
      <c r="E61" s="7" t="n">
        <v>0.58</v>
      </c>
      <c r="F61" s="2" t="inlineStr">
        <is>
          <t>Remoto</t>
        </is>
      </c>
      <c r="G61" s="5">
        <f>HYPERLINK("https://www.elempleo.com/co/ofertas-trabajo/agente-de-mesa-de-ayuda-1886758623", "Ver Vacante")</f>
        <v/>
      </c>
      <c r="H61" s="6" t="inlineStr"/>
      <c r="I61" s="3" t="inlineStr">
        <is>
          <t>[Afinidad: 58/100 - Afinidad Moderada] Afinidad moderada en áreas técnicas del cargo (Técnico en Sistemas / Auxiliar de Soporte TI).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86dcab5c5d802693</t>
        </is>
      </c>
      <c r="B62" s="2" t="inlineStr">
        <is>
          <t>2026-09-25 15:54</t>
        </is>
      </c>
      <c r="C62" s="3" t="inlineStr">
        <is>
          <t>Analista mesa de ayuda para tunja</t>
        </is>
      </c>
      <c r="D62" s="3" t="inlineStr">
        <is>
          <t>Gestión de Seguridad Electrónica</t>
        </is>
      </c>
      <c r="E62" s="7" t="n">
        <v>0.58</v>
      </c>
      <c r="F62" s="2" t="inlineStr">
        <is>
          <t>Remoto</t>
        </is>
      </c>
      <c r="G62" s="5">
        <f>HYPERLINK("https://www.elempleo.com/co/ofertas-trabajo/analista-mesa-de-ayuda-para-tunja-1886766955", "Ver Vacante")</f>
        <v/>
      </c>
      <c r="H62" s="6" t="inlineStr"/>
      <c r="I62" s="3" t="inlineStr">
        <is>
          <t>[Afinidad: 58/100 - Afinidad Moderada] Afinidad moderada en áreas técnicas del cargo (Técnico en Sistemas / Auxiliar de Soporte TI).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55fdaa0983ef9124</t>
        </is>
      </c>
      <c r="B63" s="2" t="inlineStr">
        <is>
          <t>2026-09-25 15:54</t>
        </is>
      </c>
      <c r="C63" s="3" t="inlineStr">
        <is>
          <t>Lider técnico con itil practice manager</t>
        </is>
      </c>
      <c r="D63" s="3" t="inlineStr">
        <is>
          <t>Sinergy &amp; Lowells</t>
        </is>
      </c>
      <c r="E63" s="7" t="n">
        <v>0.58</v>
      </c>
      <c r="F63" s="2" t="inlineStr">
        <is>
          <t>Remoto</t>
        </is>
      </c>
      <c r="G63" s="5">
        <f>HYPERLINK("https://www.elempleo.com/co/ofertas-trabajo/lider-tecnico-con-itil-practice-manager-1886753953", "Ver Vacante")</f>
        <v/>
      </c>
      <c r="H63" s="6" t="inlineStr"/>
      <c r="I63" s="3" t="inlineStr">
        <is>
          <t>[Afinidad: 58/100 - Afinidad Moderada] Afinidad moderada en áreas técnicas del cargo (Técnico en Sistemas / Auxiliar de Soporte TI).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a1ca7bc58cd48fad</t>
        </is>
      </c>
      <c r="B64" s="2" t="inlineStr">
        <is>
          <t>2026-09-25 15:54</t>
        </is>
      </c>
      <c r="C64" s="3" t="inlineStr">
        <is>
          <t>Tecnico de mesa de ayuda/mujeres contratacion inmediata</t>
        </is>
      </c>
      <c r="D64" s="3" t="inlineStr">
        <is>
          <t>Confidencial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HYPERLINK("https://www.elempleo.com/co/ofertas-trabajo/tecnico-de-mesa-de-ayuda-mujeres-contratacion-inmediata-1886770931", "Ver Vacante")</f>
        <v/>
      </c>
      <c r="H64" s="6" t="inlineStr"/>
      <c r="I64" s="3" t="inlineStr">
        <is>
          <t>[Afinidad: 58/100 - Afinidad Moderada] Afinidad moderada en áreas técnicas del cargo (Técnico en Sistemas / Auxiliar de Soporte TI).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e28aba5df8a2d3ae</t>
        </is>
      </c>
      <c r="B65" s="2" t="inlineStr">
        <is>
          <t>2026-09-25 15:54</t>
        </is>
      </c>
      <c r="C65" s="3" t="inlineStr">
        <is>
          <t>Tecnico de mesa de ayuda/mujeres contratacion inmediata</t>
        </is>
      </c>
      <c r="D65" s="3" t="inlineStr">
        <is>
          <t>Confidencial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HYPERLINK("https://www.elempleo.com/co/ofertas-trabajo/tecnico-de-mesa-de-ayuda-mujeres-contratacion-inmediata-1886769701", "Ver Vacante")</f>
        <v/>
      </c>
      <c r="H65" s="6" t="inlineStr"/>
      <c r="I65" s="3" t="inlineStr">
        <is>
          <t>[Afinidad: 58/100 - Afinidad Moderada] Afinidad moderada en áreas técnicas del cargo (Técnico en Sistemas / Auxiliar de Soporte TI).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9326784c1a2726fb</t>
        </is>
      </c>
      <c r="B66" s="2" t="inlineStr">
        <is>
          <t>2026-09-25 15:54</t>
        </is>
      </c>
      <c r="C66" s="3" t="inlineStr">
        <is>
          <t>Técnico de soporte y mesa de ayuda / medellín</t>
        </is>
      </c>
      <c r="D66" s="3" t="inlineStr">
        <is>
          <t>Colsof S.A.S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HYPERLINK("https://www.elempleo.com/co/ofertas-trabajo/tecnico-de-soporte-y-mesa-de-ayuda-medellin-1886738118", "Ver Vacante")</f>
        <v/>
      </c>
      <c r="H66" s="6" t="inlineStr"/>
      <c r="I66" s="3" t="inlineStr">
        <is>
          <t>[Afinidad: 58/100 - Afinidad Moderada] Afinidad moderada en áreas técnicas del cargo (Técnico en Sistemas / Auxiliar de Soporte TI).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b67dc9a9be4a1a6f</t>
        </is>
      </c>
      <c r="B67" s="2" t="inlineStr">
        <is>
          <t>2026-09-25 15:54</t>
        </is>
      </c>
      <c r="C67" s="3" t="inlineStr">
        <is>
          <t>Service desk agent</t>
        </is>
      </c>
      <c r="D67" s="3" t="inlineStr">
        <is>
          <t>Confidencial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HYPERLINK("https://www.elempleo.com/co/ofertas-trabajo/service-desk-agent-soporte-tecnico-nivel-1-1886755112", "Ver Vacante")</f>
        <v/>
      </c>
      <c r="H67" s="6" t="inlineStr"/>
      <c r="I67" s="3" t="inlineStr">
        <is>
          <t>[Afinidad: 58/100 - Afinidad Moderada]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9c65f710f43158b7</t>
        </is>
      </c>
      <c r="B68" s="2" t="inlineStr">
        <is>
          <t>2026-09-25 15:54</t>
        </is>
      </c>
      <c r="C68" s="3" t="inlineStr">
        <is>
          <t>Tecnico de instalaciones cableado de redes - licencia conte</t>
        </is>
      </c>
      <c r="D68" s="3" t="inlineStr">
        <is>
          <t>Confidencial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HYPERLINK("https://www.elempleo.com/co/ofertas-trabajo/tecnico-de-instalaciones-cableado-de-redes-licencia-conte-1886749397",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a95003a0b1fc3d77</t>
        </is>
      </c>
      <c r="B69" s="2" t="inlineStr">
        <is>
          <t>2026-09-27 15:41</t>
        </is>
      </c>
      <c r="C69" s="3" t="inlineStr">
        <is>
          <t>Técnico Soporte Nivel 1 Con ITIL</t>
        </is>
      </c>
      <c r="D69" s="3" t="inlineStr">
        <is>
          <t>Importante empresa del sector de tecnología</t>
        </is>
      </c>
      <c r="E69" s="7" t="n">
        <v>0.58</v>
      </c>
      <c r="F69" s="2" t="inlineStr">
        <is>
          <t>Remoto</t>
        </is>
      </c>
      <c r="G69" s="5">
        <f>HYPERLINK("https://co.computrabajo.com/ofertas-de-trabajo/oferta-de-trabajo-de-tecnico-soporte-nivel-1-con-itil-en-bogota-dc-59E13FA64EF5843C61373E686DCF3405", "Ver Vacante")</f>
        <v/>
      </c>
      <c r="H69" s="6" t="inlineStr">
        <is>
          <t>$ 1.750.905,00 (Mensual)</t>
        </is>
      </c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96391fd564d83616</t>
        </is>
      </c>
      <c r="B70" s="2" t="inlineStr">
        <is>
          <t>2026-09-27 15:41</t>
        </is>
      </c>
      <c r="C70" s="3" t="inlineStr">
        <is>
          <t>Tecnico de soporte IT con Moto</t>
        </is>
      </c>
      <c r="D70" s="3" t="inlineStr">
        <is>
          <t>Los Hornitos</t>
        </is>
      </c>
      <c r="E70" s="7" t="n">
        <v>0.58</v>
      </c>
      <c r="F70" s="2" t="inlineStr">
        <is>
          <t>Remoto</t>
        </is>
      </c>
      <c r="G70" s="5">
        <f>HYPERLINK("https://co.computrabajo.com/ofertas-de-trabajo/oferta-de-trabajo-de-tecnico-de-soporte-it-con-moto-empresa-de-alimentos-en-bogota-dc-599938D46A6F4A8F61373E686DCF3405", "Ver Vacante")</f>
        <v/>
      </c>
      <c r="H70" s="6" t="inlineStr">
        <is>
          <t>$ 2.125.947,00 (Mensual)</t>
        </is>
      </c>
      <c r="I70" s="3" t="inlineStr">
        <is>
          <t>[Afinidad: 58/100 - Afinidad Moderada] Afinidad moderada en áreas técnicas del cargo (Técnico en Sistemas / Auxiliar de Soporte TI).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b4f0b8c16fe5543e</t>
        </is>
      </c>
      <c r="B71" s="2" t="inlineStr">
        <is>
          <t>2026-09-27 15:41</t>
        </is>
      </c>
      <c r="C71" s="3" t="inlineStr">
        <is>
          <t>Auxiliar de Sistemas</t>
        </is>
      </c>
      <c r="D71" s="3" t="inlineStr">
        <is>
          <t>ELIS COLOMBIA SAS</t>
        </is>
      </c>
      <c r="E71" s="7" t="n">
        <v>0.58</v>
      </c>
      <c r="F71" s="2" t="inlineStr">
        <is>
          <t>Remoto</t>
        </is>
      </c>
      <c r="G71" s="5">
        <f>HYPERLINK("https://co.computrabajo.com/ofertas-de-trabajo/oferta-de-trabajo-de-auxiliar-de-sistemas-en-bogota-dc-48C2A0A3B050945661373E686DCF3405", "Ver Vacante")</f>
        <v/>
      </c>
      <c r="H71" s="6" t="inlineStr">
        <is>
          <t>$ 2.000.000,00 (Mensual)</t>
        </is>
      </c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7e4b4e4f136a5e31</t>
        </is>
      </c>
      <c r="B72" s="2" t="inlineStr">
        <is>
          <t>2026-09-27 15:41</t>
        </is>
      </c>
      <c r="C72" s="3" t="inlineStr">
        <is>
          <t>Agente Mesa de Ayuda</t>
        </is>
      </c>
      <c r="D72" s="3" t="inlineStr">
        <is>
          <t>Importante empresa del sector</t>
        </is>
      </c>
      <c r="E72" s="7" t="n">
        <v>0.58</v>
      </c>
      <c r="F72" s="2" t="inlineStr">
        <is>
          <t>Remoto</t>
        </is>
      </c>
      <c r="G72" s="5">
        <f>HYPERLINK("https://co.computrabajo.com/ofertas-de-trabajo/oferta-de-trabajo-de-agente-mesa-de-ayuda-en-bogota-dc-E39FE355E02E578761373E686DCF3405", "Ver Vacante")</f>
        <v/>
      </c>
      <c r="H72" s="6" t="inlineStr">
        <is>
          <t>$ 2.000.000,00 (Mensual)</t>
        </is>
      </c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0ef2cd7667600919</t>
        </is>
      </c>
      <c r="B73" s="2" t="inlineStr">
        <is>
          <t>2026-09-27 15:41</t>
        </is>
      </c>
      <c r="C73" s="3" t="inlineStr">
        <is>
          <t>Técnico de Soporte TI Regional</t>
        </is>
      </c>
      <c r="D73" s="3" t="inlineStr">
        <is>
          <t>POLICOMP COLOMBIA SAS</t>
        </is>
      </c>
      <c r="E73" s="7" t="n">
        <v>0.58</v>
      </c>
      <c r="F73" s="2" t="inlineStr">
        <is>
          <t>Remoto</t>
        </is>
      </c>
      <c r="G73" s="5">
        <f>HYPERLINK("https://co.computrabajo.com/ofertas-de-trabajo/oferta-de-trabajo-de-tecnico-de-soporte-ti-regional-en-bogota-dc-ACF045C94E41CCDE61373E686DCF3405",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7784997bda962255</t>
        </is>
      </c>
      <c r="B74" s="2" t="inlineStr">
        <is>
          <t>2026-09-27 15:41</t>
        </is>
      </c>
      <c r="C74" s="3" t="inlineStr">
        <is>
          <t>Técnico de Soporte TI On Demand/ por horas</t>
        </is>
      </c>
      <c r="D74" s="3" t="inlineStr">
        <is>
          <t>POLICOMP COLOMBIA SAS</t>
        </is>
      </c>
      <c r="E74" s="7" t="n">
        <v>0.58</v>
      </c>
      <c r="F74" s="2" t="inlineStr">
        <is>
          <t>Remoto</t>
        </is>
      </c>
      <c r="G74" s="5">
        <f>HYPERLINK("https://co.computrabajo.com/ofertas-de-trabajo/oferta-de-trabajo-de-tecnico-de-soporte-ti-on-demand-por-horas-en-bogota-dc-C2338FA0172D59A561373E686DCF3405", "Ver Vacante")</f>
        <v/>
      </c>
      <c r="H74" s="6" t="inlineStr"/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29d0fe2e42e678f7</t>
        </is>
      </c>
      <c r="B75" s="2" t="inlineStr">
        <is>
          <t>2026-09-27 15:41</t>
        </is>
      </c>
      <c r="C75" s="3" t="inlineStr">
        <is>
          <t>Técnico mantenimiento correctivo impresoras</t>
        </is>
      </c>
      <c r="D75" s="3" t="inlineStr">
        <is>
          <t>Multinacional de Impresión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HYPERLINK("https://co.computrabajo.com/ofertas-de-trabajo/oferta-de-trabajo-de-tecnico-mantenimiento-correctivo-impresoras-en-guarne-BC0E775C0F25B27D61373E686DCF3405", "Ver Vacante")</f>
        <v/>
      </c>
      <c r="H75" s="6" t="inlineStr">
        <is>
          <t>$ 1.800.000,00 (Mensual)</t>
        </is>
      </c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98c9ab11f5b1eace</t>
        </is>
      </c>
      <c r="B76" s="2" t="inlineStr">
        <is>
          <t>2026-09-28 18:36</t>
        </is>
      </c>
      <c r="C76" s="3" t="inlineStr">
        <is>
          <t>Auxiliar de sistemas</t>
        </is>
      </c>
      <c r="D76" s="3" t="inlineStr">
        <is>
          <t>Importante empresa del sector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HYPERLINK("https://co.computrabajo.com/ofertas-de-trabajo/oferta-de-trabajo-de-auxiliar-de-sistemas-persona-con-discapacidad-remota-en-bogota-dc-5F2A812D014E159B61373E686DCF3405", "Ver Vacante")</f>
        <v/>
      </c>
      <c r="H76" s="6" t="inlineStr">
        <is>
          <t>$ 1.750.905,00 (Mensual)</t>
        </is>
      </c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58133ddc4da9c68e</t>
        </is>
      </c>
      <c r="B77" s="2" t="inlineStr">
        <is>
          <t>2026-09-28 18:36</t>
        </is>
      </c>
      <c r="C77" s="3" t="inlineStr">
        <is>
          <t>Auxiliar de sistemas</t>
        </is>
      </c>
      <c r="D77" s="3" t="inlineStr">
        <is>
          <t>Importante empresa del sector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HYPERLINK("https://co.computrabajo.com/ofertas-de-trabajo/oferta-de-trabajo-de-auxiliar-de-sistemas-persona-con-discapacidad-remota-en-bogota-dc-A00C07C9CC9A494B61373E686DCF3405", "Ver Vacante")</f>
        <v/>
      </c>
      <c r="H77" s="6" t="inlineStr">
        <is>
          <t>$ 1.750.905,00 (Mensual)</t>
        </is>
      </c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aed3420a4cfdc248</t>
        </is>
      </c>
      <c r="B78" s="2" t="inlineStr">
        <is>
          <t>2026-09-28 18:36</t>
        </is>
      </c>
      <c r="C78" s="3" t="inlineStr">
        <is>
          <t>Consultor de servicios/ mesa de ayuda nómina y erp software</t>
        </is>
      </c>
      <c r="D78" s="3" t="inlineStr">
        <is>
          <t>Confidencial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HYPERLINK("https://www.elempleo.com/co/ofertas-trabajo/consultor-de-servicios-mesa-de-ayuda-nomina-y-erp-software-inclusivo-1886716126",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2b8357189ff315da</t>
        </is>
      </c>
      <c r="B79" s="2" t="inlineStr">
        <is>
          <t>2026-09-29 17:00</t>
        </is>
      </c>
      <c r="C79" s="3" t="inlineStr">
        <is>
          <t>Auxiliar de sistemas</t>
        </is>
      </c>
      <c r="D79" s="3" t="inlineStr">
        <is>
          <t>DAVITA SAS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HYPERLINK("https://www.elempleo.com/co/ofertas-trabajo/auxiliar-de-sistemas-1886758163",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a87934e7643b2c1c</t>
        </is>
      </c>
      <c r="B80" s="2" t="inlineStr">
        <is>
          <t>2026-09-29 17:00</t>
        </is>
      </c>
      <c r="C80" s="3" t="inlineStr">
        <is>
          <t>Tecnico de instalaciones cableado de redes - licencia conte cali</t>
        </is>
      </c>
      <c r="D80" s="3" t="inlineStr">
        <is>
          <t>Confidencial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HYPERLINK("https://www.elempleo.com/co/ofertas-trabajo/tecnico-de-instalaciones-cableado-de-redes-licencia-conte-cali-1886759847",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10b4265e3ad11d81</t>
        </is>
      </c>
      <c r="B81" s="2" t="inlineStr">
        <is>
          <t>2026-09-29 17:00</t>
        </is>
      </c>
      <c r="C81" s="3" t="inlineStr">
        <is>
          <t>Information Technology Help Desk Support</t>
        </is>
      </c>
      <c r="D81" s="3" t="inlineStr">
        <is>
          <t>Booth</t>
        </is>
      </c>
      <c r="E81" s="7" t="n">
        <v>0.58</v>
      </c>
      <c r="F81" s="2" t="inlineStr">
        <is>
          <t>Remoto</t>
        </is>
      </c>
      <c r="G81" s="5">
        <f>HYPERLINK("https://co.linkedin.com/jobs/view/information-technology-help-desk-support-at-booth-4471203962",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0b0ae49f910109bb</t>
        </is>
      </c>
      <c r="B82" s="2" t="inlineStr">
        <is>
          <t>2026-09-25 15:54</t>
        </is>
      </c>
      <c r="C82" s="3" t="inlineStr">
        <is>
          <t>Ejecutivo Técnico Arancel Junior</t>
        </is>
      </c>
      <c r="D82" s="3" t="inlineStr">
        <is>
          <t>Importante Empresa de Logística y Comercio</t>
        </is>
      </c>
      <c r="E82" s="7" t="n">
        <v>0.5</v>
      </c>
      <c r="F82" s="2" t="inlineStr">
        <is>
          <t>Remoto</t>
        </is>
      </c>
      <c r="G82" s="5">
        <f>HYPERLINK("https://co.computrabajo.com/ofertas-de-trabajo/oferta-de-trabajo-de-ejecutivo-tecnico-arancel-junior-bogota-en-bogota-dc-547866639B487E0161373E686DCF3405", "Ver Vacante")</f>
        <v/>
      </c>
      <c r="H82" s="6" t="inlineStr">
        <is>
          <t>Remoto</t>
        </is>
      </c>
      <c r="I82" s="3" t="inlineStr">
        <is>
          <t>[Afinidad: 50/100 - Afinidad Moderada] Afinidad en rol base (Técnico en Sistemas / Auxiliar de Soporte TI). Modalidad: 100% Remoto en Colombia confirmado.</t>
        </is>
      </c>
      <c r="J82" s="2" t="inlineStr">
        <is>
          <t>Nueva</t>
        </is>
      </c>
      <c r="K82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2026-09-29T17:00:54Z</dcterms:created>
  <dcterms:modified xmlns:dcterms="http://purl.org/dc/terms/" xmlns:xsi="http://www.w3.org/2001/XMLSchema-instance" xsi:type="dcterms:W3CDTF">2026-09-29T17:00:55Z</dcterms:modified>
</cp:coreProperties>
</file>