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625a5609a531ab02</t>
        </is>
      </c>
      <c r="B62" s="2" t="inlineStr">
        <is>
          <t>2026-10-12 20:17</t>
        </is>
      </c>
      <c r="C62" s="3" t="inlineStr">
        <is>
          <t>Soporte técnico</t>
        </is>
      </c>
      <c r="D62" s="3" t="inlineStr">
        <is>
          <t>Méderi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HYPERLINK("https://www.elempleo.com/co/ofertas-trabajo/soporte-tecnico-1886774861", "Ver Vacante")</f>
        <v/>
      </c>
      <c r="H62" s="6" t="inlineStr"/>
      <c r="I62" s="3" t="inlineStr">
        <is>
          <t>[Afinidad: 73/100 - Alta Afinidad]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1495b0203ce51c84</t>
        </is>
      </c>
      <c r="B63" s="2" t="inlineStr">
        <is>
          <t>2026-10-16 15:22</t>
        </is>
      </c>
      <c r="C63" s="3" t="inlineStr">
        <is>
          <t>Analista de soporte técnico TI</t>
        </is>
      </c>
      <c r="D63" s="3" t="inlineStr">
        <is>
          <t>Salesland Colombia</t>
        </is>
      </c>
      <c r="E63" s="4" t="n">
        <v>0.73</v>
      </c>
      <c r="F63" s="2" t="inlineStr">
        <is>
          <t>Remoto</t>
        </is>
      </c>
      <c r="G63" s="5">
        <f>HYPERLINK("https://co.computrabajo.com/ofertas-de-trabajo/oferta-de-trabajo-de-analista-de-soporte-tecnico-ti-en-bogota-dc-AB1F1A0EC252EFA061373E686DCF3405", "Ver Vacante")</f>
        <v/>
      </c>
      <c r="H63" s="6" t="inlineStr">
        <is>
          <t>$ 3.600.000,00 (Mensual)</t>
        </is>
      </c>
      <c r="I63" s="3" t="inlineStr">
        <is>
          <t>[Afinidad: 73/100 - Alta Afinidad]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77ab2968500ab26e</t>
        </is>
      </c>
      <c r="B64" s="2" t="inlineStr">
        <is>
          <t>2026-10-16 15:22</t>
        </is>
      </c>
      <c r="C64" s="3" t="inlineStr">
        <is>
          <t>Auxiliar de Soporte Técnico – Equipos y Dispositivos Móviles</t>
        </is>
      </c>
      <c r="D64" s="3" t="inlineStr">
        <is>
          <t>Nases EST</t>
        </is>
      </c>
      <c r="E64" s="4" t="n">
        <v>0.73</v>
      </c>
      <c r="F64" s="2" t="inlineStr">
        <is>
          <t>Remoto</t>
        </is>
      </c>
      <c r="G64" s="5">
        <f>HYPERLINK("https://co.computrabajo.com/ofertas-de-trabajo/oferta-de-trabajo-de-auxiliar-de-soporte-tecnico-equipos-y-dispositivos-moviles-multinacional-de-consumo-masivo-en-bogota-dc-4F6AAF66DBFB586861373E686DCF3405", "Ver Vacante")</f>
        <v/>
      </c>
      <c r="H64" s="6" t="inlineStr">
        <is>
          <t>$ 2.573.000,00 (Mensual)</t>
        </is>
      </c>
      <c r="I64" s="3" t="inlineStr">
        <is>
          <t>[Afinidad: 73/100 - Alta Afinidad]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d391690839cf39de</t>
        </is>
      </c>
      <c r="B65" s="2" t="inlineStr">
        <is>
          <t>2026-10-16 15:22</t>
        </is>
      </c>
      <c r="C65" s="3" t="inlineStr">
        <is>
          <t>Analista de Soporte Técnico y Mesa de Ayuda TI</t>
        </is>
      </c>
      <c r="D65" s="3" t="inlineStr">
        <is>
          <t>E-GLOBAL S.A.</t>
        </is>
      </c>
      <c r="E65" s="4" t="n">
        <v>0.73</v>
      </c>
      <c r="F65" s="2" t="inlineStr">
        <is>
          <t>Remoto</t>
        </is>
      </c>
      <c r="G65" s="5">
        <f>HYPERLINK("https://co.computrabajo.com/ofertas-de-trabajo/oferta-de-trabajo-de-analista-de-soporte-tecnico-y-mesa-de-ayuda-ti-en-medellin-1DDB06FA36E0C3B361373E686DCF3405", "Ver Vacante")</f>
        <v/>
      </c>
      <c r="H65" s="6" t="inlineStr">
        <is>
          <t>$ 2.101.215,00 (Mensual)</t>
        </is>
      </c>
      <c r="I65" s="3" t="inlineStr">
        <is>
          <t>[Afinidad: 73/100 - Alta Afinidad] Alta coincidencia técnica en Soporte Técnico de Sistemas, Hardware y Redes.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92dec0af0aaf5cbf</t>
        </is>
      </c>
      <c r="B66" s="2" t="inlineStr">
        <is>
          <t>2026-10-16 15:22</t>
        </is>
      </c>
      <c r="C66" s="3" t="inlineStr">
        <is>
          <t>Agente de soporte técnico</t>
        </is>
      </c>
      <c r="D66" s="3" t="inlineStr">
        <is>
          <t>SUMMAR PRODUCTIVIDAD S.A.S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HYPERLINK("https://www.elempleo.com/co/ofertas-trabajo/agente-de-soporte-tecnico-1886779162", "Ver Vacante")</f>
        <v/>
      </c>
      <c r="H66" s="6" t="inlineStr"/>
      <c r="I66" s="3" t="inlineStr">
        <is>
          <t>[Afinidad: 73/100 - Alta Afinidad] Alta coincidencia técnica en Soporte Técnico de Sistemas, Hardware y Redes.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ae736277661dc78b</t>
        </is>
      </c>
      <c r="B67" s="2" t="inlineStr">
        <is>
          <t>2026-09-24 15:23</t>
        </is>
      </c>
      <c r="C67" s="3" t="inlineStr">
        <is>
          <t>Analista de redes cisco</t>
        </is>
      </c>
      <c r="D67" s="3" t="inlineStr">
        <is>
          <t>ATCG DE COLOMBIA S.A.S</t>
        </is>
      </c>
      <c r="E67" s="7" t="n">
        <v>0.68</v>
      </c>
      <c r="F67" s="2" t="inlineStr">
        <is>
          <t>Remoto</t>
        </is>
      </c>
      <c r="G67" s="5">
        <f>HYPERLINK("https://www.elempleo.com/co/ofertas-trabajo/analista-de-redes-cisco-1886760389", "Ver Vacante")</f>
        <v/>
      </c>
      <c r="H67" s="6" t="inlineStr"/>
      <c r="I67" s="3" t="inlineStr">
        <is>
          <t>[Afinidad: 68/100 - Afinidad Moderada] Alta coincidencia técnica en Soporte Técnico de Sistemas, Hardware y Redes.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e29676fac3409ad6</t>
        </is>
      </c>
      <c r="B68" s="2" t="inlineStr">
        <is>
          <t>2026-09-24 15:23</t>
        </is>
      </c>
      <c r="C68" s="3" t="inlineStr">
        <is>
          <t>Analista de redes y telecomunicaciones - nivel 1</t>
        </is>
      </c>
      <c r="D68" s="3" t="inlineStr">
        <is>
          <t>MANPOWER</t>
        </is>
      </c>
      <c r="E68" s="7" t="n">
        <v>0.68</v>
      </c>
      <c r="F68" s="2" t="inlineStr">
        <is>
          <t>Remoto</t>
        </is>
      </c>
      <c r="G68" s="5">
        <f>HYPERLINK("https://www.elempleo.com/co/ofertas-trabajo/analista-de-redes-y-telecomunicaciones-nivel-1-1886760565", "Ver Vacante")</f>
        <v/>
      </c>
      <c r="H68" s="6" t="inlineStr"/>
      <c r="I68" s="3" t="inlineStr">
        <is>
          <t>[Afinidad: 68/100 - Afinidad Moderada] Alta coincidencia técnica en Soporte Técnico de Sistemas, Hardware y Redes.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baf000f38713dc11</t>
        </is>
      </c>
      <c r="B69" s="2" t="inlineStr">
        <is>
          <t>2026-10-07 17:50</t>
        </is>
      </c>
      <c r="C69" s="3" t="inlineStr">
        <is>
          <t>Helpdesk / Analista soporte TI / trilingüe</t>
        </is>
      </c>
      <c r="D69" s="3" t="inlineStr">
        <is>
          <t>Confidential</t>
        </is>
      </c>
      <c r="E69" s="7" t="n">
        <v>0.66</v>
      </c>
      <c r="F69" s="2" t="inlineStr">
        <is>
          <t>Remoto</t>
        </is>
      </c>
      <c r="G69" s="5">
        <f>HYPERLINK("https://co.linkedin.com/jobs/view/helpdesk-analista-soporte-ti-triling%C3%BCe-ingles-portugu%C3%A9s-at-confidential-4469673592", "Ver Vacante")</f>
        <v/>
      </c>
      <c r="H69" s="6" t="inlineStr"/>
      <c r="I69" s="3" t="inlineStr">
        <is>
          <t>[Afinidad: 66/100 - Afinidad Moderada] Alta coincidencia técnica en Soporte Técnico de Sistemas, Hardware y Redes.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422a27df3967ecbb</t>
        </is>
      </c>
      <c r="B70" s="2" t="inlineStr">
        <is>
          <t>2026-10-14 15:52</t>
        </is>
      </c>
      <c r="C70" s="3" t="inlineStr">
        <is>
          <t>Técnico de sistemas y soporte ti</t>
        </is>
      </c>
      <c r="D70" s="3" t="inlineStr">
        <is>
          <t>AGENCIA DE EMPLEO CAFAM</t>
        </is>
      </c>
      <c r="E70" s="7" t="n">
        <v>0.66</v>
      </c>
      <c r="F70" s="2" t="inlineStr">
        <is>
          <t>Remoto</t>
        </is>
      </c>
      <c r="G70" s="5">
        <f>HYPERLINK("https://www.elempleo.com/co/ofertas-trabajo/tecnico-de-sistemas-y-soporte-ti-1886780022", "Ver Vacante")</f>
        <v/>
      </c>
      <c r="H70" s="6" t="inlineStr"/>
      <c r="I70" s="3" t="inlineStr">
        <is>
          <t>[Afinidad: 66/100 - Afinidad Moderada] Alta coincidencia técnica en Soporte Técnico de Sistemas, Hardware y Redes.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73882c81e04abc7e</t>
        </is>
      </c>
      <c r="B71" s="2" t="inlineStr">
        <is>
          <t>2026-10-05 19:45</t>
        </is>
      </c>
      <c r="C71" s="3" t="inlineStr">
        <is>
          <t>Soporte L1 Junior</t>
        </is>
      </c>
      <c r="D71" s="3" t="inlineStr">
        <is>
          <t>Hublance</t>
        </is>
      </c>
      <c r="E71" s="7" t="n">
        <v>0.6</v>
      </c>
      <c r="F71" s="2" t="inlineStr">
        <is>
          <t>Remoto</t>
        </is>
      </c>
      <c r="G71" s="5">
        <f>HYPERLINK("https://co.linkedin.com/jobs/view/soporte-l1-junior-at-hublance-4475841269", "Ver Vacante")</f>
        <v/>
      </c>
      <c r="H71" s="6" t="inlineStr"/>
      <c r="I71" s="3" t="inlineStr">
        <is>
          <t>[Afinidad: 60/100 -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8d7f304ffb8625b5</t>
        </is>
      </c>
      <c r="B72" s="2" t="inlineStr">
        <is>
          <t>2026-09-25 15:54</t>
        </is>
      </c>
      <c r="C72" s="3" t="inlineStr">
        <is>
          <t>Auxiliar de sistemas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HYPERLINK("https://www.elempleo.com/co/ofertas-trabajo/auxiliar-de-sistemas-1886751888",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3b5b26f92a305c0c</t>
        </is>
      </c>
      <c r="B73" s="2" t="inlineStr">
        <is>
          <t>2026-09-25 15:54</t>
        </is>
      </c>
      <c r="C73" s="3" t="inlineStr">
        <is>
          <t>Auxiliar de sistemas</t>
        </is>
      </c>
      <c r="D73" s="3" t="inlineStr">
        <is>
          <t>Confidencial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HYPERLINK("https://www.elempleo.com/co/ofertas-trabajo/auxiliar-de-sistemas-1886749497",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e760bcd88d90fbbe</t>
        </is>
      </c>
      <c r="B74" s="2" t="inlineStr">
        <is>
          <t>2026-09-25 15:54</t>
        </is>
      </c>
      <c r="C74" s="3" t="inlineStr">
        <is>
          <t>Agente de mesa de ayuda</t>
        </is>
      </c>
      <c r="D74" s="3" t="inlineStr">
        <is>
          <t>SELCOMP INGENIERÍA SAS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HYPERLINK("https://www.elempleo.com/co/ofertas-trabajo/agente-de-mesa-de-ayuda-1886758623", "Ver Vacante")</f>
        <v/>
      </c>
      <c r="H74" s="6" t="inlineStr"/>
      <c r="I74" s="3" t="inlineStr">
        <is>
          <t>[Afinidad: 58/100 - Afinidad Moderada] Afinidad moderada en áreas técnicas del cargo (Técnico en Sistemas / Auxiliar de Soporte TI).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86dcab5c5d802693</t>
        </is>
      </c>
      <c r="B75" s="2" t="inlineStr">
        <is>
          <t>2026-09-25 15:54</t>
        </is>
      </c>
      <c r="C75" s="3" t="inlineStr">
        <is>
          <t>Analista mesa de ayuda para tunja</t>
        </is>
      </c>
      <c r="D75" s="3" t="inlineStr">
        <is>
          <t>Gestión de Seguridad Electrónica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HYPERLINK("https://www.elempleo.com/co/ofertas-trabajo/analista-mesa-de-ayuda-para-tunja-1886766955",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55fdaa0983ef9124</t>
        </is>
      </c>
      <c r="B76" s="2" t="inlineStr">
        <is>
          <t>2026-09-25 15:54</t>
        </is>
      </c>
      <c r="C76" s="3" t="inlineStr">
        <is>
          <t>Lider técnico con itil practice manager</t>
        </is>
      </c>
      <c r="D76" s="3" t="inlineStr">
        <is>
          <t>Sinergy &amp; Lowells</t>
        </is>
      </c>
      <c r="E76" s="7" t="n">
        <v>0.58</v>
      </c>
      <c r="F76" s="2" t="inlineStr">
        <is>
          <t>Remoto</t>
        </is>
      </c>
      <c r="G76" s="5">
        <f>HYPERLINK("https://www.elempleo.com/co/ofertas-trabajo/lider-tecnico-con-itil-practice-manager-1886753953", "Ver Vacante")</f>
        <v/>
      </c>
      <c r="H76" s="6" t="inlineStr"/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a1ca7bc58cd48fad</t>
        </is>
      </c>
      <c r="B77" s="2" t="inlineStr">
        <is>
          <t>2026-09-25 15:54</t>
        </is>
      </c>
      <c r="C77" s="3" t="inlineStr">
        <is>
          <t>Tecnico de mesa de ayuda/mujeres contratacion inmediata</t>
        </is>
      </c>
      <c r="D77" s="3" t="inlineStr">
        <is>
          <t>Confidencial</t>
        </is>
      </c>
      <c r="E77" s="7" t="n">
        <v>0.58</v>
      </c>
      <c r="F77" s="2" t="inlineStr">
        <is>
          <t>Remoto</t>
        </is>
      </c>
      <c r="G77" s="5">
        <f>HYPERLINK("https://www.elempleo.com/co/ofertas-trabajo/tecnico-de-mesa-de-ayuda-mujeres-contratacion-inmediata-1886770931", "Ver Vacante")</f>
        <v/>
      </c>
      <c r="H77" s="6" t="inlineStr"/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e28aba5df8a2d3ae</t>
        </is>
      </c>
      <c r="B78" s="2" t="inlineStr">
        <is>
          <t>2026-09-25 15:54</t>
        </is>
      </c>
      <c r="C78" s="3" t="inlineStr">
        <is>
          <t>Tecnico de mesa de ayuda/mujeres contratacion inmediata</t>
        </is>
      </c>
      <c r="D78" s="3" t="inlineStr">
        <is>
          <t>Confidencial</t>
        </is>
      </c>
      <c r="E78" s="7" t="n">
        <v>0.58</v>
      </c>
      <c r="F78" s="2" t="inlineStr">
        <is>
          <t>Remoto</t>
        </is>
      </c>
      <c r="G78" s="5">
        <f>HYPERLINK("https://www.elempleo.com/co/ofertas-trabajo/tecnico-de-mesa-de-ayuda-mujeres-contratacion-inmediata-1886769701", "Ver Vacante")</f>
        <v/>
      </c>
      <c r="H78" s="6" t="inlineStr"/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9326784c1a2726fb</t>
        </is>
      </c>
      <c r="B79" s="2" t="inlineStr">
        <is>
          <t>2026-09-25 15:54</t>
        </is>
      </c>
      <c r="C79" s="3" t="inlineStr">
        <is>
          <t>Técnico de soporte y mesa de ayuda / medellín</t>
        </is>
      </c>
      <c r="D79" s="3" t="inlineStr">
        <is>
          <t>Colsof S.A.S</t>
        </is>
      </c>
      <c r="E79" s="7" t="n">
        <v>0.58</v>
      </c>
      <c r="F79" s="2" t="inlineStr">
        <is>
          <t>Remoto</t>
        </is>
      </c>
      <c r="G79" s="5">
        <f>HYPERLINK("https://www.elempleo.com/co/ofertas-trabajo/tecnico-de-soporte-y-mesa-de-ayuda-medellin-1886738118", "Ver Vacante")</f>
        <v/>
      </c>
      <c r="H79" s="6" t="inlineStr"/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b67dc9a9be4a1a6f</t>
        </is>
      </c>
      <c r="B80" s="2" t="inlineStr">
        <is>
          <t>2026-09-25 15:54</t>
        </is>
      </c>
      <c r="C80" s="3" t="inlineStr">
        <is>
          <t>Service desk agent</t>
        </is>
      </c>
      <c r="D80" s="3" t="inlineStr">
        <is>
          <t>Confidencial</t>
        </is>
      </c>
      <c r="E80" s="7" t="n">
        <v>0.58</v>
      </c>
      <c r="F80" s="2" t="inlineStr">
        <is>
          <t>Remoto</t>
        </is>
      </c>
      <c r="G80" s="5">
        <f>HYPERLINK("https://www.elempleo.com/co/ofertas-trabajo/service-desk-agent-soporte-tecnico-nivel-1-1886755112", "Ver Vacante")</f>
        <v/>
      </c>
      <c r="H80" s="6" t="inlineStr"/>
      <c r="I80" s="3" t="inlineStr">
        <is>
          <t>[Afinidad: 58/100 - Afinidad Moderada] Alta coincidencia técnica en Soporte Técnico de Sistemas, Hardware y Redes.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9c65f710f43158b7</t>
        </is>
      </c>
      <c r="B81" s="2" t="inlineStr">
        <is>
          <t>2026-09-25 15:54</t>
        </is>
      </c>
      <c r="C81" s="3" t="inlineStr">
        <is>
          <t>Tecnico de instalaciones cableado de redes - licencia conte</t>
        </is>
      </c>
      <c r="D81" s="3" t="inlineStr">
        <is>
          <t>Confidencial</t>
        </is>
      </c>
      <c r="E81" s="7" t="n">
        <v>0.58</v>
      </c>
      <c r="F81" s="2" t="inlineStr">
        <is>
          <t>Remoto</t>
        </is>
      </c>
      <c r="G81" s="5">
        <f>HYPERLINK("https://www.elempleo.com/co/ofertas-trabajo/tecnico-de-instalaciones-cableado-de-redes-licencia-conte-1886749397",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a95003a0b1fc3d77</t>
        </is>
      </c>
      <c r="B82" s="2" t="inlineStr">
        <is>
          <t>2026-09-27 15:41</t>
        </is>
      </c>
      <c r="C82" s="3" t="inlineStr">
        <is>
          <t>Técnico Soporte Nivel 1 Con ITIL</t>
        </is>
      </c>
      <c r="D82" s="3" t="inlineStr">
        <is>
          <t>Importante empresa del sector de tecnología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HYPERLINK("https://co.computrabajo.com/ofertas-de-trabajo/oferta-de-trabajo-de-tecnico-soporte-nivel-1-con-itil-en-bogota-dc-59E13FA64EF5843C61373E686DCF3405", "Ver Vacante")</f>
        <v/>
      </c>
      <c r="H82" s="6" t="inlineStr">
        <is>
          <t>$ 1.750.905,00 (Mensual)</t>
        </is>
      </c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96391fd564d83616</t>
        </is>
      </c>
      <c r="B83" s="2" t="inlineStr">
        <is>
          <t>2026-09-27 15:41</t>
        </is>
      </c>
      <c r="C83" s="3" t="inlineStr">
        <is>
          <t>Tecnico de soporte IT con Moto</t>
        </is>
      </c>
      <c r="D83" s="3" t="inlineStr">
        <is>
          <t>Los Hornitos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HYPERLINK("https://co.computrabajo.com/ofertas-de-trabajo/oferta-de-trabajo-de-tecnico-de-soporte-it-con-moto-empresa-de-alimentos-en-bogota-dc-599938D46A6F4A8F61373E686DCF3405", "Ver Vacante")</f>
        <v/>
      </c>
      <c r="H83" s="6" t="inlineStr">
        <is>
          <t>$ 2.125.947,00 (Mensual)</t>
        </is>
      </c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b4f0b8c16fe5543e</t>
        </is>
      </c>
      <c r="B84" s="2" t="inlineStr">
        <is>
          <t>2026-09-27 15:41</t>
        </is>
      </c>
      <c r="C84" s="3" t="inlineStr">
        <is>
          <t>Auxiliar de Sistemas</t>
        </is>
      </c>
      <c r="D84" s="3" t="inlineStr">
        <is>
          <t>ELIS COLOMBIA SAS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HYPERLINK("https://co.computrabajo.com/ofertas-de-trabajo/oferta-de-trabajo-de-auxiliar-de-sistemas-en-bogota-dc-48C2A0A3B050945661373E686DCF3405", "Ver Vacante")</f>
        <v/>
      </c>
      <c r="H84" s="6" t="inlineStr">
        <is>
          <t>$ 2.000.000,00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7e4b4e4f136a5e31</t>
        </is>
      </c>
      <c r="B85" s="2" t="inlineStr">
        <is>
          <t>2026-09-27 15:41</t>
        </is>
      </c>
      <c r="C85" s="3" t="inlineStr">
        <is>
          <t>Agente Mesa de Ayuda</t>
        </is>
      </c>
      <c r="D85" s="3" t="inlineStr">
        <is>
          <t>Importante empresa del sector</t>
        </is>
      </c>
      <c r="E85" s="7" t="n">
        <v>0.58</v>
      </c>
      <c r="F85" s="2" t="inlineStr">
        <is>
          <t>Remoto</t>
        </is>
      </c>
      <c r="G85" s="5">
        <f>HYPERLINK("https://co.computrabajo.com/ofertas-de-trabajo/oferta-de-trabajo-de-agente-mesa-de-ayuda-en-bogota-dc-E39FE355E02E578761373E686DCF3405", "Ver Vacante")</f>
        <v/>
      </c>
      <c r="H85" s="6" t="inlineStr">
        <is>
          <t>$ 2.000.000,00 (Mensual)</t>
        </is>
      </c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0ef2cd7667600919</t>
        </is>
      </c>
      <c r="B86" s="2" t="inlineStr">
        <is>
          <t>2026-09-27 15:41</t>
        </is>
      </c>
      <c r="C86" s="3" t="inlineStr">
        <is>
          <t>Técnico de Soporte TI Regional</t>
        </is>
      </c>
      <c r="D86" s="3" t="inlineStr">
        <is>
          <t>POLICOMP COLOMBIA SAS</t>
        </is>
      </c>
      <c r="E86" s="7" t="n">
        <v>0.58</v>
      </c>
      <c r="F86" s="2" t="inlineStr">
        <is>
          <t>Remoto</t>
        </is>
      </c>
      <c r="G86" s="5">
        <f>HYPERLINK("https://co.computrabajo.com/ofertas-de-trabajo/oferta-de-trabajo-de-tecnico-de-soporte-ti-regional-en-bogota-dc-ACF045C94E41CCDE61373E686DCF3405",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7784997bda962255</t>
        </is>
      </c>
      <c r="B87" s="2" t="inlineStr">
        <is>
          <t>2026-09-27 15:41</t>
        </is>
      </c>
      <c r="C87" s="3" t="inlineStr">
        <is>
          <t>Técnico de Soporte TI On Demand/ por horas</t>
        </is>
      </c>
      <c r="D87" s="3" t="inlineStr">
        <is>
          <t>POLICOMP COLOMBIA SAS</t>
        </is>
      </c>
      <c r="E87" s="7" t="n">
        <v>0.58</v>
      </c>
      <c r="F87" s="2" t="inlineStr">
        <is>
          <t>Remoto</t>
        </is>
      </c>
      <c r="G87" s="5">
        <f>HYPERLINK("https://co.computrabajo.com/ofertas-de-trabajo/oferta-de-trabajo-de-tecnico-de-soporte-ti-on-demand-por-horas-en-bogota-dc-C2338FA0172D59A561373E686DCF3405",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29d0fe2e42e678f7</t>
        </is>
      </c>
      <c r="B88" s="2" t="inlineStr">
        <is>
          <t>2026-09-27 15:41</t>
        </is>
      </c>
      <c r="C88" s="3" t="inlineStr">
        <is>
          <t>Técnico mantenimiento correctivo impresoras</t>
        </is>
      </c>
      <c r="D88" s="3" t="inlineStr">
        <is>
          <t>Multinacional de Impresión</t>
        </is>
      </c>
      <c r="E88" s="7" t="n">
        <v>0.58</v>
      </c>
      <c r="F88" s="2" t="inlineStr">
        <is>
          <t>Remoto</t>
        </is>
      </c>
      <c r="G88" s="5">
        <f>HYPERLINK("https://co.computrabajo.com/ofertas-de-trabajo/oferta-de-trabajo-de-tecnico-mantenimiento-correctivo-impresoras-en-guarne-BC0E775C0F25B27D61373E686DCF3405", "Ver Vacante")</f>
        <v/>
      </c>
      <c r="H88" s="6" t="inlineStr">
        <is>
          <t>$ 1.800.000,00 (Mensual)</t>
        </is>
      </c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98c9ab11f5b1eace</t>
        </is>
      </c>
      <c r="B89" s="2" t="inlineStr">
        <is>
          <t>2026-09-28 18:36</t>
        </is>
      </c>
      <c r="C89" s="3" t="inlineStr">
        <is>
          <t>Auxiliar de sistemas</t>
        </is>
      </c>
      <c r="D89" s="3" t="inlineStr">
        <is>
          <t>Importante empresa del sector</t>
        </is>
      </c>
      <c r="E89" s="7" t="n">
        <v>0.58</v>
      </c>
      <c r="F89" s="2" t="inlineStr">
        <is>
          <t>Remoto</t>
        </is>
      </c>
      <c r="G89" s="5">
        <f>HYPERLINK("https://co.computrabajo.com/ofertas-de-trabajo/oferta-de-trabajo-de-auxiliar-de-sistemas-persona-con-discapacidad-remota-en-bogota-dc-5F2A812D014E159B61373E686DCF3405", "Ver Vacante")</f>
        <v/>
      </c>
      <c r="H89" s="6" t="inlineStr">
        <is>
          <t>$ 1.750.905,00 (Mensual)</t>
        </is>
      </c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58133ddc4da9c68e</t>
        </is>
      </c>
      <c r="B90" s="2" t="inlineStr">
        <is>
          <t>2026-09-28 18:36</t>
        </is>
      </c>
      <c r="C90" s="3" t="inlineStr">
        <is>
          <t>Auxiliar de sistemas</t>
        </is>
      </c>
      <c r="D90" s="3" t="inlineStr">
        <is>
          <t>Importante empresa del sector</t>
        </is>
      </c>
      <c r="E90" s="7" t="n">
        <v>0.58</v>
      </c>
      <c r="F90" s="2" t="inlineStr">
        <is>
          <t>Remoto</t>
        </is>
      </c>
      <c r="G90" s="5">
        <f>HYPERLINK("https://co.computrabajo.com/ofertas-de-trabajo/oferta-de-trabajo-de-auxiliar-de-sistemas-persona-con-discapacidad-remota-en-bogota-dc-A00C07C9CC9A494B61373E686DCF3405", "Ver Vacante")</f>
        <v/>
      </c>
      <c r="H90" s="6" t="inlineStr">
        <is>
          <t>$ 1.750.905,00 (Mensual)</t>
        </is>
      </c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aed3420a4cfdc248</t>
        </is>
      </c>
      <c r="B91" s="2" t="inlineStr">
        <is>
          <t>2026-09-28 18:36</t>
        </is>
      </c>
      <c r="C91" s="3" t="inlineStr">
        <is>
          <t>Consultor de servicios/ mesa de ayuda nómina y erp software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HYPERLINK("https://www.elempleo.com/co/ofertas-trabajo/consultor-de-servicios-mesa-de-ayuda-nomina-y-erp-software-inclusivo-1886716126",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2b8357189ff315da</t>
        </is>
      </c>
      <c r="B92" s="2" t="inlineStr">
        <is>
          <t>2026-09-29 17:00</t>
        </is>
      </c>
      <c r="C92" s="3" t="inlineStr">
        <is>
          <t>Auxiliar de sistemas</t>
        </is>
      </c>
      <c r="D92" s="3" t="inlineStr">
        <is>
          <t>DAVITA SAS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HYPERLINK("https://www.elempleo.com/co/ofertas-trabajo/auxiliar-de-sistemas-1886758163",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a87934e7643b2c1c</t>
        </is>
      </c>
      <c r="B93" s="2" t="inlineStr">
        <is>
          <t>2026-09-29 17:00</t>
        </is>
      </c>
      <c r="C93" s="3" t="inlineStr">
        <is>
          <t>Tecnico de instalaciones cableado de redes - licencia conte cali</t>
        </is>
      </c>
      <c r="D93" s="3" t="inlineStr">
        <is>
          <t>Confidencial</t>
        </is>
      </c>
      <c r="E93" s="7" t="n">
        <v>0.58</v>
      </c>
      <c r="F93" s="2" t="inlineStr">
        <is>
          <t>Remoto</t>
        </is>
      </c>
      <c r="G93" s="5">
        <f>HYPERLINK("https://www.elempleo.com/co/ofertas-trabajo/tecnico-de-instalaciones-cableado-de-redes-licencia-conte-cali-1886759847",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10b4265e3ad11d81</t>
        </is>
      </c>
      <c r="B94" s="2" t="inlineStr">
        <is>
          <t>2026-09-29 17:00</t>
        </is>
      </c>
      <c r="C94" s="3" t="inlineStr">
        <is>
          <t>Information Technology Help Desk Support</t>
        </is>
      </c>
      <c r="D94" s="3" t="inlineStr">
        <is>
          <t>Booth</t>
        </is>
      </c>
      <c r="E94" s="7" t="n">
        <v>0.58</v>
      </c>
      <c r="F94" s="2" t="inlineStr">
        <is>
          <t>Remoto</t>
        </is>
      </c>
      <c r="G94" s="5">
        <f>HYPERLINK("https://co.linkedin.com/jobs/view/information-technology-help-desk-support-at-booth-4471203962",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ff69ae85c8697a37</t>
        </is>
      </c>
      <c r="B95" s="2" t="inlineStr">
        <is>
          <t>2026-09-30 16:49</t>
        </is>
      </c>
      <c r="C95" s="3" t="inlineStr">
        <is>
          <t>Técnico de soporte ti - bogota</t>
        </is>
      </c>
      <c r="D95" s="3" t="inlineStr">
        <is>
          <t>Confidencial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HYPERLINK("https://www.elempleo.com/co/ofertas-trabajo/tecnico-de-soporte-ti-bogota-1886774059",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bbacf7d69ab9084e</t>
        </is>
      </c>
      <c r="B96" s="2" t="inlineStr">
        <is>
          <t>2026-09-30 16:49</t>
        </is>
      </c>
      <c r="C96" s="3" t="inlineStr">
        <is>
          <t>IT Helpdesk Analyst</t>
        </is>
      </c>
      <c r="D96" s="3" t="inlineStr">
        <is>
          <t>Power Digital Marketing</t>
        </is>
      </c>
      <c r="E96" s="7" t="n">
        <v>0.58</v>
      </c>
      <c r="F96" s="2" t="inlineStr">
        <is>
          <t>Remoto</t>
        </is>
      </c>
      <c r="G96" s="5">
        <f>HYPERLINK("https://co.linkedin.com/jobs/view/it-helpdesk-analyst-at-power-digital-marketing-4472601999",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bb848f474ff4b611</t>
        </is>
      </c>
      <c r="B97" s="2" t="inlineStr">
        <is>
          <t>2026-10-01 17:26</t>
        </is>
      </c>
      <c r="C97" s="3" t="inlineStr">
        <is>
          <t>Técnico de soporte ti - bogota</t>
        </is>
      </c>
      <c r="D97" s="3" t="inlineStr">
        <is>
          <t>Confidencial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HYPERLINK("https://www.elempleo.com/co/ofertas-trabajo/tecnico-de-soporte-ti-bogota-1886772292",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b44a1c6cfb004ca8</t>
        </is>
      </c>
      <c r="B98" s="2" t="inlineStr">
        <is>
          <t>2026-10-01 17:26</t>
        </is>
      </c>
      <c r="C98" s="3" t="inlineStr">
        <is>
          <t>Soporte ti nivel 2 - bogotá</t>
        </is>
      </c>
      <c r="D98" s="3" t="inlineStr">
        <is>
          <t>Confidencial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HYPERLINK("https://www.elempleo.com/co/ofertas-trabajo/soporte-ti-nivel-2-bogota-1886774821",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fb0ad2b513afb97c</t>
        </is>
      </c>
      <c r="B99" s="2" t="inlineStr">
        <is>
          <t>2026-10-01 17:26</t>
        </is>
      </c>
      <c r="C99" s="3" t="inlineStr">
        <is>
          <t>IT Help Desk Support Specialist</t>
        </is>
      </c>
      <c r="D99" s="3" t="inlineStr">
        <is>
          <t>Talento</t>
        </is>
      </c>
      <c r="E99" s="7" t="n">
        <v>0.58</v>
      </c>
      <c r="F99" s="2" t="inlineStr">
        <is>
          <t>Remoto</t>
        </is>
      </c>
      <c r="G99" s="5">
        <f>HYPERLINK("https://co.linkedin.com/jobs/view/it-help-desk-support-specialist-tier-1-at-talento-4473960480",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0b2067d6ae488f4c</t>
        </is>
      </c>
      <c r="B100" s="2" t="inlineStr">
        <is>
          <t>2026-10-02 16:39</t>
        </is>
      </c>
      <c r="C100" s="3" t="inlineStr">
        <is>
          <t>Help Desk Technician level 1</t>
        </is>
      </c>
      <c r="D100" s="3" t="inlineStr">
        <is>
          <t>Solvo Global</t>
        </is>
      </c>
      <c r="E100" s="7" t="n">
        <v>0.58</v>
      </c>
      <c r="F100" s="2" t="inlineStr">
        <is>
          <t>Remoto</t>
        </is>
      </c>
      <c r="G100" s="5">
        <f>HYPERLINK("https://co.linkedin.com/jobs/view/help-desk-technician-level-1-at-solvo-global-4472590892",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07acc222a3ca2ef1</t>
        </is>
      </c>
      <c r="B101" s="2" t="inlineStr">
        <is>
          <t>2026-10-03 15:12</t>
        </is>
      </c>
      <c r="C101" s="3" t="inlineStr">
        <is>
          <t>Analista mesa de ayuda funza temporal 6 meses</t>
        </is>
      </c>
      <c r="D101" s="3" t="inlineStr">
        <is>
          <t>Axity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HYPERLINK("https://www.elempleo.com/co/ofertas-trabajo/analista-mesa-de-ayuda-funza-temporal-6-meses-1886774524",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5ec0ea33876ba2b5</t>
        </is>
      </c>
      <c r="B102" s="2" t="inlineStr">
        <is>
          <t>2026-10-05 19:45</t>
        </is>
      </c>
      <c r="C102" s="3" t="inlineStr">
        <is>
          <t>Help desk analyst l1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HYPERLINK("https://www.elempleo.com/co/ofertas-trabajo/help-desk-analyst-l1-medellin-1886776156",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e8bdf2094d1c9817</t>
        </is>
      </c>
      <c r="B103" s="2" t="inlineStr">
        <is>
          <t>2026-10-05 19:45</t>
        </is>
      </c>
      <c r="C103" s="3" t="inlineStr">
        <is>
          <t>Administrador de herramienta de gestión de mesa de ayuda-</t>
        </is>
      </c>
      <c r="D103" s="3" t="inlineStr">
        <is>
          <t>SELCOMP INGENIERÍA SAS</t>
        </is>
      </c>
      <c r="E103" s="7" t="n">
        <v>0.58</v>
      </c>
      <c r="F103" s="2" t="inlineStr">
        <is>
          <t>Remoto</t>
        </is>
      </c>
      <c r="G103" s="5">
        <f>HYPERLINK("https://www.elempleo.com/co/ofertas-trabajo/administrador-de-herramienta-de-gestion-de-mesa-de-ayuda-1886776286",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6e9a077b42879470</t>
        </is>
      </c>
      <c r="B104" s="2" t="inlineStr">
        <is>
          <t>2026-10-05 19:45</t>
        </is>
      </c>
      <c r="C104" s="3" t="inlineStr">
        <is>
          <t>Analista de soporte de aplicaciones nivel 3</t>
        </is>
      </c>
      <c r="D104" s="3" t="inlineStr">
        <is>
          <t>TALYCAP GLOBAL SAS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HYPERLINK("https://www.elempleo.com/co/ofertas-trabajo/analista-de-soporte-de-aplicaciones-nivel-3-1886776104",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447afec244b20f9b</t>
        </is>
      </c>
      <c r="B105" s="2" t="inlineStr">
        <is>
          <t>2026-10-06 17:12</t>
        </is>
      </c>
      <c r="C105" s="3" t="inlineStr">
        <is>
          <t>Técnico de soporte ti - bogota</t>
        </is>
      </c>
      <c r="D105" s="3" t="inlineStr">
        <is>
          <t>Confidencial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HYPERLINK("https://www.elempleo.com/co/ofertas-trabajo/tecnico-de-soporte-ti-bogota-1886775990",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8f14c41f3b443ac0</t>
        </is>
      </c>
      <c r="B106" s="2" t="inlineStr">
        <is>
          <t>2026-10-07 17:50</t>
        </is>
      </c>
      <c r="C106" s="3" t="inlineStr">
        <is>
          <t>Soporte mesa de ayuda</t>
        </is>
      </c>
      <c r="D106" s="3" t="inlineStr">
        <is>
          <t>MANPOWER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HYPERLINK("https://www.elempleo.com/co/ofertas-trabajo/soporte-mesa-de-ayuda-vacaciones-1886776917",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b1a9e03967fff91e</t>
        </is>
      </c>
      <c r="B107" s="2" t="inlineStr">
        <is>
          <t>2026-10-07 17:50</t>
        </is>
      </c>
      <c r="C107" s="3" t="inlineStr">
        <is>
          <t>Tecnólogo de soporte pl - mesa de ayuda</t>
        </is>
      </c>
      <c r="D107" s="3" t="inlineStr">
        <is>
          <t>Positivo S+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HYPERLINK("https://www.elempleo.com/co/ofertas-trabajo/tecnologo-de-soporte-pl-mesa-de-ayuda-1886775546",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eb49981c97933d93</t>
        </is>
      </c>
      <c r="B108" s="2" t="inlineStr">
        <is>
          <t>2026-10-07 17:50</t>
        </is>
      </c>
      <c r="C108" s="3" t="inlineStr">
        <is>
          <t>Tecnico de instalaciones cableado de redes - licencia conte</t>
        </is>
      </c>
      <c r="D108" s="3" t="inlineStr">
        <is>
          <t>Confidencial</t>
        </is>
      </c>
      <c r="E108" s="7" t="n">
        <v>0.58</v>
      </c>
      <c r="F108" s="2" t="inlineStr">
        <is>
          <t>Remoto</t>
        </is>
      </c>
      <c r="G108" s="5">
        <f>HYPERLINK("https://www.elempleo.com/co/ofertas-trabajo/tecnico-de-instalaciones-cableado-de-redes-licencia-conte-1886777333", "Ver Vacante")</f>
        <v/>
      </c>
      <c r="H108" s="6" t="inlineStr"/>
      <c r="I108" s="3" t="inlineStr">
        <is>
          <t>[Afinidad: 58/100 -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d39af22b6e937d28</t>
        </is>
      </c>
      <c r="B109" s="2" t="inlineStr">
        <is>
          <t>2026-10-07 17:50</t>
        </is>
      </c>
      <c r="C109" s="3" t="inlineStr">
        <is>
          <t>Analista Mesa de Ayuda Funza</t>
        </is>
      </c>
      <c r="D109" s="3" t="inlineStr">
        <is>
          <t>axity</t>
        </is>
      </c>
      <c r="E109" s="7" t="n">
        <v>0.58</v>
      </c>
      <c r="F109" s="2" t="inlineStr">
        <is>
          <t>Remoto</t>
        </is>
      </c>
      <c r="G109" s="5">
        <f>HYPERLINK("https://co.linkedin.com/jobs/view/analista-mesa-de-ayuda-funza-at-axity-4471985006", "Ver Vacante")</f>
        <v/>
      </c>
      <c r="H109" s="6" t="inlineStr"/>
      <c r="I109" s="3" t="inlineStr">
        <is>
          <t>[Afinidad: 58/100 - Afinidad Moderada] Afinidad moderada en áreas técnicas del cargo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0904912d51c5cd61</t>
        </is>
      </c>
      <c r="B110" s="2" t="inlineStr">
        <is>
          <t>2026-10-08 17:52</t>
        </is>
      </c>
      <c r="C110" s="3" t="inlineStr">
        <is>
          <t>Analista mesa de ayuda</t>
        </is>
      </c>
      <c r="D110" s="3" t="inlineStr">
        <is>
          <t>Desarrollo de Sistemas y Servicios SAS</t>
        </is>
      </c>
      <c r="E110" s="7" t="n">
        <v>0.58</v>
      </c>
      <c r="F110" s="2" t="inlineStr">
        <is>
          <t>Remoto</t>
        </is>
      </c>
      <c r="G110" s="5">
        <f>HYPERLINK("https://www.elempleo.com/co/ofertas-trabajo/analista-mesa-de-ayuda-1886778032", "Ver Vacante")</f>
        <v/>
      </c>
      <c r="H110" s="6" t="inlineStr"/>
      <c r="I110" s="3" t="inlineStr">
        <is>
          <t>[Afinidad: 58/100 - Afinidad Moderada] Afinidad moderada en áreas técnicas del cargo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c665ada630270dce</t>
        </is>
      </c>
      <c r="B111" s="2" t="inlineStr">
        <is>
          <t>2026-10-09 17:28</t>
        </is>
      </c>
      <c r="C111" s="3" t="inlineStr">
        <is>
          <t>Técnico(a) / tecnólogo(a) / profesional de telecomunicaciones - redes de fibra óptica</t>
        </is>
      </c>
      <c r="D111" s="3" t="inlineStr">
        <is>
          <t>JAHV MC GREGOR S.A.S</t>
        </is>
      </c>
      <c r="E111" s="7" t="n">
        <v>0.58</v>
      </c>
      <c r="F111" s="2" t="inlineStr">
        <is>
          <t>Remoto</t>
        </is>
      </c>
      <c r="G111" s="5">
        <f>HYPERLINK("https://www.elempleo.com/co/ofertas-trabajo/tecnicoa-tecnologoa-profesional-de-telecomunicaciones-redes-de-fibra-optica-1886768691", "Ver Vacante")</f>
        <v/>
      </c>
      <c r="H111" s="6" t="inlineStr"/>
      <c r="I111" s="3" t="inlineStr">
        <is>
          <t>[Afinidad: 58/100 - Afinidad Moderada] Afinidad moderada en áreas técnicas del cargo (Técnico en Sistemas / Auxiliar de Soporte TI).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4e5b3128aa7f8f9b</t>
        </is>
      </c>
      <c r="B112" s="2" t="inlineStr">
        <is>
          <t>2026-10-09 17:28</t>
        </is>
      </c>
      <c r="C112" s="3" t="inlineStr">
        <is>
          <t>Gestor de servicios mesa de ayuda sap</t>
        </is>
      </c>
      <c r="D112" s="3" t="inlineStr">
        <is>
          <t>Confidencial</t>
        </is>
      </c>
      <c r="E112" s="7" t="n">
        <v>0.58</v>
      </c>
      <c r="F112" s="2" t="inlineStr">
        <is>
          <t>Remoto</t>
        </is>
      </c>
      <c r="G112" s="5">
        <f>HYPERLINK("https://www.elempleo.com/co/ofertas-trabajo/gestor-de-servicios-mesa-de-ayuda-sap-1886775732", "Ver Vacante")</f>
        <v/>
      </c>
      <c r="H112" s="6" t="inlineStr"/>
      <c r="I112" s="3" t="inlineStr">
        <is>
          <t>[Afinidad: 58/100 - Afinidad Moderada] Afinidad moderada en áreas técnicas del cargo (Técnico en Sistemas / Auxiliar de Soporte TI).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1c92f7ef9b7af696</t>
        </is>
      </c>
      <c r="B113" s="2" t="inlineStr">
        <is>
          <t>2026-10-09 17:28</t>
        </is>
      </c>
      <c r="C113" s="3" t="inlineStr">
        <is>
          <t>Agente de mesa de ayuda nivel 1</t>
        </is>
      </c>
      <c r="D113" s="3" t="inlineStr">
        <is>
          <t>Confidencial</t>
        </is>
      </c>
      <c r="E113" s="7" t="n">
        <v>0.58</v>
      </c>
      <c r="F113" s="2" t="inlineStr">
        <is>
          <t>Remoto</t>
        </is>
      </c>
      <c r="G113" s="5">
        <f>HYPERLINK("https://www.elempleo.com/co/ofertas-trabajo/agente-de-mesa-de-ayuda-nivel-1-1886778506", "Ver Vacante")</f>
        <v/>
      </c>
      <c r="H113" s="6" t="inlineStr"/>
      <c r="I113" s="3" t="inlineStr">
        <is>
          <t>[Afinidad: 58/100 - Afinidad Moderada] Afinidad moderada en áreas técnicas del cargo (Técnico en Sistemas / Auxiliar de Soporte TI).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718ceee355d457ea</t>
        </is>
      </c>
      <c r="B114" s="2" t="inlineStr">
        <is>
          <t>2026-10-10 16:16</t>
        </is>
      </c>
      <c r="C114" s="3" t="inlineStr">
        <is>
          <t>IT Help Desk Support</t>
        </is>
      </c>
      <c r="D114" s="3" t="inlineStr">
        <is>
          <t>Booth</t>
        </is>
      </c>
      <c r="E114" s="7" t="n">
        <v>0.58</v>
      </c>
      <c r="F114" s="2" t="inlineStr">
        <is>
          <t>Remoto</t>
        </is>
      </c>
      <c r="G114" s="5">
        <f>HYPERLINK("https://co.linkedin.com/jobs/view/it-help-desk-support-at-booth-4471203962", "Ver Vacante")</f>
        <v/>
      </c>
      <c r="H114" s="6" t="inlineStr"/>
      <c r="I114" s="3" t="inlineStr">
        <is>
          <t>[Afinidad: 58/100 - Afinidad Moderada] Afinidad moderada en áreas técnicas del cargo (Técnico en Sistemas / Auxiliar de Soporte TI).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925f43273b78f188</t>
        </is>
      </c>
      <c r="B115" s="2" t="inlineStr">
        <is>
          <t>2026-10-12 20:17</t>
        </is>
      </c>
      <c r="C115" s="3" t="inlineStr">
        <is>
          <t>Mesa de ayuda ti - girón</t>
        </is>
      </c>
      <c r="D115" s="3" t="inlineStr">
        <is>
          <t>Confidencial</t>
        </is>
      </c>
      <c r="E115" s="7" t="n">
        <v>0.58</v>
      </c>
      <c r="F115" s="2" t="inlineStr">
        <is>
          <t>Remoto</t>
        </is>
      </c>
      <c r="G115" s="5">
        <f>HYPERLINK("https://www.elempleo.com/co/ofertas-trabajo/mesa-de-ayuda-ti-giron-1886745168", "Ver Vacante")</f>
        <v/>
      </c>
      <c r="H115" s="6" t="inlineStr"/>
      <c r="I115" s="3" t="inlineStr">
        <is>
          <t>[Afinidad: 58/100 - Afinidad Moderada] Afinidad moderada en áreas técnicas del cargo (Técnico en Sistemas / Auxiliar de Soporte TI).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ec0c8875e04f4933</t>
        </is>
      </c>
      <c r="B116" s="2" t="inlineStr">
        <is>
          <t>2026-10-13 18:08</t>
        </is>
      </c>
      <c r="C116" s="3" t="inlineStr">
        <is>
          <t>Analista de mesa de ayuda.</t>
        </is>
      </c>
      <c r="D116" s="3" t="inlineStr">
        <is>
          <t>Softtek Colombia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HYPERLINK("https://www.elempleo.com/co/ofertas-trabajo/analista-de-mesa-de-ayuda-1886754207", "Ver Vacante")</f>
        <v/>
      </c>
      <c r="H116" s="6" t="inlineStr"/>
      <c r="I116" s="3" t="inlineStr">
        <is>
          <t>[Afinidad: 58/100 - Afinidad Moderada] Afinidad moderada en áreas técnicas del cargo (Técnico en Sistemas / Auxiliar de Soporte TI).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87fac63aa714f401</t>
        </is>
      </c>
      <c r="B117" s="2" t="inlineStr">
        <is>
          <t>2026-10-13 18:08</t>
        </is>
      </c>
      <c r="C117" s="3" t="inlineStr">
        <is>
          <t>Agente mesa de ayuda.</t>
        </is>
      </c>
      <c r="D117" s="3" t="inlineStr">
        <is>
          <t>Softtek Colombia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HYPERLINK("https://www.elempleo.com/co/ofertas-trabajo/agente-mesa-de-ayuda-1886753535", "Ver Vacante")</f>
        <v/>
      </c>
      <c r="H117" s="6" t="inlineStr"/>
      <c r="I117" s="3" t="inlineStr">
        <is>
          <t>[Afinidad: 58/100 - Afinidad Moderada] Afinidad moderada en áreas técnicas del cargo (Técnico en Sistemas / Auxiliar de Soporte TI).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dfa7dd88fd24afb4</t>
        </is>
      </c>
      <c r="B118" s="2" t="inlineStr">
        <is>
          <t>2026-10-15 15:40</t>
        </is>
      </c>
      <c r="C118" s="3" t="inlineStr">
        <is>
          <t>Agente mesa de ayuda nivel 1 ingles avanzado</t>
        </is>
      </c>
      <c r="D118" s="3" t="inlineStr">
        <is>
          <t>SUSTS Colombia Ltda.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HYPERLINK("https://www.elempleo.com/co/ofertas-trabajo/agente-mesa-de-ayuda-nivel-1-ingles-avanzado-1886780371", "Ver Vacante")</f>
        <v/>
      </c>
      <c r="H118" s="6" t="inlineStr"/>
      <c r="I118" s="3" t="inlineStr">
        <is>
          <t>[Afinidad: 58/100 - Afinidad Moderada] Afinidad moderada en áreas técnicas del cargo (Técnico en Sistemas / Auxiliar de Soporte TI).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6ec1aeac55104810</t>
        </is>
      </c>
      <c r="B119" s="2" t="inlineStr">
        <is>
          <t>2026-10-16 15:22</t>
        </is>
      </c>
      <c r="C119" s="3" t="inlineStr">
        <is>
          <t>Analista de Mesa de Ayuda</t>
        </is>
      </c>
      <c r="D119" s="3" t="inlineStr">
        <is>
          <t>INSEPET S.A.S</t>
        </is>
      </c>
      <c r="E119" s="7" t="n">
        <v>0.58</v>
      </c>
      <c r="F119" s="2" t="inlineStr">
        <is>
          <t>Remoto</t>
        </is>
      </c>
      <c r="G119" s="5">
        <f>HYPERLINK("https://co.computrabajo.com/ofertas-de-trabajo/oferta-de-trabajo-de-analista-de-mesa-de-ayuda-en-bogota-dc-731E37A9EEFEA71561373E686DCF3405", "Ver Vacante")</f>
        <v/>
      </c>
      <c r="H119" s="6" t="inlineStr">
        <is>
          <t>$ 1.800.000,00 (Mensual)</t>
        </is>
      </c>
      <c r="I119" s="3" t="inlineStr">
        <is>
          <t>[Afinidad: 58/100 - Afinidad Moderada] Afinidad moderada en áreas técnicas del cargo (Técnico en Sistemas / Auxiliar de Soporte TI).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c03a3cc06e28c7bb</t>
        </is>
      </c>
      <c r="B120" s="2" t="inlineStr">
        <is>
          <t>2026-10-16 15:22</t>
        </is>
      </c>
      <c r="C120" s="3" t="inlineStr">
        <is>
          <t>Agente de mesa de ayuda portugues</t>
        </is>
      </c>
      <c r="D120" s="3" t="inlineStr">
        <is>
          <t>COMWARE S.A.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HYPERLINK("https://www.elempleo.com/co/ofertas-trabajo/agente-de-mesa-de-ayuda-portugues-1886781202", "Ver Vacante")</f>
        <v/>
      </c>
      <c r="H120" s="6" t="inlineStr"/>
      <c r="I120" s="3" t="inlineStr">
        <is>
          <t>[Afinidad: 58/100 - Afinidad Moderada] Afinidad moderada en áreas técnicas del cargo (Técnico en Sistemas / Auxiliar de Soporte TI).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2ecdc22edf2ff172</t>
        </is>
      </c>
      <c r="B121" s="2" t="inlineStr">
        <is>
          <t>2026-10-17 14:15</t>
        </is>
      </c>
      <c r="C121" s="3" t="inlineStr">
        <is>
          <t>Agente Mesa de ayuda Portugués</t>
        </is>
      </c>
      <c r="D121" s="3" t="inlineStr">
        <is>
          <t>COMWARE S.A</t>
        </is>
      </c>
      <c r="E121" s="7" t="n">
        <v>0.58</v>
      </c>
      <c r="F121" s="2" t="inlineStr">
        <is>
          <t>Remoto</t>
        </is>
      </c>
      <c r="G121" s="5">
        <f>HYPERLINK("https://co.computrabajo.com/ofertas-de-trabajo/oferta-de-trabajo-de-agente-mesa-de-ayuda-portugues-en-bogota-dc-D31C231B9F8EFFCA61373E686DCF3405", "Ver Vacante")</f>
        <v/>
      </c>
      <c r="H121" s="6" t="inlineStr">
        <is>
          <t>Remoto</t>
        </is>
      </c>
      <c r="I121" s="3" t="inlineStr">
        <is>
          <t>[Afinidad: 58/100 - Afinidad Moderada] Afinidad moderada en áreas técnicas del cargo (Técnico en Sistemas / Auxiliar de Soporte TI).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50c79dfbfd49f52d</t>
        </is>
      </c>
      <c r="B122" s="2" t="inlineStr">
        <is>
          <t>2026-10-02 16:39</t>
        </is>
      </c>
      <c r="C122" s="3" t="inlineStr">
        <is>
          <t>Analista de redes noc 1 telecomunicaciones.</t>
        </is>
      </c>
      <c r="D122" s="3" t="inlineStr">
        <is>
          <t>MANPOWER</t>
        </is>
      </c>
      <c r="E122" s="7" t="n">
        <v>0.53</v>
      </c>
      <c r="F122" s="2" t="inlineStr">
        <is>
          <t>Remoto</t>
        </is>
      </c>
      <c r="G122" s="5">
        <f>HYPERLINK("https://www.elempleo.com/co/ofertas-trabajo/analista-de-redes-noc-1-telecomunicaciones-1886772075", "Ver Vacante")</f>
        <v/>
      </c>
      <c r="H122" s="6" t="inlineStr"/>
      <c r="I122" s="3" t="inlineStr">
        <is>
          <t>[Afinidad: 53/100 - Afinidad Moderada] Afinidad moderada en áreas técnicas del cargo (Técnico en Sistemas / Auxiliar de Soporte TI).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0b0ae49f910109bb</t>
        </is>
      </c>
      <c r="B123" s="2" t="inlineStr">
        <is>
          <t>2026-09-25 15:54</t>
        </is>
      </c>
      <c r="C123" s="3" t="inlineStr">
        <is>
          <t>Ejecutivo Técnico Arancel Junior</t>
        </is>
      </c>
      <c r="D123" s="3" t="inlineStr">
        <is>
          <t>Importante Empresa de Logística y Comercio</t>
        </is>
      </c>
      <c r="E123" s="7" t="n">
        <v>0.5</v>
      </c>
      <c r="F123" s="2" t="inlineStr">
        <is>
          <t>Remoto</t>
        </is>
      </c>
      <c r="G123" s="5">
        <f>HYPERLINK("https://co.computrabajo.com/ofertas-de-trabajo/oferta-de-trabajo-de-ejecutivo-tecnico-arancel-junior-bogota-en-bogota-dc-547866639B487E0161373E686DCF3405", "Ver Vacante")</f>
        <v/>
      </c>
      <c r="H123" s="6" t="inlineStr">
        <is>
          <t>Remoto</t>
        </is>
      </c>
      <c r="I123" s="3" t="inlineStr">
        <is>
          <t>[Afinidad: 50/100 - Afinidad Moderada] Afinidad en rol base (Técnico en Sistemas / Auxiliar de Soporte TI).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582a04b3c639bfa0</t>
        </is>
      </c>
      <c r="B124" s="2" t="inlineStr">
        <is>
          <t>2026-09-30 16:49</t>
        </is>
      </c>
      <c r="C124" s="3" t="inlineStr">
        <is>
          <t>Junior IT Support Specialist</t>
        </is>
      </c>
      <c r="D124" s="3" t="inlineStr">
        <is>
          <t>Touch Support, Inc. &amp; SNF Back Office</t>
        </is>
      </c>
      <c r="E124" s="7" t="n">
        <v>0.5</v>
      </c>
      <c r="F124" s="2" t="inlineStr">
        <is>
          <t>Remoto</t>
        </is>
      </c>
      <c r="G124" s="5">
        <f>HYPERLINK("https://co.linkedin.com/jobs/view/junior-it-support-specialist-at-touch-support-inc-snf-back-office-4472187578", "Ver Vacante")</f>
        <v/>
      </c>
      <c r="H124" s="6" t="inlineStr"/>
      <c r="I124" s="3" t="inlineStr">
        <is>
          <t>[Afinidad: 50/100 - Afinidad Moderada] Afinidad en rol base (Técnico en Sistemas / Auxiliar de Soporte TI).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6e04c4d57d3fc3c7</t>
        </is>
      </c>
      <c r="B125" s="2" t="inlineStr">
        <is>
          <t>2026-10-01 17:26</t>
        </is>
      </c>
      <c r="C125" s="3" t="inlineStr">
        <is>
          <t>Ejecutivo Técnico Arancel Junior</t>
        </is>
      </c>
      <c r="D125" s="3" t="inlineStr">
        <is>
          <t>Importante Empresa de Logística y Comercio</t>
        </is>
      </c>
      <c r="E125" s="7" t="n">
        <v>0.5</v>
      </c>
      <c r="F125" s="2" t="inlineStr">
        <is>
          <t>Remoto</t>
        </is>
      </c>
      <c r="G125" s="5">
        <f>HYPERLINK("https://co.computrabajo.com/ofertas-de-trabajo/oferta-de-trabajo-de-ejecutivo-tecnico-arancel-junior-bogota-en-bogota-dc-8444AB594560844161373E686DCF3405", "Ver Vacante")</f>
        <v/>
      </c>
      <c r="H125" s="6" t="inlineStr">
        <is>
          <t>Remoto</t>
        </is>
      </c>
      <c r="I125" s="3" t="inlineStr">
        <is>
          <t>[Afinidad: 50/100 - Afinidad Moderada] Afinidad en rol base (Técnico en Sistemas / Auxiliar de Soporte TI). Modalidad: 100% Remoto en Colombia confirmado.</t>
        </is>
      </c>
      <c r="J125" s="2" t="inlineStr">
        <is>
          <t>Nueva</t>
        </is>
      </c>
      <c r="K125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2026-10-17T14:15:26Z</dcterms:created>
  <dcterms:modified xmlns:dcterms="http://purl.org/dc/terms/" xmlns:xsi="http://www.w3.org/2001/XMLSchema-instance" xsi:type="dcterms:W3CDTF">2026-10-17T14:15:26Z</dcterms:modified>
</cp:coreProperties>
</file>