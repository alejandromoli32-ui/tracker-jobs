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d7b10cded83b71f2</t>
        </is>
      </c>
      <c r="B31" s="2" t="inlineStr">
        <is>
          <t>2026-09-24 16:07</t>
        </is>
      </c>
      <c r="C31" s="3" t="inlineStr">
        <is>
          <t>Analista junior de facturación y telecomunicaciones</t>
        </is>
      </c>
      <c r="D31" s="3" t="inlineStr">
        <is>
          <t>TP COLOMBIA</t>
        </is>
      </c>
      <c r="E31" s="4" t="n">
        <v>0.7</v>
      </c>
      <c r="F31" s="2" t="inlineStr">
        <is>
          <t>Remoto</t>
        </is>
      </c>
      <c r="G31" s="5">
        <f>HYPERLINK("https://www.elempleo.com/co/ofertas-trabajo/analista-junior-de-facturacion-y-telecomunicaciones-1886758607", "Ver Vacante")</f>
        <v/>
      </c>
      <c r="H31" s="6" t="inlineStr"/>
      <c r="I31" s="3" t="inlineStr">
        <is>
          <t>[Afinidad: 70/100 -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7c8e4b63802fbfdd</t>
        </is>
      </c>
      <c r="B32" s="2" t="inlineStr">
        <is>
          <t>2026-09-24 16:07</t>
        </is>
      </c>
      <c r="C32" s="3" t="inlineStr">
        <is>
          <t>Analista de facturacion - mocoa</t>
        </is>
      </c>
      <c r="D32" s="3" t="inlineStr">
        <is>
          <t>Clínica Medilaser S.A.S</t>
        </is>
      </c>
      <c r="E32" s="7" t="n">
        <v>0.68</v>
      </c>
      <c r="F32" s="2" t="inlineStr">
        <is>
          <t>Remoto</t>
        </is>
      </c>
      <c r="G32" s="5">
        <f>HYPERLINK("https://www.elempleo.com/co/ofertas-trabajo/analista-de-facturacion-mocoa-1886758704", "Ver Vacante")</f>
        <v/>
      </c>
      <c r="H32" s="6" t="inlineStr"/>
      <c r="I32" s="3" t="inlineStr">
        <is>
          <t>[Afinidad: 68/100 - Afinidad Moderada]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6a1a399dbe055821</t>
        </is>
      </c>
      <c r="B33" s="2" t="inlineStr">
        <is>
          <t>2026-09-24 16:07</t>
        </is>
      </c>
      <c r="C33" s="3" t="inlineStr">
        <is>
          <t>Analista de facturación</t>
        </is>
      </c>
      <c r="D33" s="3" t="inlineStr">
        <is>
          <t>CONTINAUTOS S.A.</t>
        </is>
      </c>
      <c r="E33" s="7" t="n">
        <v>0.68</v>
      </c>
      <c r="F33" s="2" t="inlineStr">
        <is>
          <t>Remoto</t>
        </is>
      </c>
      <c r="G33" s="5">
        <f>HYPERLINK("https://www.elempleo.com/co/ofertas-trabajo/analista-de-facturacion-1886758032", "Ver Vacante")</f>
        <v/>
      </c>
      <c r="H33" s="6" t="inlineStr"/>
      <c r="I33" s="3" t="inlineStr">
        <is>
          <t>[Afinidad: 68/100 - Afinidad Moderada]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8d104e6e0596782f</t>
        </is>
      </c>
      <c r="B34" s="2" t="inlineStr">
        <is>
          <t>2026-09-24 16:07</t>
        </is>
      </c>
      <c r="C34" s="3" t="inlineStr">
        <is>
          <t>Analista de facturación - zipaquira</t>
        </is>
      </c>
      <c r="D34" s="3" t="inlineStr">
        <is>
          <t>Confidencial</t>
        </is>
      </c>
      <c r="E34" s="7" t="n">
        <v>0.68</v>
      </c>
      <c r="F34" s="2" t="inlineStr">
        <is>
          <t>Remoto</t>
        </is>
      </c>
      <c r="G34" s="5">
        <f>HYPERLINK("https://www.elempleo.com/co/ofertas-trabajo/analista-de-facturacion-zipaquira-1886769380", "Ver Vacante")</f>
        <v/>
      </c>
      <c r="H34" s="6" t="inlineStr"/>
      <c r="I34" s="3" t="inlineStr">
        <is>
          <t>[Afinidad: 68/100 - Afinidad Moderada]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30c981b787bd9e84</t>
        </is>
      </c>
      <c r="B35" s="2" t="inlineStr">
        <is>
          <t>2026-09-24 16:07</t>
        </is>
      </c>
      <c r="C35" s="3" t="inlineStr">
        <is>
          <t>Analista de facturación</t>
        </is>
      </c>
      <c r="D35" s="3" t="inlineStr">
        <is>
          <t>IMPULSO TEMPORAL SAS</t>
        </is>
      </c>
      <c r="E35" s="7" t="n">
        <v>0.68</v>
      </c>
      <c r="F35" s="2" t="inlineStr">
        <is>
          <t>Remoto</t>
        </is>
      </c>
      <c r="G35" s="5">
        <f>HYPERLINK("https://www.elempleo.com/co/ofertas-trabajo/analista-de-facturacion-1886751641", "Ver Vacante")</f>
        <v/>
      </c>
      <c r="H35" s="6" t="inlineStr"/>
      <c r="I35" s="3" t="inlineStr">
        <is>
          <t>[Afinidad: 68/100 - Afinidad Moderada]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6ba85335e71be4cc</t>
        </is>
      </c>
      <c r="B36" s="2" t="inlineStr">
        <is>
          <t>2026-09-24 16:07</t>
        </is>
      </c>
      <c r="C36" s="3" t="inlineStr">
        <is>
          <t>Analista de Facturacion</t>
        </is>
      </c>
      <c r="D36" s="3" t="inlineStr">
        <is>
          <t>Experian Spanish Latam</t>
        </is>
      </c>
      <c r="E36" s="7" t="n">
        <v>0.68</v>
      </c>
      <c r="F36" s="2" t="inlineStr">
        <is>
          <t>Remoto</t>
        </is>
      </c>
      <c r="G36" s="5">
        <f>HYPERLINK("https://co.linkedin.com/jobs/view/analista-de-facturacion-at-experian-spanish-latam-4462035775", "Ver Vacante")</f>
        <v/>
      </c>
      <c r="H36" s="6" t="inlineStr"/>
      <c r="I36" s="3" t="inlineStr">
        <is>
          <t>[Afinidad: 68/100 - Afinidad Moderada]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0ba2c0ed565928ee</t>
        </is>
      </c>
      <c r="B37" s="2" t="inlineStr">
        <is>
          <t>2026-09-24 16:07</t>
        </is>
      </c>
      <c r="C37" s="3" t="inlineStr">
        <is>
          <t>Analista de facturación y gasto</t>
        </is>
      </c>
      <c r="D37" s="3" t="inlineStr">
        <is>
          <t>AXA Partners</t>
        </is>
      </c>
      <c r="E37" s="7" t="n">
        <v>0.68</v>
      </c>
      <c r="F37" s="2" t="inlineStr">
        <is>
          <t>Remoto</t>
        </is>
      </c>
      <c r="G37" s="5">
        <f>HYPERLINK("https://co.linkedin.com/jobs/view/analista-de-facturaci%C3%B3n-y-gasto-at-axa-partners-4468296274", "Ver Vacante")</f>
        <v/>
      </c>
      <c r="H37" s="6" t="inlineStr"/>
      <c r="I37" s="3" t="inlineStr">
        <is>
          <t>[Afinidad: 68/100 - Afinidad Moderada]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2adbc58cb85c19c7</t>
        </is>
      </c>
      <c r="B38" s="2" t="inlineStr">
        <is>
          <t>2026-09-24 16:07</t>
        </is>
      </c>
      <c r="C38" s="3" t="inlineStr">
        <is>
          <t>Analista de Facturación de servicios</t>
        </is>
      </c>
      <c r="D38" s="3" t="inlineStr">
        <is>
          <t>Américas BPS</t>
        </is>
      </c>
      <c r="E38" s="7" t="n">
        <v>0.68</v>
      </c>
      <c r="F38" s="2" t="inlineStr">
        <is>
          <t>Remoto</t>
        </is>
      </c>
      <c r="G38" s="5">
        <f>HYPERLINK("https://co.linkedin.com/jobs/view/analista-de-facturaci%C3%B3n-de-servicios-at-am%C3%A9ricas-bps-4464891719", "Ver Vacante")</f>
        <v/>
      </c>
      <c r="H38" s="6" t="inlineStr"/>
      <c r="I38" s="3" t="inlineStr">
        <is>
          <t>[Afinidad: 68/100 - Afinidad Moderada]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8ea64e48a843110e</t>
        </is>
      </c>
      <c r="B39" s="2" t="inlineStr">
        <is>
          <t>2026-09-24 16:07</t>
        </is>
      </c>
      <c r="C39" s="3" t="inlineStr">
        <is>
          <t>Auxiliar de Digitación y Validación de Información</t>
        </is>
      </c>
      <c r="D39" s="3" t="inlineStr">
        <is>
          <t>Hy Cite</t>
        </is>
      </c>
      <c r="E39" s="7" t="n">
        <v>0.66</v>
      </c>
      <c r="F39" s="2" t="inlineStr">
        <is>
          <t>Remoto</t>
        </is>
      </c>
      <c r="G39" s="5">
        <f>HYPERLINK("https://co.linkedin.com/jobs/view/auxiliar-de-digitaci%C3%B3n-y-validaci%C3%B3n-de-informaci%C3%B3n-at-hy-cite-4444163970", "Ver Vacante")</f>
        <v/>
      </c>
      <c r="H39" s="6" t="inlineStr"/>
      <c r="I39" s="3" t="inlineStr">
        <is>
          <t>[Afinidad: 66/100 - Afinidad Moderada] Alta coincidencia técnica en Gestión Administrativa, Documental y Archivo.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0810fb157c23918e</t>
        </is>
      </c>
      <c r="B40" s="2" t="inlineStr">
        <is>
          <t>2026-09-24 16:07</t>
        </is>
      </c>
      <c r="C40" s="3" t="inlineStr">
        <is>
          <t>Junior Tax Accountant / Data entry</t>
        </is>
      </c>
      <c r="D40" s="3" t="inlineStr">
        <is>
          <t>George Dimov, CPA</t>
        </is>
      </c>
      <c r="E40" s="7" t="n">
        <v>0.6</v>
      </c>
      <c r="F40" s="2" t="inlineStr">
        <is>
          <t>Remoto</t>
        </is>
      </c>
      <c r="G40" s="5">
        <f>HYPERLINK("https://co.linkedin.com/jobs/view/junior-tax-accountant-data-entry-remote-at-george-dimov-cpa-4468922588", "Ver Vacante")</f>
        <v/>
      </c>
      <c r="H40" s="6" t="inlineStr"/>
      <c r="I40" s="3" t="inlineStr">
        <is>
          <t>[Afinidad: 60/100 - Afinidad Moderada] Afinidad moderada en áreas técnicas del cargo (Auxiliar Administrativo / Asistente Virtual).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b9e81da0bd12d416</t>
        </is>
      </c>
      <c r="B41" s="2" t="inlineStr">
        <is>
          <t>2026-09-24 16:07</t>
        </is>
      </c>
      <c r="C41" s="3" t="inlineStr">
        <is>
          <t>Auxiliar administrativo</t>
        </is>
      </c>
      <c r="D41" s="3" t="inlineStr">
        <is>
          <t>VR RISK</t>
        </is>
      </c>
      <c r="E41" s="7" t="n">
        <v>0.58</v>
      </c>
      <c r="F41" s="2" t="inlineStr">
        <is>
          <t>Remoto</t>
        </is>
      </c>
      <c r="G41" s="5">
        <f>HYPERLINK("https://co.computrabajo.com/ofertas-de-trabajo/oferta-de-trabajo-de-auxiliar-administrativo-remoto-en-bogota-dc-08C32BD16679929A61373E686DCF3405", "Ver Vacante")</f>
        <v/>
      </c>
      <c r="H41" s="6" t="inlineStr">
        <is>
          <t>$ 2.000.000,00 (Mensual)</t>
        </is>
      </c>
      <c r="I41" s="3" t="inlineStr">
        <is>
          <t>[Afinidad: 58/100 - Afinidad Moderada] Afinidad moderada en áreas técnicas del cargo (Auxiliar Administrativo / Asistente Virtual).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60a767236cb83e2b</t>
        </is>
      </c>
      <c r="B42" s="2" t="inlineStr">
        <is>
          <t>2026-09-24 16:07</t>
        </is>
      </c>
      <c r="C42" s="3" t="inlineStr">
        <is>
          <t>Asistente Administrativo y de Operaciones</t>
        </is>
      </c>
      <c r="D42" s="3" t="inlineStr">
        <is>
          <t>Direct Home Solutions</t>
        </is>
      </c>
      <c r="E42" s="7" t="n">
        <v>0.58</v>
      </c>
      <c r="F42" s="2" t="inlineStr">
        <is>
          <t>Remoto</t>
        </is>
      </c>
      <c r="G42" s="5">
        <f>HYPERLINK("https://co.computrabajo.com/ofertas-de-trabajo/oferta-de-trabajo-de-asistente-administrativo-y-de-operaciones-remoto-en-pereira-737F61DE07AA2E7F61373E686DCF3405", "Ver Vacante")</f>
        <v/>
      </c>
      <c r="H42" s="6" t="inlineStr">
        <is>
          <t>$ 2.600.000,00 (Mensual)</t>
        </is>
      </c>
      <c r="I42" s="3" t="inlineStr">
        <is>
          <t>[Afinidad: 58/100 - Afinidad Moderada] Afinidad moderada en áreas técnicas del cargo (Auxiliar Administrativo / Asistente Virtual).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04855c966d018926</t>
        </is>
      </c>
      <c r="B43" s="2" t="inlineStr">
        <is>
          <t>2026-09-24 16:07</t>
        </is>
      </c>
      <c r="C43" s="3" t="inlineStr">
        <is>
          <t>Auxiliar administrativo/a Vacante Inclusiva para personas con Discapacidad</t>
        </is>
      </c>
      <c r="D43" s="3" t="inlineStr">
        <is>
          <t>CENTRO DE EMPLEO Y TALENTO COLSUBSIDIO</t>
        </is>
      </c>
      <c r="E43" s="7" t="n">
        <v>0.58</v>
      </c>
      <c r="F43" s="2" t="inlineStr">
        <is>
          <t>Remoto</t>
        </is>
      </c>
      <c r="G43" s="5">
        <f>HYPERLINK("https://co.computrabajo.com/ofertas-de-trabajo/oferta-de-trabajo-de-auxiliar-administrativoa-vacante-inclusiva-para-personas-con-discapacidad-en-bogota-dc-F5B96991A8C617B661373E686DCF3405", "Ver Vacante")</f>
        <v/>
      </c>
      <c r="H43" s="6" t="inlineStr">
        <is>
          <t>$ 2.000.000,00 (Mensual)</t>
        </is>
      </c>
      <c r="I43" s="3" t="inlineStr">
        <is>
          <t>[Afinidad: 58/100 - Afinidad Moderada] Afinidad moderada en áreas técnicas del cargo (Auxiliar Administrativo / Asistente Virtual).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a30e3afa7b66502b</t>
        </is>
      </c>
      <c r="B44" s="2" t="inlineStr">
        <is>
          <t>2026-09-24 16:07</t>
        </is>
      </c>
      <c r="C44" s="3" t="inlineStr">
        <is>
          <t>auxiliar administrativo/a</t>
        </is>
      </c>
      <c r="D44" s="3" t="inlineStr">
        <is>
          <t>ELITE SKIN ITALY S.A.S</t>
        </is>
      </c>
      <c r="E44" s="7" t="n">
        <v>0.58</v>
      </c>
      <c r="F44" s="2" t="inlineStr">
        <is>
          <t>Remoto</t>
        </is>
      </c>
      <c r="G44" s="5">
        <f>HYPERLINK("https://co.computrabajo.com/ofertas-de-trabajo/oferta-de-trabajo-de-auxiliar-administrativoa-virtual-remoto-con-o-sin-experiencia-en-bogota-dc-246C4633B2C1D28D61373E686DCF3405", "Ver Vacante")</f>
        <v/>
      </c>
      <c r="H44" s="6" t="inlineStr">
        <is>
          <t>$ 2.000.000,00 (Mensual)</t>
        </is>
      </c>
      <c r="I44" s="3" t="inlineStr">
        <is>
          <t>[Afinidad: 58/100 - Afinidad Moderada] Afinidad moderada en áreas técnicas del cargo (Auxiliar Administrativo / Asistente Virtual).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899512a1b5af847f</t>
        </is>
      </c>
      <c r="B45" s="2" t="inlineStr">
        <is>
          <t>2026-09-24 16:07</t>
        </is>
      </c>
      <c r="C45" s="3" t="inlineStr">
        <is>
          <t>auxiliar contable y administrativo</t>
        </is>
      </c>
      <c r="D45" s="3" t="inlineStr">
        <is>
          <t>AZ LOGICA SAS</t>
        </is>
      </c>
      <c r="E45" s="7" t="n">
        <v>0.58</v>
      </c>
      <c r="F45" s="2" t="inlineStr">
        <is>
          <t>Remoto</t>
        </is>
      </c>
      <c r="G45" s="5">
        <f>HYPERLINK("https://co.computrabajo.com/ofertas-de-trabajo/oferta-de-trabajo-de-auxiliar-contable-y-administrativo-en-bogota-dc-E79FB52CC71B1AAF61373E686DCF3405", "Ver Vacante")</f>
        <v/>
      </c>
      <c r="H45" s="6" t="inlineStr">
        <is>
          <t>$ 2.000.000,00 (Mensual)</t>
        </is>
      </c>
      <c r="I45" s="3" t="inlineStr">
        <is>
          <t>[Afinidad: 58/100 - Afinidad Moderada] Afinidad moderada en áreas técnicas del cargo (Auxiliar Administrativo / Asistente Virtual).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0048b5632ef5acf6</t>
        </is>
      </c>
      <c r="B46" s="2" t="inlineStr">
        <is>
          <t>2026-09-24 16:07</t>
        </is>
      </c>
      <c r="C46" s="3" t="inlineStr">
        <is>
          <t>Asistente Administrativo</t>
        </is>
      </c>
      <c r="D46" s="3" t="inlineStr">
        <is>
          <t>Naonsoft</t>
        </is>
      </c>
      <c r="E46" s="7" t="n">
        <v>0.58</v>
      </c>
      <c r="F46" s="2" t="inlineStr">
        <is>
          <t>Remoto</t>
        </is>
      </c>
      <c r="G46" s="5">
        <f>HYPERLINK("https://co.computrabajo.com/ofertas-de-trabajo/oferta-de-trabajo-de-asistente-administrativo-en-medellin-268B37E50FB0D28461373E686DCF3405", "Ver Vacante")</f>
        <v/>
      </c>
      <c r="H46" s="6" t="inlineStr">
        <is>
          <t>Remoto</t>
        </is>
      </c>
      <c r="I46" s="3" t="inlineStr">
        <is>
          <t>[Afinidad: 58/100 - Afinidad Moderada] Afinidad moderada en áreas técnicas del cargo (Auxiliar Administrativo / Asistente Virtual).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062ee3244ed08bb4</t>
        </is>
      </c>
      <c r="B47" s="2" t="inlineStr">
        <is>
          <t>2026-09-24 16:07</t>
        </is>
      </c>
      <c r="C47" s="3" t="inlineStr">
        <is>
          <t>Asistente de Servicio al Cliente y Administrativo</t>
        </is>
      </c>
      <c r="D47" s="3" t="inlineStr">
        <is>
          <t>Health and Fitness</t>
        </is>
      </c>
      <c r="E47" s="7" t="n">
        <v>0.58</v>
      </c>
      <c r="F47" s="2" t="inlineStr">
        <is>
          <t>Remoto</t>
        </is>
      </c>
      <c r="G47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47" s="6" t="inlineStr">
        <is>
          <t>$ 2.500.000,00 (Mensual)</t>
        </is>
      </c>
      <c r="I47" s="3" t="inlineStr">
        <is>
          <t>[Afinidad: 58/100 - Afinidad Moderada] Afinidad moderada en áreas técnicas del cargo (Auxiliar Administrativo / Asistente Virtual).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90d5245bdef0186a</t>
        </is>
      </c>
      <c r="B48" s="2" t="inlineStr">
        <is>
          <t>2026-09-24 16:07</t>
        </is>
      </c>
      <c r="C48" s="3" t="inlineStr">
        <is>
          <t>Asistente administrativo y financiero</t>
        </is>
      </c>
      <c r="D48" s="3" t="inlineStr">
        <is>
          <t>SOLVO S.A.S</t>
        </is>
      </c>
      <c r="E48" s="7" t="n">
        <v>0.58</v>
      </c>
      <c r="F48" s="2" t="inlineStr">
        <is>
          <t>Remoto</t>
        </is>
      </c>
      <c r="G48" s="5">
        <f>HYPERLINK("https://co.computrabajo.com/ofertas-de-trabajo/oferta-de-trabajo-de-asistente-administrativo-y-financiero-b2-en-bogota-dc-8B5C137D8309F1F661373E686DCF3405", "Ver Vacante")</f>
        <v/>
      </c>
      <c r="H48" s="6" t="inlineStr">
        <is>
          <t>Remoto</t>
        </is>
      </c>
      <c r="I48" s="3" t="inlineStr">
        <is>
          <t>[Afinidad: 58/100 - Afinidad Moderada] Afinidad moderada en áreas técnicas del cargo (Auxiliar Administrativo / Asistente Virtual).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760f13e3724f6b31</t>
        </is>
      </c>
      <c r="B49" s="2" t="inlineStr">
        <is>
          <t>2026-09-24 16:07</t>
        </is>
      </c>
      <c r="C49" s="3" t="inlineStr">
        <is>
          <t>Asistente administrativo y financiero</t>
        </is>
      </c>
      <c r="D49" s="3" t="inlineStr">
        <is>
          <t>SOLVO S.A.S</t>
        </is>
      </c>
      <c r="E49" s="7" t="n">
        <v>0.58</v>
      </c>
      <c r="F49" s="2" t="inlineStr">
        <is>
          <t>Remoto</t>
        </is>
      </c>
      <c r="G49" s="5">
        <f>HYPERLINK("https://co.computrabajo.com/ofertas-de-trabajo/oferta-de-trabajo-de-asistente-administrativo-y-financiero-b2-en-medellin-837774FFD1C514D261373E686DCF3405", "Ver Vacante")</f>
        <v/>
      </c>
      <c r="H49" s="6" t="inlineStr">
        <is>
          <t>Remoto</t>
        </is>
      </c>
      <c r="I49" s="3" t="inlineStr">
        <is>
          <t>[Afinidad: 58/100 - Afinidad Moderada] Afinidad moderada en áreas técnicas del cargo (Auxiliar Administrativo / Asistente Virtual).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2d0d5c2d341e3d17</t>
        </is>
      </c>
      <c r="B50" s="2" t="inlineStr">
        <is>
          <t>2026-09-24 16:07</t>
        </is>
      </c>
      <c r="C50" s="3" t="inlineStr">
        <is>
          <t>Asistente administrativo y financiero</t>
        </is>
      </c>
      <c r="D50" s="3" t="inlineStr">
        <is>
          <t>SOLVO S.A.S</t>
        </is>
      </c>
      <c r="E50" s="7" t="n">
        <v>0.58</v>
      </c>
      <c r="F50" s="2" t="inlineStr">
        <is>
          <t>Remoto</t>
        </is>
      </c>
      <c r="G50" s="5">
        <f>HYPERLINK("https://co.computrabajo.com/ofertas-de-trabajo/oferta-de-trabajo-de-asistente-administrativo-y-financiero-b2-en-barranquilla-08F31F737CD14CED61373E686DCF3405", "Ver Vacante")</f>
        <v/>
      </c>
      <c r="H50" s="6" t="inlineStr">
        <is>
          <t>Remoto</t>
        </is>
      </c>
      <c r="I50" s="3" t="inlineStr">
        <is>
          <t>[Afinidad: 58/100 - Afinidad Moderada] Afinidad moderada en áreas técnicas del cargo (Auxiliar Administrativo / Asistente Virtual).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63592c52663ab0e0</t>
        </is>
      </c>
      <c r="B51" s="2" t="inlineStr">
        <is>
          <t>2026-09-24 16:07</t>
        </is>
      </c>
      <c r="C51" s="3" t="inlineStr">
        <is>
          <t>Auxiliar administrativo horario flexible remoto</t>
        </is>
      </c>
      <c r="D51" s="3" t="inlineStr">
        <is>
          <t>Empire Co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HYPERLINK("https://www.elempleo.com/co/ofertas-trabajo/auxiliar-administrativo-horario-flexible-remoto-1886769479", "Ver Vacante")</f>
        <v/>
      </c>
      <c r="H51" s="6" t="inlineStr"/>
      <c r="I51" s="3" t="inlineStr">
        <is>
          <t>[Afinidad: 58/100 - Afinidad Moderada] Afinidad moderada en áreas técnicas del cargo (Auxiliar Administrativo / Asistente Virtual).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729fb015086632d9</t>
        </is>
      </c>
      <c r="B52" s="2" t="inlineStr">
        <is>
          <t>2026-09-24 16:07</t>
        </is>
      </c>
      <c r="C52" s="3" t="inlineStr">
        <is>
          <t>Asistente de cuentas por pagar o tesoreria -remoto</t>
        </is>
      </c>
      <c r="D52" s="3" t="inlineStr">
        <is>
          <t>Confidencial</t>
        </is>
      </c>
      <c r="E52" s="7" t="n">
        <v>0.58</v>
      </c>
      <c r="F52" s="2" t="inlineStr">
        <is>
          <t>Remoto</t>
        </is>
      </c>
      <c r="G52" s="5">
        <f>HYPERLINK("https://www.elempleo.com/co/ofertas-trabajo/asistente-de-cuentas-por-pagar-o-tesoreria-remoto-1886744484", "Ver Vacante")</f>
        <v/>
      </c>
      <c r="H52" s="6" t="inlineStr"/>
      <c r="I52" s="3" t="inlineStr">
        <is>
          <t>[Afinidad: 58/100 - Afinidad Moderada] Afinidad moderada en áreas técnicas del cargo (Auxiliar Administrativo / Asistente Virtual).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e4a3b83ad6ab6438</t>
        </is>
      </c>
      <c r="B53" s="2" t="inlineStr">
        <is>
          <t>2026-09-24 16:07</t>
        </is>
      </c>
      <c r="C53" s="3" t="inlineStr">
        <is>
          <t>Auxiliar administrativo(a) - licencia</t>
        </is>
      </c>
      <c r="D53" s="3" t="inlineStr">
        <is>
          <t>FUCS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HYPERLINK("https://www.elempleo.com/co/ofertas-trabajo/auxiliar-administrativoa-licencia-1886759487", "Ver Vacante")</f>
        <v/>
      </c>
      <c r="H53" s="6" t="inlineStr"/>
      <c r="I53" s="3" t="inlineStr">
        <is>
          <t>[Afinidad: 58/100 - Afinidad Moderada] Afinidad moderada en áreas técnicas del cargo (Auxiliar Administrativo / Asistente Virtual).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2b1aa0caccddf7e4</t>
        </is>
      </c>
      <c r="B54" s="2" t="inlineStr">
        <is>
          <t>2026-09-24 16:07</t>
        </is>
      </c>
      <c r="C54" s="3" t="inlineStr">
        <is>
          <t>Auxiliar administrativo</t>
        </is>
      </c>
      <c r="D54" s="3" t="inlineStr">
        <is>
          <t>Cruz Roja Colombiana Seccional Cundinamarca y Bogotá.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HYPERLINK("https://www.elempleo.com/co/ofertas-trabajo/auxiliar-administrativo-1886753336", "Ver Vacante")</f>
        <v/>
      </c>
      <c r="H54" s="6" t="inlineStr"/>
      <c r="I54" s="3" t="inlineStr">
        <is>
          <t>[Afinidad: 58/100 - Afinidad Moderada] Afinidad moderada en áreas técnicas del cargo (Auxiliar Administrativo / Asistente Virtual).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f864b0373b9419ab</t>
        </is>
      </c>
      <c r="B55" s="2" t="inlineStr">
        <is>
          <t>2026-09-24 16:07</t>
        </is>
      </c>
      <c r="C55" s="3" t="inlineStr">
        <is>
          <t>Auxiliar administrativo -ciencias basicas</t>
        </is>
      </c>
      <c r="D55" s="3" t="inlineStr">
        <is>
          <t>Confidencial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HYPERLINK("https://www.elempleo.com/co/ofertas-trabajo/auxiliar-administrativo-ciencias-basicas-1886759929", "Ver Vacante")</f>
        <v/>
      </c>
      <c r="H55" s="6" t="inlineStr"/>
      <c r="I55" s="3" t="inlineStr">
        <is>
          <t>[Afinidad: 58/100 - Afinidad Moderada] Afinidad moderada en áreas técnicas del cargo (Auxiliar Administrativo / Asistente Virtual).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00a48d615f284d91</t>
        </is>
      </c>
      <c r="B56" s="2" t="inlineStr">
        <is>
          <t>2026-09-24 16:07</t>
        </is>
      </c>
      <c r="C56" s="3" t="inlineStr">
        <is>
          <t>Auxiliar administrativo</t>
        </is>
      </c>
      <c r="D56" s="3" t="inlineStr">
        <is>
          <t>Confidencial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HYPERLINK("https://www.elempleo.com/co/ofertas-trabajo/auxiliar-administrativo-bienestar-universitario-1886744996", "Ver Vacante")</f>
        <v/>
      </c>
      <c r="H56" s="6" t="inlineStr"/>
      <c r="I56" s="3" t="inlineStr">
        <is>
          <t>[Afinidad: 58/100 - Afinidad Moderada] Afinidad moderada en áreas técnicas del cargo (Auxiliar Administrativo / Asistente Virtual).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0544391db42d3941</t>
        </is>
      </c>
      <c r="B57" s="2" t="inlineStr">
        <is>
          <t>2026-09-24 16:07</t>
        </is>
      </c>
      <c r="C57" s="3" t="inlineStr">
        <is>
          <t>Auxiliar administrativo</t>
        </is>
      </c>
      <c r="D57" s="3" t="inlineStr">
        <is>
          <t>FUCS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HYPERLINK("https://www.elempleo.com/co/ofertas-trabajo/auxiliar-administrativoa-1886769676", "Ver Vacante")</f>
        <v/>
      </c>
      <c r="H57" s="6" t="inlineStr"/>
      <c r="I57" s="3" t="inlineStr">
        <is>
          <t>[Afinidad: 58/100 - Afinidad Moderada] Afinidad moderada en áreas técnicas del cargo (Auxiliar Administrativo / Asistente Virtual).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e4338d6723631384</t>
        </is>
      </c>
      <c r="B58" s="2" t="inlineStr">
        <is>
          <t>2026-09-24 16:07</t>
        </is>
      </c>
      <c r="C58" s="3" t="inlineStr">
        <is>
          <t>Auxiliar administrativo y de logística corporativa</t>
        </is>
      </c>
      <c r="D58" s="3" t="inlineStr">
        <is>
          <t>Confidencial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HYPERLINK("https://www.elempleo.com/co/ofertas-trabajo/auxiliar-administrativo-y-de-logistica-corporativa-1886765843", "Ver Vacante")</f>
        <v/>
      </c>
      <c r="H58" s="6" t="inlineStr"/>
      <c r="I58" s="3" t="inlineStr">
        <is>
          <t>[Afinidad: 58/100 - Afinidad Moderada] Afinidad moderada en áreas técnicas del cargo (Auxiliar Administrativo / Asistente Virtual).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54d4c3f98f954a41</t>
        </is>
      </c>
      <c r="B59" s="2" t="inlineStr">
        <is>
          <t>2026-09-24 16:07</t>
        </is>
      </c>
      <c r="C59" s="3" t="inlineStr">
        <is>
          <t>Auxiliar administrativo educación continua</t>
        </is>
      </c>
      <c r="D59" s="3" t="inlineStr">
        <is>
          <t>Fundación Santa Fe de Bogotá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HYPERLINK("https://www.elempleo.com/co/ofertas-trabajo/auxiliar-administrativo-educacion-continua-1886750214", "Ver Vacante")</f>
        <v/>
      </c>
      <c r="H59" s="6" t="inlineStr"/>
      <c r="I59" s="3" t="inlineStr">
        <is>
          <t>[Afinidad: 58/100 -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e824af898bf9a932</t>
        </is>
      </c>
      <c r="B60" s="2" t="inlineStr">
        <is>
          <t>2026-09-24 16:07</t>
        </is>
      </c>
      <c r="C60" s="3" t="inlineStr">
        <is>
          <t>Auxiliar administrativo y financiero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HYPERLINK("https://www.elempleo.com/co/ofertas-trabajo/auxiliar-administrativo-y-financiero-1886753619", "Ver Vacante")</f>
        <v/>
      </c>
      <c r="H60" s="6" t="inlineStr"/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54c86d8a0d796617</t>
        </is>
      </c>
      <c r="B61" s="2" t="inlineStr">
        <is>
          <t>2026-09-24 16:07</t>
        </is>
      </c>
      <c r="C61" s="3" t="inlineStr">
        <is>
          <t>Auxiliar administrativa</t>
        </is>
      </c>
      <c r="D61" s="3" t="inlineStr">
        <is>
          <t>ASISTALENTO SAS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HYPERLINK("https://www.elempleo.com/co/ofertas-trabajo/auxiliar-administrativa-1886767177", "Ver Vacante")</f>
        <v/>
      </c>
      <c r="H61" s="6" t="inlineStr"/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372b28276b98282f</t>
        </is>
      </c>
      <c r="B62" s="2" t="inlineStr">
        <is>
          <t>2026-09-24 16:07</t>
        </is>
      </c>
      <c r="C62" s="3" t="inlineStr">
        <is>
          <t>Secretaria administrativa</t>
        </is>
      </c>
      <c r="D62" s="3" t="inlineStr">
        <is>
          <t>FUNDACIÓN ANDES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HYPERLINK("https://www.elempleo.com/co/ofertas-trabajo/secretaria-administrativa-1886756322", "Ver Vacante")</f>
        <v/>
      </c>
      <c r="H62" s="6" t="inlineStr"/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cee8b3db11750755</t>
        </is>
      </c>
      <c r="B63" s="2" t="inlineStr">
        <is>
          <t>2026-09-24 16:07</t>
        </is>
      </c>
      <c r="C63" s="3" t="inlineStr">
        <is>
          <t>Auxiliar administrativo de obra</t>
        </is>
      </c>
      <c r="D63" s="3" t="inlineStr">
        <is>
          <t>GRUPO AR S.A.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HYPERLINK("https://www.elempleo.com/co/ofertas-trabajo/auxiliar-administrativo-de-obra-1886747241", "Ver Vacante")</f>
        <v/>
      </c>
      <c r="H63" s="6" t="inlineStr"/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f86d411dd7ab31c0</t>
        </is>
      </c>
      <c r="B64" s="2" t="inlineStr">
        <is>
          <t>2026-09-24 16:07</t>
        </is>
      </c>
      <c r="C64" s="3" t="inlineStr">
        <is>
          <t>Asistente administrativa supernumeraria</t>
        </is>
      </c>
      <c r="D64" s="3" t="inlineStr">
        <is>
          <t>Grupo Good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HYPERLINK("https://www.elempleo.com/co/ofertas-trabajo/asistente-administrativa-supernumeraria-1886762173", "Ver Vacante")</f>
        <v/>
      </c>
      <c r="H64" s="6" t="inlineStr"/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02d246dd2c1d19fd</t>
        </is>
      </c>
      <c r="B65" s="2" t="inlineStr">
        <is>
          <t>2026-09-24 16:07</t>
        </is>
      </c>
      <c r="C65" s="3" t="inlineStr">
        <is>
          <t>Asistente ejecutiva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HYPERLINK("https://www.elempleo.com/co/ofertas-trabajo/asistente-ejecutiva-1886745926", "Ver Vacante")</f>
        <v/>
      </c>
      <c r="H65" s="6" t="inlineStr"/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b56bb36e9fc82e1e</t>
        </is>
      </c>
      <c r="B66" s="2" t="inlineStr">
        <is>
          <t>2026-09-24 16:07</t>
        </is>
      </c>
      <c r="C66" s="3" t="inlineStr">
        <is>
          <t>Asistente administrativo/a</t>
        </is>
      </c>
      <c r="D66" s="3" t="inlineStr">
        <is>
          <t>MEDICALL TALENTO HUMANO S.A.S.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HYPERLINK("https://www.elempleo.com/co/ofertas-trabajo/asistente-administrativo-a-1886747464", "Ver Vacante")</f>
        <v/>
      </c>
      <c r="H66" s="6" t="inlineStr"/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58fe156c45c49fc4</t>
        </is>
      </c>
      <c r="B67" s="2" t="inlineStr">
        <is>
          <t>2026-09-24 16:07</t>
        </is>
      </c>
      <c r="C67" s="3" t="inlineStr">
        <is>
          <t>Asistente ejecutiva y personal de presidencia</t>
        </is>
      </c>
      <c r="D67" s="3" t="inlineStr">
        <is>
          <t>ADECCO COLOMBIA S A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HYPERLINK("https://www.elempleo.com/co/ofertas-trabajo/asistente-ejecutiva-y-personal-de-presidencia-1886765043", "Ver Vacante")</f>
        <v/>
      </c>
      <c r="H67" s="6" t="inlineStr"/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c68c842aec0507f5</t>
        </is>
      </c>
      <c r="B68" s="2" t="inlineStr">
        <is>
          <t>2026-09-24 16:07</t>
        </is>
      </c>
      <c r="C68" s="3" t="inlineStr">
        <is>
          <t>Asistente administrativo y operativo</t>
        </is>
      </c>
      <c r="D68" s="3" t="inlineStr">
        <is>
          <t>ALIANZA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HYPERLINK("https://www.elempleo.com/co/ofertas-trabajo/asistente-administrativo-y-operativo-1886769341", "Ver Vacante")</f>
        <v/>
      </c>
      <c r="H68" s="6" t="inlineStr"/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e55c41f8f35d0d12</t>
        </is>
      </c>
      <c r="B69" s="2" t="inlineStr">
        <is>
          <t>2026-09-24 16:07</t>
        </is>
      </c>
      <c r="C69" s="3" t="inlineStr">
        <is>
          <t>Asistente administrativa y comercial pereira</t>
        </is>
      </c>
      <c r="D69" s="3" t="inlineStr">
        <is>
          <t>EDITORIAL LA REPÚBLICA S.A.S.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HYPERLINK("https://www.elempleo.com/co/ofertas-trabajo/asistente-administrativa-y-comercial-pereira-1886746894", "Ver Vacante")</f>
        <v/>
      </c>
      <c r="H69" s="6" t="inlineStr"/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0504d9833ad54912</t>
        </is>
      </c>
      <c r="B70" s="2" t="inlineStr">
        <is>
          <t>2026-09-24 16:07</t>
        </is>
      </c>
      <c r="C70" s="3" t="inlineStr">
        <is>
          <t>Asistente administrativo(a) at | bogotá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HYPERLINK("https://www.elempleo.com/co/ofertas-trabajo/asistente-administrativoa-at-bogota-1886765770",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bacc38002882c624</t>
        </is>
      </c>
      <c r="B71" s="2" t="inlineStr">
        <is>
          <t>2026-09-24 16:07</t>
        </is>
      </c>
      <c r="C71" s="3" t="inlineStr">
        <is>
          <t>Asistente administrativo</t>
        </is>
      </c>
      <c r="D71" s="3" t="inlineStr">
        <is>
          <t>POSSE HERRERA Y RUIZ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HYPERLINK("https://www.elempleo.com/co/ofertas-trabajo/asistente-administrativo-1886757128",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115c420d4e627838</t>
        </is>
      </c>
      <c r="B72" s="2" t="inlineStr">
        <is>
          <t>2026-09-24 16:07</t>
        </is>
      </c>
      <c r="C72" s="3" t="inlineStr">
        <is>
          <t>Recepcionista y asistente administrativa</t>
        </is>
      </c>
      <c r="D72" s="3" t="inlineStr">
        <is>
          <t>Colliers International Colombia S.A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HYPERLINK("https://www.elempleo.com/co/ofertas-trabajo/recepcionista-y-asistente-administrativa-1886769882",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0eafe890d09dc027</t>
        </is>
      </c>
      <c r="B73" s="2" t="inlineStr">
        <is>
          <t>2026-09-24 16:07</t>
        </is>
      </c>
      <c r="C73" s="3" t="inlineStr">
        <is>
          <t>Asistente administrativa y contable - chía | ref. 1626544466-1</t>
        </is>
      </c>
      <c r="D73" s="3" t="inlineStr">
        <is>
          <t>AGENCIA DE EMPLEO Y FOMENTO EMPRESARIAL COMPENSAR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HYPERLINK("https://www.elempleo.com/co/ofertas-trabajo/asistente-administrativa-y-contable-chia-ref-16265444661-1886766808",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7fdb3ec2bb49ce90</t>
        </is>
      </c>
      <c r="B74" s="2" t="inlineStr">
        <is>
          <t>2026-09-24 16:07</t>
        </is>
      </c>
      <c r="C74" s="3" t="inlineStr">
        <is>
          <t>Asistente administrativa y contable</t>
        </is>
      </c>
      <c r="D74" s="3" t="inlineStr">
        <is>
          <t>ASESORES FINANCIEROS Y TRIBUTARIOS GR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HYPERLINK("https://www.elempleo.com/co/ofertas-trabajo/asistente-administrativa-y-contable-1886758421",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08014f384f124ec4</t>
        </is>
      </c>
      <c r="B75" s="2" t="inlineStr">
        <is>
          <t>2026-09-24 16:07</t>
        </is>
      </c>
      <c r="C75" s="3" t="inlineStr">
        <is>
          <t>Asistente administrativo y contable - villeta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HYPERLINK("https://www.elempleo.com/co/ofertas-trabajo/asistente-administrativo-y-contable-villeta-1886759076",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c62a542387886bca</t>
        </is>
      </c>
      <c r="B76" s="2" t="inlineStr">
        <is>
          <t>2026-09-24 16:07</t>
        </is>
      </c>
      <c r="C76" s="3" t="inlineStr">
        <is>
          <t>Asistente administrativo y contable - villeta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HYPERLINK("https://www.elempleo.com/co/ofertas-trabajo/asistente-administrativo-y-contable-villeta-1886758361",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fec983a79bc46288</t>
        </is>
      </c>
      <c r="B77" s="2" t="inlineStr">
        <is>
          <t>2026-09-24 16:07</t>
        </is>
      </c>
      <c r="C77" s="3" t="inlineStr">
        <is>
          <t>Asistente administrativo y contable</t>
        </is>
      </c>
      <c r="D77" s="3" t="inlineStr">
        <is>
          <t>iLingo Integrated Solutions in Languages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HYPERLINK("https://www.elempleo.com/co/ofertas-trabajo/asistente-administrativo-y-contable-1886747606",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1871e0c68a13d38e</t>
        </is>
      </c>
      <c r="B78" s="2" t="inlineStr">
        <is>
          <t>2026-09-24 16:07</t>
        </is>
      </c>
      <c r="C78" s="3" t="inlineStr">
        <is>
          <t>Auxiliar contable - sap - bogota</t>
        </is>
      </c>
      <c r="D78" s="3" t="inlineStr">
        <is>
          <t>ADECCO COLOMBIA S A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HYPERLINK("https://www.elempleo.com/co/ofertas-trabajo/auxiliar-contable-sap-bogota-1886767163",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6367348e3671a1aa</t>
        </is>
      </c>
      <c r="B79" s="2" t="inlineStr">
        <is>
          <t>2026-09-24 16:07</t>
        </is>
      </c>
      <c r="C79" s="3" t="inlineStr">
        <is>
          <t>Asistente contable y administrativo con experiencia contable en sap, cartera y tesoreria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HYPERLINK("https://www.elempleo.com/co/ofertas-trabajo/asistente-contable-y-administrativo-con-experiencia-contable-en-sap-cartera-y-tesoreria-1886760656",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fa85204cef58799f</t>
        </is>
      </c>
      <c r="B80" s="2" t="inlineStr">
        <is>
          <t>2026-09-24 16:07</t>
        </is>
      </c>
      <c r="C80" s="3" t="inlineStr">
        <is>
          <t>Asistente contable y administrativo con experiencia contable en sap - cartera y tesoreria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HYPERLINK("https://www.elempleo.com/co/ofertas-trabajo/asistente-contable-y-administrativo-con-experiencia-contable-en-sap-cartera-y-tesoreria-1886766820",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d8062d850cbf46a1</t>
        </is>
      </c>
      <c r="B81" s="2" t="inlineStr">
        <is>
          <t>2026-09-24 16:07</t>
        </is>
      </c>
      <c r="C81" s="3" t="inlineStr">
        <is>
          <t>Digitador - 353703-113642</t>
        </is>
      </c>
      <c r="D81" s="3" t="inlineStr">
        <is>
          <t>AGENCIA DE EMPLEO Y FOMENTO EMPRESARIAL COMPENSAR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HYPERLINK("https://www.elempleo.com/co/ofertas-trabajo/digitador-353703113642-1886769566",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2f520ba083e2847f</t>
        </is>
      </c>
      <c r="B82" s="2" t="inlineStr">
        <is>
          <t>2026-09-24 16:07</t>
        </is>
      </c>
      <c r="C82" s="3" t="inlineStr">
        <is>
          <t>Digitador en planta de producción</t>
        </is>
      </c>
      <c r="D82" s="3" t="inlineStr">
        <is>
          <t>Prysmian Group - Procables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HYPERLINK("https://www.elempleo.com/co/ofertas-trabajo/digitador-en-planta-de-produccion-1886722751",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475f3966c5302ff0</t>
        </is>
      </c>
      <c r="B83" s="2" t="inlineStr">
        <is>
          <t>2026-09-24 16:07</t>
        </is>
      </c>
      <c r="C83" s="3" t="inlineStr">
        <is>
          <t>Analista de aduana - digitador opencomex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HYPERLINK("https://www.elempleo.com/co/ofertas-trabajo/analista-de-aduana-digitador-opencomex-1886762323",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107d0765b8dfce86</t>
        </is>
      </c>
      <c r="B84" s="2" t="inlineStr">
        <is>
          <t>2026-09-24 16:07</t>
        </is>
      </c>
      <c r="C84" s="3" t="inlineStr">
        <is>
          <t>Auxiliar digitador(a) de contabilidad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HYPERLINK("https://www.elempleo.com/co/ofertas-trabajo/auxiliar-digitadora-de-contabilidad-1886770758",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b1591783dbbcb1f9</t>
        </is>
      </c>
      <c r="B85" s="2" t="inlineStr">
        <is>
          <t>2026-09-24 16:07</t>
        </is>
      </c>
      <c r="C85" s="3" t="inlineStr">
        <is>
          <t>Analista de aduana - digitador opencomex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HYPERLINK("https://www.elempleo.com/co/ofertas-trabajo/analista-de-aduana-digitador-opencomex-1886763468",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cfe8b8276b28373b</t>
        </is>
      </c>
      <c r="B86" s="2" t="inlineStr">
        <is>
          <t>2026-09-24 16:07</t>
        </is>
      </c>
      <c r="C86" s="3" t="inlineStr">
        <is>
          <t>Analista de aduana - digitador opencomex - santa marta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HYPERLINK("https://www.elempleo.com/co/ofertas-trabajo/analista-de-aduana-digitador-opencomex-santa-marta-1886762869",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01c7ac97b62a3626</t>
        </is>
      </c>
      <c r="B87" s="2" t="inlineStr">
        <is>
          <t>2026-09-24 16:07</t>
        </is>
      </c>
      <c r="C87" s="3" t="inlineStr">
        <is>
          <t>Auxiliar digitador(a) de contabilidad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HYPERLINK("https://www.elempleo.com/co/ofertas-trabajo/auxiliar-digitadora-de-contabilidad-1886761791",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2fc59d447ad455e1</t>
        </is>
      </c>
      <c r="B88" s="2" t="inlineStr">
        <is>
          <t>2026-09-24 16:07</t>
        </is>
      </c>
      <c r="C88" s="3" t="inlineStr">
        <is>
          <t>Digitador comercial interno</t>
        </is>
      </c>
      <c r="D88" s="3" t="inlineStr">
        <is>
          <t>TEMPORIZAR SERVICIOS TEMPORALES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HYPERLINK("https://www.elempleo.com/co/ofertas-trabajo/digitador-comercial-interno-1886746080",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e58059d4e095bd7a</t>
        </is>
      </c>
      <c r="B89" s="2" t="inlineStr">
        <is>
          <t>2026-09-24 16:07</t>
        </is>
      </c>
      <c r="C89" s="3" t="inlineStr">
        <is>
          <t>Apoyo facturación - palmira</t>
        </is>
      </c>
      <c r="D89" s="3" t="inlineStr">
        <is>
          <t>ALQUERIA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HYPERLINK("https://www.elempleo.com/co/ofertas-trabajo/apoyo-facturacion-palmira-1886758686", "Ver Vacante")</f>
        <v/>
      </c>
      <c r="H89" s="6" t="inlineStr"/>
      <c r="I89" s="3" t="inlineStr">
        <is>
          <t>[Afinidad: 58/100 -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62e7c31c63a388da</t>
        </is>
      </c>
      <c r="B90" s="2" t="inlineStr">
        <is>
          <t>2026-09-24 16:07</t>
        </is>
      </c>
      <c r="C90" s="3" t="inlineStr">
        <is>
          <t>Recepcion y facturacion de laboratorio clínico</t>
        </is>
      </c>
      <c r="D90" s="3" t="inlineStr">
        <is>
          <t>Fundación Santa Fe de Bogotá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HYPERLINK("https://www.elempleo.com/co/ofertas-trabajo/recepcion-y-facturacion-de-laboratorio-clinico-1886761193", "Ver Vacante")</f>
        <v/>
      </c>
      <c r="H90" s="6" t="inlineStr"/>
      <c r="I90" s="3" t="inlineStr">
        <is>
          <t>[Afinidad: 58/100 -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6eafefaa9d4e76e6</t>
        </is>
      </c>
      <c r="B91" s="2" t="inlineStr">
        <is>
          <t>2026-09-24 16:07</t>
        </is>
      </c>
      <c r="C91" s="3" t="inlineStr">
        <is>
          <t>Recepcionista facturación en laboratorio clínico</t>
        </is>
      </c>
      <c r="D91" s="3" t="inlineStr">
        <is>
          <t>Fundación Santa Fe de Bogotá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HYPERLINK("https://www.elempleo.com/co/ofertas-trabajo/recepcionista-facturacion-en-laboratorio-clinico-1886753959", "Ver Vacante")</f>
        <v/>
      </c>
      <c r="H91" s="6" t="inlineStr"/>
      <c r="I91" s="3" t="inlineStr">
        <is>
          <t>[Afinidad: 58/100 -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1ac2af8aa1b80d19</t>
        </is>
      </c>
      <c r="B92" s="2" t="inlineStr">
        <is>
          <t>2026-09-24 16:07</t>
        </is>
      </c>
      <c r="C92" s="3" t="inlineStr">
        <is>
          <t>Recepcionista facturación en laboratorio clínico</t>
        </is>
      </c>
      <c r="D92" s="3" t="inlineStr">
        <is>
          <t>Fundación Santa Fe de Bogotá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HYPERLINK("https://www.elempleo.com/co/ofertas-trabajo/recepcionista-facturacion-en-laboratorio-clinico-1886746927", "Ver Vacante")</f>
        <v/>
      </c>
      <c r="H92" s="6" t="inlineStr"/>
      <c r="I92" s="3" t="inlineStr">
        <is>
          <t>[Afinidad: 58/100 -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5fb21eaeba4e417d</t>
        </is>
      </c>
      <c r="B93" s="2" t="inlineStr">
        <is>
          <t>2026-09-24 16:07</t>
        </is>
      </c>
      <c r="C93" s="3" t="inlineStr">
        <is>
          <t>Gestor de Facturación e Ingresos // Remoto</t>
        </is>
      </c>
      <c r="D93" s="3" t="inlineStr">
        <is>
          <t>Siigo</t>
        </is>
      </c>
      <c r="E93" s="7" t="n">
        <v>0.58</v>
      </c>
      <c r="F93" s="2" t="inlineStr">
        <is>
          <t>Remoto</t>
        </is>
      </c>
      <c r="G93" s="5">
        <f>HYPERLINK("https://co.linkedin.com/jobs/view/gestor-de-facturaci%C3%B3n-e-ingresos-remoto-pcd-at-siigo-4463333674", "Ver Vacante")</f>
        <v/>
      </c>
      <c r="H93" s="6" t="inlineStr"/>
      <c r="I93" s="3" t="inlineStr">
        <is>
          <t>[Afinidad: 58/100 -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acc279cbcc202e8c</t>
        </is>
      </c>
      <c r="B94" s="2" t="inlineStr">
        <is>
          <t>2026-09-24 16:07</t>
        </is>
      </c>
      <c r="C94" s="3" t="inlineStr">
        <is>
          <t>Data Entry Clerk</t>
        </is>
      </c>
      <c r="D94" s="3" t="inlineStr">
        <is>
          <t>Hired</t>
        </is>
      </c>
      <c r="E94" s="7" t="n">
        <v>0.58</v>
      </c>
      <c r="F94" s="2" t="inlineStr">
        <is>
          <t>Remoto</t>
        </is>
      </c>
      <c r="G94" s="5">
        <f>HYPERLINK("https://co.linkedin.com/jobs/view/data-entry-clerk-remote-at-hired-4466319108",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c9df64f69713d9c3</t>
        </is>
      </c>
      <c r="B95" s="2" t="inlineStr">
        <is>
          <t>2026-09-24 16:07</t>
        </is>
      </c>
      <c r="C95" s="3" t="inlineStr">
        <is>
          <t>Client Intake and Data Entry Specialist</t>
        </is>
      </c>
      <c r="D95" s="3" t="inlineStr">
        <is>
          <t>Job Duck</t>
        </is>
      </c>
      <c r="E95" s="7" t="n">
        <v>0.58</v>
      </c>
      <c r="F95" s="2" t="inlineStr">
        <is>
          <t>Remoto</t>
        </is>
      </c>
      <c r="G95" s="5">
        <f>HYPERLINK("https://co.linkedin.com/jobs/view/client-intake-and-data-entry-specialist-at-job-duck-4469179215",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bfd4f2e4c8eb51d6</t>
        </is>
      </c>
      <c r="B96" s="2" t="inlineStr">
        <is>
          <t>2026-09-24 16:07</t>
        </is>
      </c>
      <c r="C96" s="3" t="inlineStr">
        <is>
          <t>Data Entry Specialist - Remote Work | REF#169097</t>
        </is>
      </c>
      <c r="D96" s="3" t="inlineStr">
        <is>
          <t>BairesDev</t>
        </is>
      </c>
      <c r="E96" s="7" t="n">
        <v>0.58</v>
      </c>
      <c r="F96" s="2" t="inlineStr">
        <is>
          <t>Remoto</t>
        </is>
      </c>
      <c r="G96" s="5">
        <f>HYPERLINK("https://co.linkedin.com/jobs/view/data-entry-specialist-remote-work-ref%23169097-at-bairesdev-4140196697",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f71b85e853980a5b</t>
        </is>
      </c>
      <c r="B97" s="2" t="inlineStr">
        <is>
          <t>2026-09-24 16:07</t>
        </is>
      </c>
      <c r="C97" s="3" t="inlineStr">
        <is>
          <t>Data Entry Specialist</t>
        </is>
      </c>
      <c r="D97" s="3" t="inlineStr">
        <is>
          <t>Booth</t>
        </is>
      </c>
      <c r="E97" s="7" t="n">
        <v>0.58</v>
      </c>
      <c r="F97" s="2" t="inlineStr">
        <is>
          <t>Remoto</t>
        </is>
      </c>
      <c r="G97" s="5">
        <f>HYPERLINK("https://co.linkedin.com/jobs/view/data-entry-specialist-at-booth-4468950013",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b124540f32e77f79</t>
        </is>
      </c>
      <c r="B98" s="2" t="inlineStr">
        <is>
          <t>2026-09-24 16:07</t>
        </is>
      </c>
      <c r="C98" s="3" t="inlineStr">
        <is>
          <t>Digitador</t>
        </is>
      </c>
      <c r="D98" s="3" t="inlineStr">
        <is>
          <t>Iron Mountain</t>
        </is>
      </c>
      <c r="E98" s="7" t="n">
        <v>0.58</v>
      </c>
      <c r="F98" s="2" t="inlineStr">
        <is>
          <t>Remoto</t>
        </is>
      </c>
      <c r="G98" s="5">
        <f>HYPERLINK("https://co.linkedin.com/jobs/view/digitador-at-iron-mountain-4468884742",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648f264595161cd7</t>
        </is>
      </c>
      <c r="B99" s="2" t="inlineStr">
        <is>
          <t>2026-09-24 16:07</t>
        </is>
      </c>
      <c r="C99" s="3" t="inlineStr">
        <is>
          <t>Auxiliar Administrativa de Vicepresidencia Bilingüe</t>
        </is>
      </c>
      <c r="D99" s="3" t="inlineStr">
        <is>
          <t>Adecco</t>
        </is>
      </c>
      <c r="E99" s="7" t="n">
        <v>0.58</v>
      </c>
      <c r="F99" s="2" t="inlineStr">
        <is>
          <t>Remoto</t>
        </is>
      </c>
      <c r="G99" s="5">
        <f>HYPERLINK("https://co.linkedin.com/jobs/view/auxiliar-administrativa-de-vicepresidencia-biling%C3%BCe-at-adecco-4469224990",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eb90ed56020b1176</t>
        </is>
      </c>
      <c r="B100" s="2" t="inlineStr">
        <is>
          <t>2026-09-24 16:07</t>
        </is>
      </c>
      <c r="C100" s="3" t="inlineStr">
        <is>
          <t>Inside Sales Contractor</t>
        </is>
      </c>
      <c r="D100" s="3" t="inlineStr">
        <is>
          <t>Credit Wellness, LLC</t>
        </is>
      </c>
      <c r="E100" s="7" t="n">
        <v>0.58</v>
      </c>
      <c r="F100" s="2" t="inlineStr">
        <is>
          <t>Remoto</t>
        </is>
      </c>
      <c r="G100" s="5">
        <f>HYPERLINK("https://remotive.com/remote-jobs/sales/inside-sales-contractor-2086540", "Ver Vacante")</f>
        <v/>
      </c>
      <c r="H100" s="6" t="inlineStr">
        <is>
          <t>OTE $25k - $35k</t>
        </is>
      </c>
      <c r="I100" s="3" t="inlineStr">
        <is>
          <t>[Afinidad: 58/100 -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bab8c57875b70054</t>
        </is>
      </c>
      <c r="B101" s="2" t="inlineStr">
        <is>
          <t>2026-09-24 16:07</t>
        </is>
      </c>
      <c r="C101" s="3" t="inlineStr">
        <is>
          <t>Analista de Servicio al Cliente Digital / Personal con Discapacidad</t>
        </is>
      </c>
      <c r="D101" s="3" t="inlineStr">
        <is>
          <t>HOME BURGERS</t>
        </is>
      </c>
      <c r="E101" s="7" t="n">
        <v>0.53</v>
      </c>
      <c r="F101" s="2" t="inlineStr">
        <is>
          <t>Remoto</t>
        </is>
      </c>
      <c r="G101" s="5">
        <f>HYPERLINK("https://co.computrabajo.com/ofertas-de-trabajo/oferta-de-trabajo-de-analista-de-servicio-al-cliente-digital-personal-con-discapacidad-en-bogota-dc-11CE94961396D4CF61373E686DCF3405", "Ver Vacante")</f>
        <v/>
      </c>
      <c r="H101" s="6" t="inlineStr">
        <is>
          <t>$ 1.750.000,00 (Mensual)</t>
        </is>
      </c>
      <c r="I101" s="3" t="inlineStr">
        <is>
          <t>[Afinidad: 53/100 -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e4553a32da3edf6d</t>
        </is>
      </c>
      <c r="B102" s="2" t="inlineStr">
        <is>
          <t>2026-09-24 16:07</t>
        </is>
      </c>
      <c r="C102" s="3" t="inlineStr">
        <is>
          <t>Asesor de Servicio al Cliente / Remoto</t>
        </is>
      </c>
      <c r="D102" s="3" t="inlineStr">
        <is>
          <t>SIIGO S.A.S</t>
        </is>
      </c>
      <c r="E102" s="7" t="n">
        <v>0.53</v>
      </c>
      <c r="F102" s="2" t="inlineStr">
        <is>
          <t>Remoto</t>
        </is>
      </c>
      <c r="G102" s="5">
        <f>HYPERLINK("https://co.computrabajo.com/ofertas-de-trabajo/oferta-de-trabajo-de-asesor-de-servicio-al-cliente-remoto-en-bogota-dc-00C206C9966382F961373E686DCF3405", "Ver Vacante")</f>
        <v/>
      </c>
      <c r="H102" s="6" t="inlineStr">
        <is>
          <t>$ 1.750.905,00 (Mensual)</t>
        </is>
      </c>
      <c r="I102" s="3" t="inlineStr">
        <is>
          <t>[Afinidad: 53/100 -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2026-09-24T21:07:39Z</dcterms:created>
  <dcterms:modified xmlns:dcterms="http://purl.org/dc/terms/" xmlns:xsi="http://www.w3.org/2001/XMLSchema-instance" xsi:type="dcterms:W3CDTF">2026-09-24T21:07:40Z</dcterms:modified>
</cp:coreProperties>
</file>