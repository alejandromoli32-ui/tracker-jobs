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cantes_Vias_S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4E13"/>
      <sz val="10"/>
    </font>
    <font>
      <name val="Calibri"/>
      <color rgb="000563C1"/>
      <sz val="10"/>
      <u val="single"/>
    </font>
    <font>
      <name val="Calibri"/>
      <b val="1"/>
      <color rgb="007F6000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65" customWidth="1" min="3" max="3"/>
    <col width="35" customWidth="1" min="4" max="4"/>
    <col width="12" customWidth="1" min="5" max="5"/>
    <col width="18" customWidth="1" min="6" max="6"/>
    <col width="18" customWidth="1" min="7" max="7"/>
    <col width="28" customWidth="1" min="8" max="8"/>
    <col width="65" customWidth="1" min="9" max="9"/>
    <col width="16" customWidth="1" min="10" max="10"/>
    <col width="32" customWidth="1" min="11" max="11"/>
  </cols>
  <sheetData>
    <row r="1" ht="28" customHeight="1">
      <c r="A1" s="1" t="inlineStr">
        <is>
          <t>ID/Hash</t>
        </is>
      </c>
      <c r="B1" s="1" t="inlineStr">
        <is>
          <t>Fecha Detección</t>
        </is>
      </c>
      <c r="C1" s="1" t="inlineStr">
        <is>
          <t>Título</t>
        </is>
      </c>
      <c r="D1" s="1" t="inlineStr">
        <is>
          <t>Empresa</t>
        </is>
      </c>
      <c r="E1" s="1" t="inlineStr">
        <is>
          <t>Score %</t>
        </is>
      </c>
      <c r="F1" s="1" t="inlineStr">
        <is>
          <t>Modalidad</t>
        </is>
      </c>
      <c r="G1" s="1" t="inlineStr">
        <is>
          <t>Enlace Directo</t>
        </is>
      </c>
      <c r="H1" s="1" t="inlineStr">
        <is>
          <t>Salario</t>
        </is>
      </c>
      <c r="I1" s="1" t="inlineStr">
        <is>
          <t>Resumen de Afinidad</t>
        </is>
      </c>
      <c r="J1" s="1" t="inlineStr">
        <is>
          <t>Estado</t>
        </is>
      </c>
      <c r="K1" s="1" t="inlineStr">
        <is>
          <t>Notas Usuario</t>
        </is>
      </c>
    </row>
    <row r="2" ht="22" customHeight="1">
      <c r="A2" s="2" t="inlineStr">
        <is>
          <t>aa20834f94dfd155</t>
        </is>
      </c>
      <c r="B2" s="2" t="inlineStr">
        <is>
          <t>2026-09-24 16:07</t>
        </is>
      </c>
      <c r="C2" s="3" t="inlineStr">
        <is>
          <t>Auxiliar de facturacion o secretaria ips</t>
        </is>
      </c>
      <c r="D2" s="3" t="inlineStr">
        <is>
          <t>Confidencial</t>
        </is>
      </c>
      <c r="E2" s="4" t="n">
        <v>0.93</v>
      </c>
      <c r="F2" s="2" t="inlineStr">
        <is>
          <t>Remoto</t>
        </is>
      </c>
      <c r="G2" s="5">
        <f>HYPERLINK("https://www.elempleo.com/co/ofertas-trabajo/auxiliar-de-facturacion-o-secretaria-ips-1886747401", "Ver Vacante")</f>
        <v/>
      </c>
      <c r="H2" s="6" t="inlineStr"/>
      <c r="I2" s="3" t="inlineStr">
        <is>
          <t>[Afinidad: 93/100 - Alta Afinidad] Alta coincidencia técnica en Herramientas Ofimáticas, Excel y Soporte Contable / Facturación. Modalidad: 100% Remoto en Colombia confirmado.</t>
        </is>
      </c>
      <c r="J2" s="2" t="inlineStr">
        <is>
          <t>Nueva</t>
        </is>
      </c>
      <c r="K2" s="3" t="inlineStr"/>
    </row>
    <row r="3" ht="22" customHeight="1">
      <c r="A3" s="2" t="inlineStr">
        <is>
          <t>3d6eefdfe8f8b83b</t>
        </is>
      </c>
      <c r="B3" s="2" t="inlineStr">
        <is>
          <t>2026-10-12 20:20</t>
        </is>
      </c>
      <c r="C3" s="3" t="inlineStr">
        <is>
          <t>Auxiliar administrativo/ facturación hospitalario</t>
        </is>
      </c>
      <c r="D3" s="3" t="inlineStr">
        <is>
          <t>MEDICALL TALENTO HUMANO S.A.S.</t>
        </is>
      </c>
      <c r="E3" s="4" t="n">
        <v>0.93</v>
      </c>
      <c r="F3" s="2" t="inlineStr">
        <is>
          <t>Remoto</t>
        </is>
      </c>
      <c r="G3" s="5">
        <f>HYPERLINK("https://www.elempleo.com/co/ofertas-trabajo/auxiliar-administrativo-facturacion-hospitalario-1886767814", "Ver Vacante")</f>
        <v/>
      </c>
      <c r="H3" s="6" t="inlineStr"/>
      <c r="I3" s="3" t="inlineStr">
        <is>
          <t>[Afinidad: 93/100 - Alta Afinidad] Alta coincidencia técnica en Herramientas Ofimáticas, Excel y Soporte Contable / Facturación. Modalidad: 100% Remoto en Colombia confirmado.</t>
        </is>
      </c>
      <c r="J3" s="2" t="inlineStr">
        <is>
          <t>Nueva</t>
        </is>
      </c>
      <c r="K3" s="3" t="inlineStr"/>
    </row>
    <row r="4" ht="22" customHeight="1">
      <c r="A4" s="2" t="inlineStr">
        <is>
          <t>e525f145f275012a</t>
        </is>
      </c>
      <c r="B4" s="2" t="inlineStr">
        <is>
          <t>2026-09-24 16:07</t>
        </is>
      </c>
      <c r="C4" s="3" t="inlineStr">
        <is>
          <t>Remote Office Assistant</t>
        </is>
      </c>
      <c r="D4" s="3" t="inlineStr">
        <is>
          <t>Coalition Technologies</t>
        </is>
      </c>
      <c r="E4" s="4" t="n">
        <v>0.78</v>
      </c>
      <c r="F4" s="2" t="inlineStr">
        <is>
          <t>Remoto</t>
        </is>
      </c>
      <c r="G4" s="5">
        <f>HYPERLINK("https://remotive.com/remote-jobs/marketing/remote-office-assistant-1680495", "Ver Vacante")</f>
        <v/>
      </c>
      <c r="H4" s="6" t="inlineStr">
        <is>
          <t>$35,3k- $52k</t>
        </is>
      </c>
      <c r="I4" s="3" t="inlineStr">
        <is>
          <t>[Afinidad: 78/100 - Alta Afinidad] Alta coincidencia técnica en Herramientas Ofimáticas, Excel y Soporte Contable / Facturación. Modalidad: 100% Remoto en Colombia confirmado.</t>
        </is>
      </c>
      <c r="J4" s="2" t="inlineStr">
        <is>
          <t>Nueva</t>
        </is>
      </c>
      <c r="K4" s="3" t="inlineStr"/>
    </row>
    <row r="5" ht="22" customHeight="1">
      <c r="A5" s="2" t="inlineStr">
        <is>
          <t>3c78d827079503ad</t>
        </is>
      </c>
      <c r="B5" s="2" t="inlineStr">
        <is>
          <t>2026-10-03 15:14</t>
        </is>
      </c>
      <c r="C5" s="3" t="inlineStr">
        <is>
          <t>Digitador SAP</t>
        </is>
      </c>
      <c r="D5" s="3" t="inlineStr">
        <is>
          <t>Industrias Puropollo S.A.S</t>
        </is>
      </c>
      <c r="E5" s="4" t="n">
        <v>0.78</v>
      </c>
      <c r="F5" s="2" t="inlineStr">
        <is>
          <t>Remoto</t>
        </is>
      </c>
      <c r="G5" s="5">
        <f>HYPERLINK("https://co.linkedin.com/jobs/view/digitador-sap-at-industrias-puropollo-s-a-s-4475052500", "Ver Vacante")</f>
        <v/>
      </c>
      <c r="H5" s="6" t="inlineStr"/>
      <c r="I5" s="3" t="inlineStr">
        <is>
          <t>[Afinidad: 78/100 - Alta Afinidad] Afinidad moderada en áreas técnicas del cargo (Auxiliar Administrativo / Asistente Virtual). Modalidad: 100% Remoto en Colombia confirmado.</t>
        </is>
      </c>
      <c r="J5" s="2" t="inlineStr">
        <is>
          <t>Nueva</t>
        </is>
      </c>
      <c r="K5" s="3" t="inlineStr"/>
    </row>
    <row r="6" ht="22" customHeight="1">
      <c r="A6" s="2" t="inlineStr">
        <is>
          <t>5e69bdc3d8d68672</t>
        </is>
      </c>
      <c r="B6" s="2" t="inlineStr">
        <is>
          <t>2026-09-24 16:07</t>
        </is>
      </c>
      <c r="C6" s="3" t="inlineStr">
        <is>
          <t>Auxiliar de Facturación Teletrabajo</t>
        </is>
      </c>
      <c r="D6" s="3" t="inlineStr">
        <is>
          <t>Importante empresa del sector</t>
        </is>
      </c>
      <c r="E6" s="4" t="n">
        <v>0.73</v>
      </c>
      <c r="F6" s="2" t="inlineStr">
        <is>
          <t>Remoto</t>
        </is>
      </c>
      <c r="G6" s="5">
        <f>HYPERLINK("https://co.computrabajo.com/ofertas-de-trabajo/oferta-de-trabajo-de-auxiliar-de-facturacion-teletrabajo-en-cali-436F39785C023D1261373E686DCF3405", "Ver Vacante")</f>
        <v/>
      </c>
      <c r="H6" s="6" t="inlineStr">
        <is>
          <t>Remoto</t>
        </is>
      </c>
      <c r="I6" s="3" t="inlineStr">
        <is>
          <t>[Afinidad: 73/100 - Alta Afinidad] Alta coincidencia técnica en Herramientas Ofimáticas, Excel y Soporte Contable / Facturación. Modalidad: 100% Remoto en Colombia confirmado.</t>
        </is>
      </c>
      <c r="J6" s="2" t="inlineStr">
        <is>
          <t>Nueva</t>
        </is>
      </c>
      <c r="K6" s="3" t="inlineStr"/>
    </row>
    <row r="7" ht="22" customHeight="1">
      <c r="A7" s="2" t="inlineStr">
        <is>
          <t>7cf82a12d60b65c7</t>
        </is>
      </c>
      <c r="B7" s="2" t="inlineStr">
        <is>
          <t>2026-09-24 16:07</t>
        </is>
      </c>
      <c r="C7" s="3" t="inlineStr">
        <is>
          <t>Auxiliar contable- conocimiento y dominio en erp siigo nube</t>
        </is>
      </c>
      <c r="D7" s="3" t="inlineStr">
        <is>
          <t>Confidencial</t>
        </is>
      </c>
      <c r="E7" s="4" t="n">
        <v>0.73</v>
      </c>
      <c r="F7" s="2" t="inlineStr">
        <is>
          <t>Remoto</t>
        </is>
      </c>
      <c r="G7" s="5">
        <f>HYPERLINK("https://www.elempleo.com/co/ofertas-trabajo/auxiliar-contable-conocimiento-y-dominio-en-erp-siigo-nube-1886749387", "Ver Vacante")</f>
        <v/>
      </c>
      <c r="H7" s="6" t="inlineStr"/>
      <c r="I7" s="3" t="inlineStr">
        <is>
          <t>[Afinidad: 73/100 - Alta Afinidad] Alta coincidencia técnica en Herramientas Ofimáticas, Excel y Soporte Contable / Facturación. Modalidad: 100% Remoto en Colombia confirmado.</t>
        </is>
      </c>
      <c r="J7" s="2" t="inlineStr">
        <is>
          <t>Nueva</t>
        </is>
      </c>
      <c r="K7" s="3" t="inlineStr"/>
    </row>
    <row r="8" ht="22" customHeight="1">
      <c r="A8" s="2" t="inlineStr">
        <is>
          <t>80dcaff6c76c4739</t>
        </is>
      </c>
      <c r="B8" s="2" t="inlineStr">
        <is>
          <t>2026-09-24 16:07</t>
        </is>
      </c>
      <c r="C8" s="3" t="inlineStr">
        <is>
          <t>Auxiliar de facturación</t>
        </is>
      </c>
      <c r="D8" s="3" t="inlineStr">
        <is>
          <t>Tower Consulting WorldWide SAS</t>
        </is>
      </c>
      <c r="E8" s="4" t="n">
        <v>0.73</v>
      </c>
      <c r="F8" s="2" t="inlineStr">
        <is>
          <t>Remoto</t>
        </is>
      </c>
      <c r="G8" s="5">
        <f>HYPERLINK("https://www.elempleo.com/co/ofertas-trabajo/auxiliar-de-facturacion-1886756116", "Ver Vacante")</f>
        <v/>
      </c>
      <c r="H8" s="6" t="inlineStr"/>
      <c r="I8" s="3" t="inlineStr">
        <is>
          <t>[Afinidad: 73/100 - Alta Afinidad] Alta coincidencia técnica en Herramientas Ofimáticas, Excel y Soporte Contable / Facturación. Modalidad: 100% Remoto en Colombia confirmado.</t>
        </is>
      </c>
      <c r="J8" s="2" t="inlineStr">
        <is>
          <t>Nueva</t>
        </is>
      </c>
      <c r="K8" s="3" t="inlineStr"/>
    </row>
    <row r="9" ht="22" customHeight="1">
      <c r="A9" s="2" t="inlineStr">
        <is>
          <t>2a5b492f2cf08a86</t>
        </is>
      </c>
      <c r="B9" s="2" t="inlineStr">
        <is>
          <t>2026-09-24 16:07</t>
        </is>
      </c>
      <c r="C9" s="3" t="inlineStr">
        <is>
          <t>Auxiliar de facturacion // yopal medio tiempo</t>
        </is>
      </c>
      <c r="D9" s="3" t="inlineStr">
        <is>
          <t>Confidencial</t>
        </is>
      </c>
      <c r="E9" s="4" t="n">
        <v>0.73</v>
      </c>
      <c r="F9" s="2" t="inlineStr">
        <is>
          <t>Remoto</t>
        </is>
      </c>
      <c r="G9" s="5">
        <f>HYPERLINK("https://www.elempleo.com/co/ofertas-trabajo/auxiliar-de-facturacion-yopal-medio-tiempo-1886767206", "Ver Vacante")</f>
        <v/>
      </c>
      <c r="H9" s="6" t="inlineStr"/>
      <c r="I9" s="3" t="inlineStr">
        <is>
          <t>[Afinidad: 73/100 - Alta Afinidad] Alta coincidencia técnica en Herramientas Ofimáticas, Excel y Soporte Contable / Facturación. Modalidad: 100% Remoto en Colombia confirmado.</t>
        </is>
      </c>
      <c r="J9" s="2" t="inlineStr">
        <is>
          <t>Nueva</t>
        </is>
      </c>
      <c r="K9" s="3" t="inlineStr"/>
    </row>
    <row r="10" ht="22" customHeight="1">
      <c r="A10" s="2" t="inlineStr">
        <is>
          <t>4e81a6e21cf2499c</t>
        </is>
      </c>
      <c r="B10" s="2" t="inlineStr">
        <is>
          <t>2026-09-24 16:07</t>
        </is>
      </c>
      <c r="C10" s="3" t="inlineStr">
        <is>
          <t>Auxiliar contable - sap - facturacion electronica - bogota</t>
        </is>
      </c>
      <c r="D10" s="3" t="inlineStr">
        <is>
          <t>ADECCO COLOMBIA S A</t>
        </is>
      </c>
      <c r="E10" s="4" t="n">
        <v>0.73</v>
      </c>
      <c r="F10" s="2" t="inlineStr">
        <is>
          <t>Remoto</t>
        </is>
      </c>
      <c r="G10" s="5">
        <f>HYPERLINK("https://www.elempleo.com/co/ofertas-trabajo/auxiliar-contable-sap-facturacion-electronica-bogota-1886767171", "Ver Vacante")</f>
        <v/>
      </c>
      <c r="H10" s="6" t="inlineStr"/>
      <c r="I10" s="3" t="inlineStr">
        <is>
          <t>[Afinidad: 73/100 - Alta Afinidad] Alta coincidencia técnica en Herramientas Ofimáticas, Excel y Soporte Contable / Facturación. Modalidad: 100% Remoto en Colombia confirmado.</t>
        </is>
      </c>
      <c r="J10" s="2" t="inlineStr">
        <is>
          <t>Nueva</t>
        </is>
      </c>
      <c r="K10" s="3" t="inlineStr"/>
    </row>
    <row r="11" ht="22" customHeight="1">
      <c r="A11" s="2" t="inlineStr">
        <is>
          <t>5b72a870b18cd8dd</t>
        </is>
      </c>
      <c r="B11" s="2" t="inlineStr">
        <is>
          <t>2026-09-24 16:07</t>
        </is>
      </c>
      <c r="C11" s="3" t="inlineStr">
        <is>
          <t>Auxiliar de facturación</t>
        </is>
      </c>
      <c r="D11" s="3" t="inlineStr">
        <is>
          <t>Confidencial</t>
        </is>
      </c>
      <c r="E11" s="4" t="n">
        <v>0.73</v>
      </c>
      <c r="F11" s="2" t="inlineStr">
        <is>
          <t>Remoto</t>
        </is>
      </c>
      <c r="G11" s="5">
        <f>HYPERLINK("https://www.elempleo.com/co/ofertas-trabajo/auxiliar-de-facturacion-1886767351", "Ver Vacante")</f>
        <v/>
      </c>
      <c r="H11" s="6" t="inlineStr"/>
      <c r="I11" s="3" t="inlineStr">
        <is>
          <t>[Afinidad: 73/100 - Alta Afinidad] Alta coincidencia técnica en Herramientas Ofimáticas, Excel y Soporte Contable / Facturación. Modalidad: 100% Remoto en Colombia confirmado.</t>
        </is>
      </c>
      <c r="J11" s="2" t="inlineStr">
        <is>
          <t>Nueva</t>
        </is>
      </c>
      <c r="K11" s="3" t="inlineStr"/>
    </row>
    <row r="12" ht="22" customHeight="1">
      <c r="A12" s="2" t="inlineStr">
        <is>
          <t>aaf3a1241a43d56a</t>
        </is>
      </c>
      <c r="B12" s="2" t="inlineStr">
        <is>
          <t>2026-09-24 16:07</t>
        </is>
      </c>
      <c r="C12" s="3" t="inlineStr">
        <is>
          <t>Asistente de facturación y despachos - yumbo</t>
        </is>
      </c>
      <c r="D12" s="3" t="inlineStr">
        <is>
          <t>DISAN COLOMBIA S.A.S</t>
        </is>
      </c>
      <c r="E12" s="4" t="n">
        <v>0.73</v>
      </c>
      <c r="F12" s="2" t="inlineStr">
        <is>
          <t>Remoto</t>
        </is>
      </c>
      <c r="G12" s="5">
        <f>HYPERLINK("https://www.elempleo.com/co/ofertas-trabajo/asistente-de-facturacion-y-despachos-yumbo-1886765290", "Ver Vacante")</f>
        <v/>
      </c>
      <c r="H12" s="6" t="inlineStr"/>
      <c r="I12" s="3" t="inlineStr">
        <is>
          <t>[Afinidad: 73/100 - Alta Afinidad] Alta coincidencia técnica en Herramientas Ofimáticas, Excel y Soporte Contable / Facturación. Modalidad: 100% Remoto en Colombia confirmado.</t>
        </is>
      </c>
      <c r="J12" s="2" t="inlineStr">
        <is>
          <t>Nueva</t>
        </is>
      </c>
      <c r="K12" s="3" t="inlineStr"/>
    </row>
    <row r="13" ht="22" customHeight="1">
      <c r="A13" s="2" t="inlineStr">
        <is>
          <t>4c6e2ae68998ff1f</t>
        </is>
      </c>
      <c r="B13" s="2" t="inlineStr">
        <is>
          <t>2026-09-24 16:07</t>
        </is>
      </c>
      <c r="C13" s="3" t="inlineStr">
        <is>
          <t>Auxiliar de facturación</t>
        </is>
      </c>
      <c r="D13" s="3" t="inlineStr">
        <is>
          <t>Confidencial</t>
        </is>
      </c>
      <c r="E13" s="4" t="n">
        <v>0.73</v>
      </c>
      <c r="F13" s="2" t="inlineStr">
        <is>
          <t>Remoto</t>
        </is>
      </c>
      <c r="G13" s="5">
        <f>HYPERLINK("https://www.elempleo.com/co/ofertas-trabajo/auxiliar-de-facturacion-ibague-1886770122", "Ver Vacante")</f>
        <v/>
      </c>
      <c r="H13" s="6" t="inlineStr"/>
      <c r="I13" s="3" t="inlineStr">
        <is>
          <t>[Afinidad: 73/100 - Alta Afinidad] Alta coincidencia técnica en Herramientas Ofimáticas, Excel y Soporte Contable / Facturación. Modalidad: 100% Remoto en Colombia confirmado.</t>
        </is>
      </c>
      <c r="J13" s="2" t="inlineStr">
        <is>
          <t>Nueva</t>
        </is>
      </c>
      <c r="K13" s="3" t="inlineStr"/>
    </row>
    <row r="14" ht="22" customHeight="1">
      <c r="A14" s="2" t="inlineStr">
        <is>
          <t>dad6a39f05eb0872</t>
        </is>
      </c>
      <c r="B14" s="2" t="inlineStr">
        <is>
          <t>2026-09-24 16:07</t>
        </is>
      </c>
      <c r="C14" s="3" t="inlineStr">
        <is>
          <t>Auxiliar de facturación hospitalario</t>
        </is>
      </c>
      <c r="D14" s="3" t="inlineStr">
        <is>
          <t>INSTITUTO ROOSEVELT</t>
        </is>
      </c>
      <c r="E14" s="4" t="n">
        <v>0.73</v>
      </c>
      <c r="F14" s="2" t="inlineStr">
        <is>
          <t>Remoto</t>
        </is>
      </c>
      <c r="G14" s="5">
        <f>HYPERLINK("https://www.elempleo.com/co/ofertas-trabajo/auxiliar-de-facturacion-hospitalario-1886760993", "Ver Vacante")</f>
        <v/>
      </c>
      <c r="H14" s="6" t="inlineStr"/>
      <c r="I14" s="3" t="inlineStr">
        <is>
          <t>[Afinidad: 73/100 - Alta Afinidad] Alta coincidencia técnica en Herramientas Ofimáticas, Excel y Soporte Contable / Facturación. Modalidad: 100% Remoto en Colombia confirmado.</t>
        </is>
      </c>
      <c r="J14" s="2" t="inlineStr">
        <is>
          <t>Nueva</t>
        </is>
      </c>
      <c r="K14" s="3" t="inlineStr"/>
    </row>
    <row r="15" ht="22" customHeight="1">
      <c r="A15" s="2" t="inlineStr">
        <is>
          <t>c80879dace821f2d</t>
        </is>
      </c>
      <c r="B15" s="2" t="inlineStr">
        <is>
          <t>2026-09-24 16:07</t>
        </is>
      </c>
      <c r="C15" s="3" t="inlineStr">
        <is>
          <t>Auxiliar de facturación - 1626343701-25</t>
        </is>
      </c>
      <c r="D15" s="3" t="inlineStr">
        <is>
          <t>AGENCIA DE EMPLEO Y FOMENTO EMPRESARIAL COMPENSAR</t>
        </is>
      </c>
      <c r="E15" s="4" t="n">
        <v>0.73</v>
      </c>
      <c r="F15" s="2" t="inlineStr">
        <is>
          <t>Remoto</t>
        </is>
      </c>
      <c r="G15" s="5">
        <f>HYPERLINK("https://www.elempleo.com/co/ofertas-trabajo/auxiliar-de-facturacion-162634370125-1886768889", "Ver Vacante")</f>
        <v/>
      </c>
      <c r="H15" s="6" t="inlineStr"/>
      <c r="I15" s="3" t="inlineStr">
        <is>
          <t>[Afinidad: 73/100 - Alta Afinidad] Alta coincidencia técnica en Herramientas Ofimáticas, Excel y Soporte Contable / Facturación. Modalidad: 100% Remoto en Colombia confirmado.</t>
        </is>
      </c>
      <c r="J15" s="2" t="inlineStr">
        <is>
          <t>Nueva</t>
        </is>
      </c>
      <c r="K15" s="3" t="inlineStr"/>
    </row>
    <row r="16" ht="22" customHeight="1">
      <c r="A16" s="2" t="inlineStr">
        <is>
          <t>a581954268b43f5e</t>
        </is>
      </c>
      <c r="B16" s="2" t="inlineStr">
        <is>
          <t>2026-09-24 16:07</t>
        </is>
      </c>
      <c r="C16" s="3" t="inlineStr">
        <is>
          <t>Auxiliar de facturacion hospitalaria</t>
        </is>
      </c>
      <c r="D16" s="3" t="inlineStr">
        <is>
          <t>Confidencial</t>
        </is>
      </c>
      <c r="E16" s="4" t="n">
        <v>0.73</v>
      </c>
      <c r="F16" s="2" t="inlineStr">
        <is>
          <t>Remoto</t>
        </is>
      </c>
      <c r="G16" s="5">
        <f>HYPERLINK("https://www.elempleo.com/co/ofertas-trabajo/auxiliar-de-facturacion-hospitalaria-1886760847", "Ver Vacante")</f>
        <v/>
      </c>
      <c r="H16" s="6" t="inlineStr"/>
      <c r="I16" s="3" t="inlineStr">
        <is>
          <t>[Afinidad: 73/100 - Alta Afinidad] Alta coincidencia técnica en Herramientas Ofimáticas, Excel y Soporte Contable / Facturación. Modalidad: 100% Remoto en Colombia confirmado.</t>
        </is>
      </c>
      <c r="J16" s="2" t="inlineStr">
        <is>
          <t>Nueva</t>
        </is>
      </c>
      <c r="K16" s="3" t="inlineStr"/>
    </row>
    <row r="17" ht="22" customHeight="1">
      <c r="A17" s="2" t="inlineStr">
        <is>
          <t>f19945acad64eb39</t>
        </is>
      </c>
      <c r="B17" s="2" t="inlineStr">
        <is>
          <t>2026-09-24 16:07</t>
        </is>
      </c>
      <c r="C17" s="3" t="inlineStr">
        <is>
          <t>Auxiliar de facturacion hospitalaria</t>
        </is>
      </c>
      <c r="D17" s="3" t="inlineStr">
        <is>
          <t>CLINICA SHAIO</t>
        </is>
      </c>
      <c r="E17" s="4" t="n">
        <v>0.73</v>
      </c>
      <c r="F17" s="2" t="inlineStr">
        <is>
          <t>Remoto</t>
        </is>
      </c>
      <c r="G17" s="5">
        <f>HYPERLINK("https://www.elempleo.com/co/ofertas-trabajo/auxiliar-de-facturacion-hospitalaria-1886377445", "Ver Vacante")</f>
        <v/>
      </c>
      <c r="H17" s="6" t="inlineStr"/>
      <c r="I17" s="3" t="inlineStr">
        <is>
          <t>[Afinidad: 73/100 - Alta Afinidad] Alta coincidencia técnica en Herramientas Ofimáticas, Excel y Soporte Contable / Facturación. Modalidad: 100% Remoto en Colombia confirmado.</t>
        </is>
      </c>
      <c r="J17" s="2" t="inlineStr">
        <is>
          <t>Nueva</t>
        </is>
      </c>
      <c r="K17" s="3" t="inlineStr"/>
    </row>
    <row r="18" ht="22" customHeight="1">
      <c r="A18" s="2" t="inlineStr">
        <is>
          <t>c5b127601236be94</t>
        </is>
      </c>
      <c r="B18" s="2" t="inlineStr">
        <is>
          <t>2026-09-24 16:07</t>
        </is>
      </c>
      <c r="C18" s="3" t="inlineStr">
        <is>
          <t>Auxiliar de facturacion // sector salud laboratorio clinico /// villavicencio meta</t>
        </is>
      </c>
      <c r="D18" s="3" t="inlineStr">
        <is>
          <t>Confidencial</t>
        </is>
      </c>
      <c r="E18" s="4" t="n">
        <v>0.73</v>
      </c>
      <c r="F18" s="2" t="inlineStr">
        <is>
          <t>Remoto</t>
        </is>
      </c>
      <c r="G18" s="5">
        <f>HYPERLINK("https://www.elempleo.com/co/ofertas-trabajo/auxiliar-de-facturacion-sector-salud-laboratorio-clinico-villavicencio-meta-1886746288", "Ver Vacante")</f>
        <v/>
      </c>
      <c r="H18" s="6" t="inlineStr"/>
      <c r="I18" s="3" t="inlineStr">
        <is>
          <t>[Afinidad: 73/100 - Alta Afinidad] Alta coincidencia técnica en Herramientas Ofimáticas, Excel y Soporte Contable / Facturación. Modalidad: 100% Remoto en Colombia confirmado.</t>
        </is>
      </c>
      <c r="J18" s="2" t="inlineStr">
        <is>
          <t>Nueva</t>
        </is>
      </c>
      <c r="K18" s="3" t="inlineStr"/>
    </row>
    <row r="19" ht="22" customHeight="1">
      <c r="A19" s="2" t="inlineStr">
        <is>
          <t>6bf2402aaa779ade</t>
        </is>
      </c>
      <c r="B19" s="2" t="inlineStr">
        <is>
          <t>2026-09-24 16:07</t>
        </is>
      </c>
      <c r="C19" s="3" t="inlineStr">
        <is>
          <t>1626506410-20 - auxiliar de facturación - engativá</t>
        </is>
      </c>
      <c r="D19" s="3" t="inlineStr">
        <is>
          <t>AGENCIA DE EMPLEO Y FOMENTO EMPRESARIAL COMPENSAR</t>
        </is>
      </c>
      <c r="E19" s="4" t="n">
        <v>0.73</v>
      </c>
      <c r="F19" s="2" t="inlineStr">
        <is>
          <t>Remoto</t>
        </is>
      </c>
      <c r="G19" s="5">
        <f>HYPERLINK("https://www.elempleo.com/co/ofertas-trabajo/162650641020-auxiliar-de-facturacion-engativa-1886768147", "Ver Vacante")</f>
        <v/>
      </c>
      <c r="H19" s="6" t="inlineStr"/>
      <c r="I19" s="3" t="inlineStr">
        <is>
          <t>[Afinidad: 73/100 - Alta Afinidad] Alta coincidencia técnica en Herramientas Ofimáticas, Excel y Soporte Contable / Facturación. Modalidad: 100% Remoto en Colombia confirmado.</t>
        </is>
      </c>
      <c r="J19" s="2" t="inlineStr">
        <is>
          <t>Nueva</t>
        </is>
      </c>
      <c r="K19" s="3" t="inlineStr"/>
    </row>
    <row r="20" ht="22" customHeight="1">
      <c r="A20" s="2" t="inlineStr">
        <is>
          <t>9211ddea62d9bfb6</t>
        </is>
      </c>
      <c r="B20" s="2" t="inlineStr">
        <is>
          <t>2026-09-24 16:07</t>
        </is>
      </c>
      <c r="C20" s="3" t="inlineStr">
        <is>
          <t>Auxiliar de facturación experiencia en armado y radicación de cuentas</t>
        </is>
      </c>
      <c r="D20" s="3" t="inlineStr">
        <is>
          <t>Fundación Santa Fe de Bogotá</t>
        </is>
      </c>
      <c r="E20" s="4" t="n">
        <v>0.73</v>
      </c>
      <c r="F20" s="2" t="inlineStr">
        <is>
          <t>Remoto</t>
        </is>
      </c>
      <c r="G20" s="5">
        <f>HYPERLINK("https://www.elempleo.com/co/ofertas-trabajo/auxiliar-de-facturacion-experiencia-en-armado-y-radicacion-de-cuentas-1886744224", "Ver Vacante")</f>
        <v/>
      </c>
      <c r="H20" s="6" t="inlineStr"/>
      <c r="I20" s="3" t="inlineStr">
        <is>
          <t>[Afinidad: 73/100 - Alta Afinidad] Alta coincidencia técnica en Herramientas Ofimáticas, Excel y Soporte Contable / Facturación. Modalidad: 100% Remoto en Colombia confirmado.</t>
        </is>
      </c>
      <c r="J20" s="2" t="inlineStr">
        <is>
          <t>Nueva</t>
        </is>
      </c>
      <c r="K20" s="3" t="inlineStr"/>
    </row>
    <row r="21" ht="22" customHeight="1">
      <c r="A21" s="2" t="inlineStr">
        <is>
          <t>1525a4a624cf5cd3</t>
        </is>
      </c>
      <c r="B21" s="2" t="inlineStr">
        <is>
          <t>2026-09-24 16:07</t>
        </is>
      </c>
      <c r="C21" s="3" t="inlineStr">
        <is>
          <t>Auxiliar de facturacion cuentas medicas indefinido</t>
        </is>
      </c>
      <c r="D21" s="3" t="inlineStr">
        <is>
          <t>MEDICALL TALENTO HUMANO S.A.S.</t>
        </is>
      </c>
      <c r="E21" s="4" t="n">
        <v>0.73</v>
      </c>
      <c r="F21" s="2" t="inlineStr">
        <is>
          <t>Remoto</t>
        </is>
      </c>
      <c r="G21" s="5">
        <f>HYPERLINK("https://www.elempleo.com/co/ofertas-trabajo/auxiliar-de-facturacion-cuentas-medicas-indefinido-1886767336", "Ver Vacante")</f>
        <v/>
      </c>
      <c r="H21" s="6" t="inlineStr"/>
      <c r="I21" s="3" t="inlineStr">
        <is>
          <t>[Afinidad: 73/100 - Alta Afinidad] Alta coincidencia técnica en Herramientas Ofimáticas, Excel y Soporte Contable / Facturación. Modalidad: 100% Remoto en Colombia confirmado.</t>
        </is>
      </c>
      <c r="J21" s="2" t="inlineStr">
        <is>
          <t>Nueva</t>
        </is>
      </c>
      <c r="K21" s="3" t="inlineStr"/>
    </row>
    <row r="22" ht="22" customHeight="1">
      <c r="A22" s="2" t="inlineStr">
        <is>
          <t>d24c0581ada3f712</t>
        </is>
      </c>
      <c r="B22" s="2" t="inlineStr">
        <is>
          <t>2026-09-24 16:07</t>
        </is>
      </c>
      <c r="C22" s="3" t="inlineStr">
        <is>
          <t>Recepcionista auxiliar de facturación área laboratorio clínico</t>
        </is>
      </c>
      <c r="D22" s="3" t="inlineStr">
        <is>
          <t>Fundación Santa Fe de Bogotá</t>
        </is>
      </c>
      <c r="E22" s="4" t="n">
        <v>0.73</v>
      </c>
      <c r="F22" s="2" t="inlineStr">
        <is>
          <t>Remoto</t>
        </is>
      </c>
      <c r="G22" s="5">
        <f>HYPERLINK("https://www.elempleo.com/co/ofertas-trabajo/recepcionista-auxiliar-de-facturacion-area-laboratorio-clinico-1886771966", "Ver Vacante")</f>
        <v/>
      </c>
      <c r="H22" s="6" t="inlineStr"/>
      <c r="I22" s="3" t="inlineStr">
        <is>
          <t>[Afinidad: 73/100 - Alta Afinidad] Alta coincidencia técnica en Herramientas Ofimáticas, Excel y Soporte Contable / Facturación. Modalidad: 100% Remoto en Colombia confirmado.</t>
        </is>
      </c>
      <c r="J22" s="2" t="inlineStr">
        <is>
          <t>Nueva</t>
        </is>
      </c>
      <c r="K22" s="3" t="inlineStr"/>
    </row>
    <row r="23" ht="22" customHeight="1">
      <c r="A23" s="2" t="inlineStr">
        <is>
          <t>fb3dea6d6d65b76e</t>
        </is>
      </c>
      <c r="B23" s="2" t="inlineStr">
        <is>
          <t>2026-09-24 16:07</t>
        </is>
      </c>
      <c r="C23" s="3" t="inlineStr">
        <is>
          <t>Auxiliar de facturacion conocimientos en sap</t>
        </is>
      </c>
      <c r="D23" s="3" t="inlineStr">
        <is>
          <t>ATIEMPO S.A.S</t>
        </is>
      </c>
      <c r="E23" s="4" t="n">
        <v>0.73</v>
      </c>
      <c r="F23" s="2" t="inlineStr">
        <is>
          <t>Remoto</t>
        </is>
      </c>
      <c r="G23" s="5">
        <f>HYPERLINK("https://www.elempleo.com/co/ofertas-trabajo/auxiliar-de-facturacion-conocimientos-en-sap-1886753956", "Ver Vacante")</f>
        <v/>
      </c>
      <c r="H23" s="6" t="inlineStr"/>
      <c r="I23" s="3" t="inlineStr">
        <is>
          <t>[Afinidad: 73/100 - Alta Afinidad] Alta coincidencia técnica en Herramientas Ofimáticas, Excel y Soporte Contable / Facturación. Modalidad: 100% Remoto en Colombia confirmado.</t>
        </is>
      </c>
      <c r="J23" s="2" t="inlineStr">
        <is>
          <t>Nueva</t>
        </is>
      </c>
      <c r="K23" s="3" t="inlineStr"/>
    </row>
    <row r="24" ht="22" customHeight="1">
      <c r="A24" s="2" t="inlineStr">
        <is>
          <t>88175481acb2458e</t>
        </is>
      </c>
      <c r="B24" s="2" t="inlineStr">
        <is>
          <t>2026-09-24 16:07</t>
        </is>
      </c>
      <c r="C24" s="3" t="inlineStr">
        <is>
          <t>Asistente contable y facturacion</t>
        </is>
      </c>
      <c r="D24" s="3" t="inlineStr">
        <is>
          <t>Confidencial</t>
        </is>
      </c>
      <c r="E24" s="4" t="n">
        <v>0.73</v>
      </c>
      <c r="F24" s="2" t="inlineStr">
        <is>
          <t>Remoto</t>
        </is>
      </c>
      <c r="G24" s="5">
        <f>HYPERLINK("https://www.elempleo.com/co/ofertas-trabajo/asistente-contable-y-facturacion-1886744516", "Ver Vacante")</f>
        <v/>
      </c>
      <c r="H24" s="6" t="inlineStr"/>
      <c r="I24" s="3" t="inlineStr">
        <is>
          <t>[Afinidad: 73/100 - Alta Afinidad] Alta coincidencia técnica en Herramientas Ofimáticas, Excel y Soporte Contable / Facturación. Modalidad: 100% Remoto en Colombia confirmado.</t>
        </is>
      </c>
      <c r="J24" s="2" t="inlineStr">
        <is>
          <t>Nueva</t>
        </is>
      </c>
      <c r="K24" s="3" t="inlineStr"/>
    </row>
    <row r="25" ht="22" customHeight="1">
      <c r="A25" s="2" t="inlineStr">
        <is>
          <t>d82065ac5307df49</t>
        </is>
      </c>
      <c r="B25" s="2" t="inlineStr">
        <is>
          <t>2026-09-24 16:07</t>
        </is>
      </c>
      <c r="C25" s="3" t="inlineStr">
        <is>
          <t>Auxiliar de facturación</t>
        </is>
      </c>
      <c r="D25" s="3" t="inlineStr">
        <is>
          <t>Confidencial</t>
        </is>
      </c>
      <c r="E25" s="4" t="n">
        <v>0.73</v>
      </c>
      <c r="F25" s="2" t="inlineStr">
        <is>
          <t>Remoto</t>
        </is>
      </c>
      <c r="G25" s="5">
        <f>HYPERLINK("https://www.elempleo.com/co/ofertas-trabajo/auxiliar-de-facturacion-1886758187", "Ver Vacante")</f>
        <v/>
      </c>
      <c r="H25" s="6" t="inlineStr"/>
      <c r="I25" s="3" t="inlineStr">
        <is>
          <t>[Afinidad: 73/100 - Alta Afinidad] Alta coincidencia técnica en Herramientas Ofimáticas, Excel y Soporte Contable / Facturación. Modalidad: 100% Remoto en Colombia confirmado.</t>
        </is>
      </c>
      <c r="J25" s="2" t="inlineStr">
        <is>
          <t>Nueva</t>
        </is>
      </c>
      <c r="K25" s="3" t="inlineStr"/>
    </row>
    <row r="26" ht="22" customHeight="1">
      <c r="A26" s="2" t="inlineStr">
        <is>
          <t>25faa90c6ef28e21</t>
        </is>
      </c>
      <c r="B26" s="2" t="inlineStr">
        <is>
          <t>2026-09-24 16:07</t>
        </is>
      </c>
      <c r="C26" s="3" t="inlineStr">
        <is>
          <t>Auxiliar de facturación e inventarios</t>
        </is>
      </c>
      <c r="D26" s="3" t="inlineStr">
        <is>
          <t>Human construction sas</t>
        </is>
      </c>
      <c r="E26" s="4" t="n">
        <v>0.73</v>
      </c>
      <c r="F26" s="2" t="inlineStr">
        <is>
          <t>Remoto</t>
        </is>
      </c>
      <c r="G26" s="5">
        <f>HYPERLINK("https://www.elempleo.com/co/ofertas-trabajo/auxiliar-de-facturacion-e-inventarios-1886756606", "Ver Vacante")</f>
        <v/>
      </c>
      <c r="H26" s="6" t="inlineStr"/>
      <c r="I26" s="3" t="inlineStr">
        <is>
          <t>[Afinidad: 73/100 - Alta Afinidad] Alta coincidencia técnica en Herramientas Ofimáticas, Excel y Soporte Contable / Facturación. Modalidad: 100% Remoto en Colombia confirmado.</t>
        </is>
      </c>
      <c r="J26" s="2" t="inlineStr">
        <is>
          <t>Nueva</t>
        </is>
      </c>
      <c r="K26" s="3" t="inlineStr"/>
    </row>
    <row r="27" ht="22" customHeight="1">
      <c r="A27" s="2" t="inlineStr">
        <is>
          <t>a40cdd7efd6dc67a</t>
        </is>
      </c>
      <c r="B27" s="2" t="inlineStr">
        <is>
          <t>2026-09-24 16:07</t>
        </is>
      </c>
      <c r="C27" s="3" t="inlineStr">
        <is>
          <t>Auxiliar de facturación urgencias / hospitalizacion</t>
        </is>
      </c>
      <c r="D27" s="3" t="inlineStr">
        <is>
          <t>Fundación Santa Fe de Bogotá</t>
        </is>
      </c>
      <c r="E27" s="4" t="n">
        <v>0.73</v>
      </c>
      <c r="F27" s="2" t="inlineStr">
        <is>
          <t>Remoto</t>
        </is>
      </c>
      <c r="G27" s="5">
        <f>HYPERLINK("https://www.elempleo.com/co/ofertas-trabajo/auxiliar-de-facturacion-urgencias-hospitalizacion-1886752826", "Ver Vacante")</f>
        <v/>
      </c>
      <c r="H27" s="6" t="inlineStr"/>
      <c r="I27" s="3" t="inlineStr">
        <is>
          <t>[Afinidad: 73/100 - Alta Afinidad] Alta coincidencia técnica en Herramientas Ofimáticas, Excel y Soporte Contable / Facturación. Modalidad: 100% Remoto en Colombia confirmado.</t>
        </is>
      </c>
      <c r="J27" s="2" t="inlineStr">
        <is>
          <t>Nueva</t>
        </is>
      </c>
      <c r="K27" s="3" t="inlineStr"/>
    </row>
    <row r="28" ht="22" customHeight="1">
      <c r="A28" s="2" t="inlineStr">
        <is>
          <t>72196b37f0710891</t>
        </is>
      </c>
      <c r="B28" s="2" t="inlineStr">
        <is>
          <t>2026-09-24 16:07</t>
        </is>
      </c>
      <c r="C28" s="3" t="inlineStr">
        <is>
          <t>Asistente de operaciones y facturación</t>
        </is>
      </c>
      <c r="D28" s="3" t="inlineStr">
        <is>
          <t>Confidencial</t>
        </is>
      </c>
      <c r="E28" s="4" t="n">
        <v>0.73</v>
      </c>
      <c r="F28" s="2" t="inlineStr">
        <is>
          <t>Remoto</t>
        </is>
      </c>
      <c r="G28" s="5">
        <f>HYPERLINK("https://www.elempleo.com/co/ofertas-trabajo/asistente-de-operaciones-y-facturacion-1886763278", "Ver Vacante")</f>
        <v/>
      </c>
      <c r="H28" s="6" t="inlineStr"/>
      <c r="I28" s="3" t="inlineStr">
        <is>
          <t>[Afinidad: 73/100 - Alta Afinidad] Alta coincidencia técnica en Herramientas Ofimáticas, Excel y Soporte Contable / Facturación. Modalidad: 100% Remoto en Colombia confirmado.</t>
        </is>
      </c>
      <c r="J28" s="2" t="inlineStr">
        <is>
          <t>Nueva</t>
        </is>
      </c>
      <c r="K28" s="3" t="inlineStr"/>
    </row>
    <row r="29" ht="22" customHeight="1">
      <c r="A29" s="2" t="inlineStr">
        <is>
          <t>aa68d537158b69c9</t>
        </is>
      </c>
      <c r="B29" s="2" t="inlineStr">
        <is>
          <t>2026-09-24 16:07</t>
        </is>
      </c>
      <c r="C29" s="3" t="inlineStr">
        <is>
          <t>Auxiliar de facturación</t>
        </is>
      </c>
      <c r="D29" s="3" t="inlineStr">
        <is>
          <t>Confidencial</t>
        </is>
      </c>
      <c r="E29" s="4" t="n">
        <v>0.73</v>
      </c>
      <c r="F29" s="2" t="inlineStr">
        <is>
          <t>Remoto</t>
        </is>
      </c>
      <c r="G29" s="5">
        <f>HYPERLINK("https://www.elempleo.com/co/ofertas-trabajo/auxiliar-de-facturacion-1886760972", "Ver Vacante")</f>
        <v/>
      </c>
      <c r="H29" s="6" t="inlineStr"/>
      <c r="I29" s="3" t="inlineStr">
        <is>
          <t>[Afinidad: 73/100 - Alta Afinidad] Alta coincidencia técnica en Herramientas Ofimáticas, Excel y Soporte Contable / Facturación. Modalidad: 100% Remoto en Colombia confirmado.</t>
        </is>
      </c>
      <c r="J29" s="2" t="inlineStr">
        <is>
          <t>Nueva</t>
        </is>
      </c>
      <c r="K29" s="3" t="inlineStr"/>
    </row>
    <row r="30" ht="22" customHeight="1">
      <c r="A30" s="2" t="inlineStr">
        <is>
          <t>32a63b8bbac24a30</t>
        </is>
      </c>
      <c r="B30" s="2" t="inlineStr">
        <is>
          <t>2026-09-24 16:07</t>
        </is>
      </c>
      <c r="C30" s="3" t="inlineStr">
        <is>
          <t>Auxiliar de Facturación - Área Financiera</t>
        </is>
      </c>
      <c r="D30" s="3" t="inlineStr">
        <is>
          <t>Philippi Prietocarrizosa Ferrero DU &amp; Uria</t>
        </is>
      </c>
      <c r="E30" s="4" t="n">
        <v>0.73</v>
      </c>
      <c r="F30" s="2" t="inlineStr">
        <is>
          <t>Remoto</t>
        </is>
      </c>
      <c r="G30" s="5">
        <f>HYPERLINK("https://co.linkedin.com/jobs/view/auxiliar-de-facturaci%C3%B3n-%C3%A1rea-financiera-at-philippi-prietocarrizosa-ferrero-du-uria-4460252170", "Ver Vacante")</f>
        <v/>
      </c>
      <c r="H30" s="6" t="inlineStr"/>
      <c r="I30" s="3" t="inlineStr">
        <is>
          <t>[Afinidad: 73/100 - Alta Afinidad] Alta coincidencia técnica en Herramientas Ofimáticas, Excel y Soporte Contable / Facturación. Modalidad: 100% Remoto en Colombia confirmado.</t>
        </is>
      </c>
      <c r="J30" s="2" t="inlineStr">
        <is>
          <t>Nueva</t>
        </is>
      </c>
      <c r="K30" s="3" t="inlineStr"/>
    </row>
    <row r="31" ht="22" customHeight="1">
      <c r="A31" s="2" t="inlineStr">
        <is>
          <t>368b286993a892d4</t>
        </is>
      </c>
      <c r="B31" s="2" t="inlineStr">
        <is>
          <t>2026-09-24 16:07</t>
        </is>
      </c>
      <c r="C31" s="3" t="inlineStr">
        <is>
          <t>Auxiliar regional de facturación y recaudo</t>
        </is>
      </c>
      <c r="D31" s="3" t="inlineStr">
        <is>
          <t>Interaseo S.A.S. E.S.P.</t>
        </is>
      </c>
      <c r="E31" s="4" t="n">
        <v>0.73</v>
      </c>
      <c r="F31" s="2" t="inlineStr">
        <is>
          <t>Remoto</t>
        </is>
      </c>
      <c r="G31" s="5">
        <f>HYPERLINK("https://co.linkedin.com/jobs/view/auxiliar-regional-de-facturaci%C3%B3n-y-recaudo-at-interaseo-s-a-s-e-s-p-4471161048", "Ver Vacante")</f>
        <v/>
      </c>
      <c r="H31" s="6" t="inlineStr"/>
      <c r="I31" s="3" t="inlineStr">
        <is>
          <t>[Afinidad: 73/100 - Alta Afinidad] Alta coincidencia técnica en Herramientas Ofimáticas, Excel y Soporte Contable / Facturación. Modalidad: 100% Remoto en Colombia confirmado.</t>
        </is>
      </c>
      <c r="J31" s="2" t="inlineStr">
        <is>
          <t>Nueva</t>
        </is>
      </c>
      <c r="K31" s="3" t="inlineStr"/>
    </row>
    <row r="32" ht="22" customHeight="1">
      <c r="A32" s="2" t="inlineStr">
        <is>
          <t>80916d693f0f0430</t>
        </is>
      </c>
      <c r="B32" s="2" t="inlineStr">
        <is>
          <t>2026-09-24 16:07</t>
        </is>
      </c>
      <c r="C32" s="3" t="inlineStr">
        <is>
          <t>Auxiliar de Facturacion y Cartera</t>
        </is>
      </c>
      <c r="D32" s="3" t="inlineStr">
        <is>
          <t>Eurofins</t>
        </is>
      </c>
      <c r="E32" s="4" t="n">
        <v>0.73</v>
      </c>
      <c r="F32" s="2" t="inlineStr">
        <is>
          <t>Remoto</t>
        </is>
      </c>
      <c r="G32" s="5">
        <f>HYPERLINK("https://co.linkedin.com/jobs/view/auxiliar-de-facturacion-y-cartera-at-eurofins-4454827077", "Ver Vacante")</f>
        <v/>
      </c>
      <c r="H32" s="6" t="inlineStr"/>
      <c r="I32" s="3" t="inlineStr">
        <is>
          <t>[Afinidad: 73/100 - Alta Afinidad] Alta coincidencia técnica en Herramientas Ofimáticas, Excel y Soporte Contable / Facturación. Modalidad: 100% Remoto en Colombia confirmado.</t>
        </is>
      </c>
      <c r="J32" s="2" t="inlineStr">
        <is>
          <t>Nueva</t>
        </is>
      </c>
      <c r="K32" s="3" t="inlineStr"/>
    </row>
    <row r="33" ht="22" customHeight="1">
      <c r="A33" s="2" t="inlineStr">
        <is>
          <t>bc2088c19862bca8</t>
        </is>
      </c>
      <c r="B33" s="2" t="inlineStr">
        <is>
          <t>2026-09-25 15:56</t>
        </is>
      </c>
      <c r="C33" s="3" t="inlineStr">
        <is>
          <t>Digitador / cajero / auxiliar administrativo / validador documental</t>
        </is>
      </c>
      <c r="D33" s="3" t="inlineStr">
        <is>
          <t>Confidencial</t>
        </is>
      </c>
      <c r="E33" s="4" t="n">
        <v>0.73</v>
      </c>
      <c r="F33" s="2" t="inlineStr">
        <is>
          <t>Remoto</t>
        </is>
      </c>
      <c r="G33" s="5">
        <f>HYPERLINK("https://www.elempleo.com/co/ofertas-trabajo/digitador-cajero-auxiliar-administrativo-validador-documental-1886745228", "Ver Vacante")</f>
        <v/>
      </c>
      <c r="H33" s="6" t="inlineStr"/>
      <c r="I33" s="3" t="inlineStr">
        <is>
          <t>[Afinidad: 73/100 - Alta Afinidad] Alta coincidencia técnica en Gestión Administrativa, Documental y Archivo. Modalidad: 100% Remoto en Colombia confirmado.</t>
        </is>
      </c>
      <c r="J33" s="2" t="inlineStr">
        <is>
          <t>Nueva</t>
        </is>
      </c>
      <c r="K33" s="3" t="inlineStr"/>
    </row>
    <row r="34" ht="22" customHeight="1">
      <c r="A34" s="2" t="inlineStr">
        <is>
          <t>9a579fd55998614e</t>
        </is>
      </c>
      <c r="B34" s="2" t="inlineStr">
        <is>
          <t>2026-09-25 15:56</t>
        </is>
      </c>
      <c r="C34" s="3" t="inlineStr">
        <is>
          <t>Auxiliar de facturación</t>
        </is>
      </c>
      <c r="D34" s="3" t="inlineStr">
        <is>
          <t>Cruz Roja Colombiana Seccional Cundinamarca y Bogotá.</t>
        </is>
      </c>
      <c r="E34" s="4" t="n">
        <v>0.73</v>
      </c>
      <c r="F34" s="2" t="inlineStr">
        <is>
          <t>Remoto</t>
        </is>
      </c>
      <c r="G34" s="5">
        <f>HYPERLINK("https://www.elempleo.com/co/ofertas-trabajo/auxiliar-de-facturacion-1886764480", "Ver Vacante")</f>
        <v/>
      </c>
      <c r="H34" s="6" t="inlineStr"/>
      <c r="I34" s="3" t="inlineStr">
        <is>
          <t>[Afinidad: 73/100 - Alta Afinidad] Alta coincidencia técnica en Herramientas Ofimáticas, Excel y Soporte Contable / Facturación. Modalidad: 100% Remoto en Colombia confirmado.</t>
        </is>
      </c>
      <c r="J34" s="2" t="inlineStr">
        <is>
          <t>Nueva</t>
        </is>
      </c>
      <c r="K34" s="3" t="inlineStr"/>
    </row>
    <row r="35" ht="22" customHeight="1">
      <c r="A35" s="2" t="inlineStr">
        <is>
          <t>4490b765a39a686e</t>
        </is>
      </c>
      <c r="B35" s="2" t="inlineStr">
        <is>
          <t>2026-09-25 15:56</t>
        </is>
      </c>
      <c r="C35" s="3" t="inlineStr">
        <is>
          <t>Auxiliar contable - sap - facturacion electronica - bogota</t>
        </is>
      </c>
      <c r="D35" s="3" t="inlineStr">
        <is>
          <t>ADECCO COLOMBIA S A</t>
        </is>
      </c>
      <c r="E35" s="4" t="n">
        <v>0.73</v>
      </c>
      <c r="F35" s="2" t="inlineStr">
        <is>
          <t>Remoto</t>
        </is>
      </c>
      <c r="G35" s="5">
        <f>HYPERLINK("https://www.elempleo.com/co/ofertas-trabajo/auxiliar-contable-sap-facturacion-electronica-bogota-1886767594", "Ver Vacante")</f>
        <v/>
      </c>
      <c r="H35" s="6" t="inlineStr"/>
      <c r="I35" s="3" t="inlineStr">
        <is>
          <t>[Afinidad: 73/100 - Alta Afinidad] Alta coincidencia técnica en Herramientas Ofimáticas, Excel y Soporte Contable / Facturación. Modalidad: 100% Remoto en Colombia confirmado.</t>
        </is>
      </c>
      <c r="J35" s="2" t="inlineStr">
        <is>
          <t>Nueva</t>
        </is>
      </c>
      <c r="K35" s="3" t="inlineStr"/>
    </row>
    <row r="36" ht="22" customHeight="1">
      <c r="A36" s="2" t="inlineStr">
        <is>
          <t>7d81d64bbd2753f2</t>
        </is>
      </c>
      <c r="B36" s="2" t="inlineStr">
        <is>
          <t>2026-09-25 15:56</t>
        </is>
      </c>
      <c r="C36" s="3" t="inlineStr">
        <is>
          <t>Recepcionista auxiliar de facturación consulta externa</t>
        </is>
      </c>
      <c r="D36" s="3" t="inlineStr">
        <is>
          <t>Fundación Santa Fe de Bogotá</t>
        </is>
      </c>
      <c r="E36" s="4" t="n">
        <v>0.73</v>
      </c>
      <c r="F36" s="2" t="inlineStr">
        <is>
          <t>Remoto</t>
        </is>
      </c>
      <c r="G36" s="5">
        <f>HYPERLINK("https://www.elempleo.com/co/ofertas-trabajo/recepcionista-auxiliar-de-facturacion-consulta-externa-1886770793", "Ver Vacante")</f>
        <v/>
      </c>
      <c r="H36" s="6" t="inlineStr"/>
      <c r="I36" s="3" t="inlineStr">
        <is>
          <t>[Afinidad: 73/100 - Alta Afinidad] Alta coincidencia técnica en Herramientas Ofimáticas, Excel y Soporte Contable / Facturación. Modalidad: 100% Remoto en Colombia confirmado.</t>
        </is>
      </c>
      <c r="J36" s="2" t="inlineStr">
        <is>
          <t>Nueva</t>
        </is>
      </c>
      <c r="K36" s="3" t="inlineStr"/>
    </row>
    <row r="37" ht="22" customHeight="1">
      <c r="A37" s="2" t="inlineStr">
        <is>
          <t>975e07c54df5e3db</t>
        </is>
      </c>
      <c r="B37" s="2" t="inlineStr">
        <is>
          <t>2026-09-25 15:56</t>
        </is>
      </c>
      <c r="C37" s="3" t="inlineStr">
        <is>
          <t>Auxiliar de facturación</t>
        </is>
      </c>
      <c r="D37" s="3" t="inlineStr">
        <is>
          <t>SERO SAS</t>
        </is>
      </c>
      <c r="E37" s="4" t="n">
        <v>0.73</v>
      </c>
      <c r="F37" s="2" t="inlineStr">
        <is>
          <t>Remoto</t>
        </is>
      </c>
      <c r="G37" s="5">
        <f>HYPERLINK("https://www.elempleo.com/co/ofertas-trabajo/auxiliar-de-facturacion-1886771398", "Ver Vacante")</f>
        <v/>
      </c>
      <c r="H37" s="6" t="inlineStr"/>
      <c r="I37" s="3" t="inlineStr">
        <is>
          <t>[Afinidad: 73/100 - Alta Afinidad] Alta coincidencia técnica en Herramientas Ofimáticas, Excel y Soporte Contable / Facturación. Modalidad: 100% Remoto en Colombia confirmado.</t>
        </is>
      </c>
      <c r="J37" s="2" t="inlineStr">
        <is>
          <t>Nueva</t>
        </is>
      </c>
      <c r="K37" s="3" t="inlineStr"/>
    </row>
    <row r="38" ht="22" customHeight="1">
      <c r="A38" s="2" t="inlineStr">
        <is>
          <t>fae0f941c19be28c</t>
        </is>
      </c>
      <c r="B38" s="2" t="inlineStr">
        <is>
          <t>2026-09-25 15:56</t>
        </is>
      </c>
      <c r="C38" s="3" t="inlineStr">
        <is>
          <t>Auxiliar de facturación urgencias - oficina de facturación</t>
        </is>
      </c>
      <c r="D38" s="3" t="inlineStr">
        <is>
          <t>HUSI</t>
        </is>
      </c>
      <c r="E38" s="4" t="n">
        <v>0.73</v>
      </c>
      <c r="F38" s="2" t="inlineStr">
        <is>
          <t>Remoto</t>
        </is>
      </c>
      <c r="G38" s="5">
        <f>HYPERLINK("https://www.elempleo.com/co/ofertas-trabajo/auxiliar-de-facturacion-urgencias-oficina-de-facturacion-1886766642", "Ver Vacante")</f>
        <v/>
      </c>
      <c r="H38" s="6" t="inlineStr"/>
      <c r="I38" s="3" t="inlineStr">
        <is>
          <t>[Afinidad: 73/100 - Alta Afinidad] Alta coincidencia técnica en Herramientas Ofimáticas, Excel y Soporte Contable / Facturación. Modalidad: 100% Remoto en Colombia confirmado.</t>
        </is>
      </c>
      <c r="J38" s="2" t="inlineStr">
        <is>
          <t>Nueva</t>
        </is>
      </c>
      <c r="K38" s="3" t="inlineStr"/>
    </row>
    <row r="39" ht="22" customHeight="1">
      <c r="A39" s="2" t="inlineStr">
        <is>
          <t>dbd9c8aa033cf89c</t>
        </is>
      </c>
      <c r="B39" s="2" t="inlineStr">
        <is>
          <t>2026-09-25 15:56</t>
        </is>
      </c>
      <c r="C39" s="3" t="inlineStr">
        <is>
          <t>Auxiliar de facturación urgencias - oficina de facturación</t>
        </is>
      </c>
      <c r="D39" s="3" t="inlineStr">
        <is>
          <t>HUSI</t>
        </is>
      </c>
      <c r="E39" s="4" t="n">
        <v>0.73</v>
      </c>
      <c r="F39" s="2" t="inlineStr">
        <is>
          <t>Remoto</t>
        </is>
      </c>
      <c r="G39" s="5">
        <f>HYPERLINK("https://www.elempleo.com/co/ofertas-trabajo/auxiliar-de-facturacion-urgencias-oficina-de-facturacion-1886747575", "Ver Vacante")</f>
        <v/>
      </c>
      <c r="H39" s="6" t="inlineStr"/>
      <c r="I39" s="3" t="inlineStr">
        <is>
          <t>[Afinidad: 73/100 - Alta Afinidad] Alta coincidencia técnica en Herramientas Ofimáticas, Excel y Soporte Contable / Facturación. Modalidad: 100% Remoto en Colombia confirmado.</t>
        </is>
      </c>
      <c r="J39" s="2" t="inlineStr">
        <is>
          <t>Nueva</t>
        </is>
      </c>
      <c r="K39" s="3" t="inlineStr"/>
    </row>
    <row r="40" ht="22" customHeight="1">
      <c r="A40" s="2" t="inlineStr">
        <is>
          <t>8f7dd64102e520cd</t>
        </is>
      </c>
      <c r="B40" s="2" t="inlineStr">
        <is>
          <t>2026-09-25 15:56</t>
        </is>
      </c>
      <c r="C40" s="3" t="inlineStr">
        <is>
          <t>Auxiliar de facturación</t>
        </is>
      </c>
      <c r="D40" s="3" t="inlineStr">
        <is>
          <t>Confidencial</t>
        </is>
      </c>
      <c r="E40" s="4" t="n">
        <v>0.73</v>
      </c>
      <c r="F40" s="2" t="inlineStr">
        <is>
          <t>Remoto</t>
        </is>
      </c>
      <c r="G40" s="5">
        <f>HYPERLINK("https://www.elempleo.com/co/ofertas-trabajo/auxiliar-de-facturacion-1886769035", "Ver Vacante")</f>
        <v/>
      </c>
      <c r="H40" s="6" t="inlineStr"/>
      <c r="I40" s="3" t="inlineStr">
        <is>
          <t>[Afinidad: 73/100 - Alta Afinidad] Alta coincidencia técnica en Herramientas Ofimáticas, Excel y Soporte Contable / Facturación. Modalidad: 100% Remoto en Colombia confirmado.</t>
        </is>
      </c>
      <c r="J40" s="2" t="inlineStr">
        <is>
          <t>Nueva</t>
        </is>
      </c>
      <c r="K40" s="3" t="inlineStr"/>
    </row>
    <row r="41" ht="22" customHeight="1">
      <c r="A41" s="2" t="inlineStr">
        <is>
          <t>7428ddafa7d405b7</t>
        </is>
      </c>
      <c r="B41" s="2" t="inlineStr">
        <is>
          <t>2026-09-25 15:56</t>
        </is>
      </c>
      <c r="C41" s="3" t="inlineStr">
        <is>
          <t>Auxiliar de Facturación- Remoto</t>
        </is>
      </c>
      <c r="D41" s="3" t="inlineStr">
        <is>
          <t>NYXN</t>
        </is>
      </c>
      <c r="E41" s="4" t="n">
        <v>0.73</v>
      </c>
      <c r="F41" s="2" t="inlineStr">
        <is>
          <t>Remoto</t>
        </is>
      </c>
      <c r="G41" s="5">
        <f>HYPERLINK("https://co.linkedin.com/jobs/view/auxiliar-de-facturaci%C3%B3n-remoto-at-nyxn-4472029589", "Ver Vacante")</f>
        <v/>
      </c>
      <c r="H41" s="6" t="inlineStr"/>
      <c r="I41" s="3" t="inlineStr">
        <is>
          <t>[Afinidad: 73/100 - Alta Afinidad] Alta coincidencia técnica en Herramientas Ofimáticas, Excel y Soporte Contable / Facturación. Modalidad: 100% Remoto en Colombia confirmado.</t>
        </is>
      </c>
      <c r="J41" s="2" t="inlineStr">
        <is>
          <t>Nueva</t>
        </is>
      </c>
      <c r="K41" s="3" t="inlineStr"/>
    </row>
    <row r="42" ht="22" customHeight="1">
      <c r="A42" s="2" t="inlineStr">
        <is>
          <t>40e71508f9aac640</t>
        </is>
      </c>
      <c r="B42" s="2" t="inlineStr">
        <is>
          <t>2026-09-27 15:43</t>
        </is>
      </c>
      <c r="C42" s="3" t="inlineStr">
        <is>
          <t>Auxiliar administrativo y contable</t>
        </is>
      </c>
      <c r="D42" s="3" t="inlineStr">
        <is>
          <t>TRANSINVERLOG SAS</t>
        </is>
      </c>
      <c r="E42" s="4" t="n">
        <v>0.73</v>
      </c>
      <c r="F42" s="2" t="inlineStr">
        <is>
          <t>Remoto</t>
        </is>
      </c>
      <c r="G42" s="5">
        <f>HYPERLINK("https://www.elempleo.com/co/ofertas-trabajo/auxiliar-administrativo-y-contable-1886770746", "Ver Vacante")</f>
        <v/>
      </c>
      <c r="H42" s="6" t="inlineStr"/>
      <c r="I42" s="3" t="inlineStr">
        <is>
          <t>[Afinidad: 73/100 - Alta Afinidad] Alta coincidencia técnica en Gestión Administrativa, Documental y Archivo. Modalidad: 100% Remoto en Colombia confirmado.</t>
        </is>
      </c>
      <c r="J42" s="2" t="inlineStr">
        <is>
          <t>Nueva</t>
        </is>
      </c>
      <c r="K42" s="3" t="inlineStr"/>
    </row>
    <row r="43" ht="22" customHeight="1">
      <c r="A43" s="2" t="inlineStr">
        <is>
          <t>cb26be745b2ac668</t>
        </is>
      </c>
      <c r="B43" s="2" t="inlineStr">
        <is>
          <t>2026-09-27 15:43</t>
        </is>
      </c>
      <c r="C43" s="3" t="inlineStr">
        <is>
          <t>Profesional en gestión documental- colombia</t>
        </is>
      </c>
      <c r="D43" s="3" t="inlineStr">
        <is>
          <t>Confidencial</t>
        </is>
      </c>
      <c r="E43" s="4" t="n">
        <v>0.73</v>
      </c>
      <c r="F43" s="2" t="inlineStr">
        <is>
          <t>Remoto</t>
        </is>
      </c>
      <c r="G43" s="5">
        <f>HYPERLINK("https://www.elempleo.com/co/ofertas-trabajo/profesional-en-gestion-documental-colombia-1886747593", "Ver Vacante")</f>
        <v/>
      </c>
      <c r="H43" s="6" t="inlineStr"/>
      <c r="I43" s="3" t="inlineStr">
        <is>
          <t>[Afinidad: 73/100 - Alta Afinidad] Alta coincidencia técnica en Gestión Administrativa, Documental y Archivo. Modalidad: 100% Remoto en Colombia confirmado.</t>
        </is>
      </c>
      <c r="J43" s="2" t="inlineStr">
        <is>
          <t>Nueva</t>
        </is>
      </c>
      <c r="K43" s="3" t="inlineStr"/>
    </row>
    <row r="44" ht="22" customHeight="1">
      <c r="A44" s="2" t="inlineStr">
        <is>
          <t>f59b8d03d8d6ee98</t>
        </is>
      </c>
      <c r="B44" s="2" t="inlineStr">
        <is>
          <t>2026-09-27 15:43</t>
        </is>
      </c>
      <c r="C44" s="3" t="inlineStr">
        <is>
          <t>Jefe de operaciones gestión documental- colombia</t>
        </is>
      </c>
      <c r="D44" s="3" t="inlineStr">
        <is>
          <t>Confidencial</t>
        </is>
      </c>
      <c r="E44" s="4" t="n">
        <v>0.73</v>
      </c>
      <c r="F44" s="2" t="inlineStr">
        <is>
          <t>Remoto</t>
        </is>
      </c>
      <c r="G44" s="5">
        <f>HYPERLINK("https://www.elempleo.com/co/ofertas-trabajo/jefe-de-operaciones-gestion-documental-colombia-1886747595", "Ver Vacante")</f>
        <v/>
      </c>
      <c r="H44" s="6" t="inlineStr"/>
      <c r="I44" s="3" t="inlineStr">
        <is>
          <t>[Afinidad: 73/100 - Alta Afinidad] Alta coincidencia técnica en Gestión Administrativa, Documental y Archivo. Modalidad: 100% Remoto en Colombia confirmado.</t>
        </is>
      </c>
      <c r="J44" s="2" t="inlineStr">
        <is>
          <t>Nueva</t>
        </is>
      </c>
      <c r="K44" s="3" t="inlineStr"/>
    </row>
    <row r="45" ht="22" customHeight="1">
      <c r="A45" s="2" t="inlineStr">
        <is>
          <t>9d08c4fb9804a144</t>
        </is>
      </c>
      <c r="B45" s="2" t="inlineStr">
        <is>
          <t>2026-09-28 18:38</t>
        </is>
      </c>
      <c r="C45" s="3" t="inlineStr">
        <is>
          <t>Auxiliar facturación hospitalaria</t>
        </is>
      </c>
      <c r="D45" s="3" t="inlineStr">
        <is>
          <t>Grupo Good</t>
        </is>
      </c>
      <c r="E45" s="4" t="n">
        <v>0.73</v>
      </c>
      <c r="F45" s="2" t="inlineStr">
        <is>
          <t>Remoto</t>
        </is>
      </c>
      <c r="G45" s="5">
        <f>HYPERLINK("https://www.elempleo.com/co/ofertas-trabajo/auxiliar-facturacion-hospitalaria-1886753230", "Ver Vacante")</f>
        <v/>
      </c>
      <c r="H45" s="6" t="inlineStr"/>
      <c r="I45" s="3" t="inlineStr">
        <is>
          <t>[Afinidad: 73/100 - Alta Afinidad] Alta coincidencia técnica en Herramientas Ofimáticas, Excel y Soporte Contable / Facturación. Modalidad: 100% Remoto en Colombia confirmado.</t>
        </is>
      </c>
      <c r="J45" s="2" t="inlineStr">
        <is>
          <t>Nueva</t>
        </is>
      </c>
      <c r="K45" s="3" t="inlineStr"/>
    </row>
    <row r="46" ht="22" customHeight="1">
      <c r="A46" s="2" t="inlineStr">
        <is>
          <t>00907ef37b1ba1a3</t>
        </is>
      </c>
      <c r="B46" s="2" t="inlineStr">
        <is>
          <t>2026-09-28 18:38</t>
        </is>
      </c>
      <c r="C46" s="3" t="inlineStr">
        <is>
          <t>Auxiliar de facturación</t>
        </is>
      </c>
      <c r="D46" s="3" t="inlineStr">
        <is>
          <t>AGENCIA DE ADUANAS ABC REPECEV S.A. NIVEL I</t>
        </is>
      </c>
      <c r="E46" s="4" t="n">
        <v>0.73</v>
      </c>
      <c r="F46" s="2" t="inlineStr">
        <is>
          <t>Remoto</t>
        </is>
      </c>
      <c r="G46" s="5">
        <f>HYPERLINK("https://www.elempleo.com/co/ofertas-trabajo/auxiliar-de-facturacion-1886770513", "Ver Vacante")</f>
        <v/>
      </c>
      <c r="H46" s="6" t="inlineStr"/>
      <c r="I46" s="3" t="inlineStr">
        <is>
          <t>[Afinidad: 73/100 - Alta Afinidad] Alta coincidencia técnica en Herramientas Ofimáticas, Excel y Soporte Contable / Facturación. Modalidad: 100% Remoto en Colombia confirmado.</t>
        </is>
      </c>
      <c r="J46" s="2" t="inlineStr">
        <is>
          <t>Nueva</t>
        </is>
      </c>
      <c r="K46" s="3" t="inlineStr"/>
    </row>
    <row r="47" ht="22" customHeight="1">
      <c r="A47" s="2" t="inlineStr">
        <is>
          <t>f380df4133172629</t>
        </is>
      </c>
      <c r="B47" s="2" t="inlineStr">
        <is>
          <t>2026-09-30 16:51</t>
        </is>
      </c>
      <c r="C47" s="3" t="inlineStr">
        <is>
          <t>Auxiliar de caja y facturación</t>
        </is>
      </c>
      <c r="D47" s="3" t="inlineStr">
        <is>
          <t>Clinica Barraquer</t>
        </is>
      </c>
      <c r="E47" s="4" t="n">
        <v>0.73</v>
      </c>
      <c r="F47" s="2" t="inlineStr">
        <is>
          <t>Remoto</t>
        </is>
      </c>
      <c r="G47" s="5">
        <f>HYPERLINK("https://www.elempleo.com/co/ofertas-trabajo/auxiliar-de-caja-y-facturacion-1886773817", "Ver Vacante")</f>
        <v/>
      </c>
      <c r="H47" s="6" t="inlineStr"/>
      <c r="I47" s="3" t="inlineStr">
        <is>
          <t>[Afinidad: 73/100 - Alta Afinidad] Alta coincidencia técnica en Herramientas Ofimáticas, Excel y Soporte Contable / Facturación. Modalidad: 100% Remoto en Colombia confirmado.</t>
        </is>
      </c>
      <c r="J47" s="2" t="inlineStr">
        <is>
          <t>Nueva</t>
        </is>
      </c>
      <c r="K47" s="3" t="inlineStr"/>
    </row>
    <row r="48" ht="22" customHeight="1">
      <c r="A48" s="2" t="inlineStr">
        <is>
          <t>bb08526620b29a42</t>
        </is>
      </c>
      <c r="B48" s="2" t="inlineStr">
        <is>
          <t>2026-09-30 16:51</t>
        </is>
      </c>
      <c r="C48" s="3" t="inlineStr">
        <is>
          <t>Auxiliar contable y facturación</t>
        </is>
      </c>
      <c r="D48" s="3" t="inlineStr">
        <is>
          <t>GI GROUP STAFFING S.A.S</t>
        </is>
      </c>
      <c r="E48" s="4" t="n">
        <v>0.73</v>
      </c>
      <c r="F48" s="2" t="inlineStr">
        <is>
          <t>Remoto</t>
        </is>
      </c>
      <c r="G48" s="5">
        <f>HYPERLINK("https://www.elempleo.com/co/ofertas-trabajo/auxiliar-contable-y-facturacion-1886773695", "Ver Vacante")</f>
        <v/>
      </c>
      <c r="H48" s="6" t="inlineStr"/>
      <c r="I48" s="3" t="inlineStr">
        <is>
          <t>[Afinidad: 73/100 - Alta Afinidad] Alta coincidencia técnica en Herramientas Ofimáticas, Excel y Soporte Contable / Facturación. Modalidad: 100% Remoto en Colombia confirmado.</t>
        </is>
      </c>
      <c r="J48" s="2" t="inlineStr">
        <is>
          <t>Nueva</t>
        </is>
      </c>
      <c r="K48" s="3" t="inlineStr"/>
    </row>
    <row r="49" ht="22" customHeight="1">
      <c r="A49" s="2" t="inlineStr">
        <is>
          <t>bec3ccae43de3755</t>
        </is>
      </c>
      <c r="B49" s="2" t="inlineStr">
        <is>
          <t>2026-10-01 17:28</t>
        </is>
      </c>
      <c r="C49" s="3" t="inlineStr">
        <is>
          <t>Auxiliar de facturación</t>
        </is>
      </c>
      <c r="D49" s="3" t="inlineStr">
        <is>
          <t>Méderi</t>
        </is>
      </c>
      <c r="E49" s="4" t="n">
        <v>0.73</v>
      </c>
      <c r="F49" s="2" t="inlineStr">
        <is>
          <t>Remoto</t>
        </is>
      </c>
      <c r="G49" s="5">
        <f>HYPERLINK("https://www.elempleo.com/co/ofertas-trabajo/auxiliar-de-facturacion-1886763059", "Ver Vacante")</f>
        <v/>
      </c>
      <c r="H49" s="6" t="inlineStr"/>
      <c r="I49" s="3" t="inlineStr">
        <is>
          <t>[Afinidad: 73/100 - Alta Afinidad] Alta coincidencia técnica en Herramientas Ofimáticas, Excel y Soporte Contable / Facturación. Modalidad: 100% Remoto en Colombia confirmado.</t>
        </is>
      </c>
      <c r="J49" s="2" t="inlineStr">
        <is>
          <t>Nueva</t>
        </is>
      </c>
      <c r="K49" s="3" t="inlineStr"/>
    </row>
    <row r="50" ht="22" customHeight="1">
      <c r="A50" s="2" t="inlineStr">
        <is>
          <t>e960be85369d59ca</t>
        </is>
      </c>
      <c r="B50" s="2" t="inlineStr">
        <is>
          <t>2026-10-02 16:41</t>
        </is>
      </c>
      <c r="C50" s="3" t="inlineStr">
        <is>
          <t>Auxiliar contable y facturación, virtual Teletrabajo</t>
        </is>
      </c>
      <c r="D50" s="3" t="inlineStr">
        <is>
          <t>Importante empresa del sector</t>
        </is>
      </c>
      <c r="E50" s="4" t="n">
        <v>0.73</v>
      </c>
      <c r="F50" s="2" t="inlineStr">
        <is>
          <t>Remoto</t>
        </is>
      </c>
      <c r="G50" s="5">
        <f>HYPERLINK("https://co.computrabajo.com/ofertas-de-trabajo/oferta-de-trabajo-de-auxiliar-contable-y-facturacion-virtual-teletrabajo-en-medellin-D3620F133691F6E961373E686DCF3405", "Ver Vacante")</f>
        <v/>
      </c>
      <c r="H50" s="6" t="inlineStr">
        <is>
          <t>Remoto</t>
        </is>
      </c>
      <c r="I50" s="3" t="inlineStr">
        <is>
          <t>[Afinidad: 73/100 - Alta Afinidad] Alta coincidencia técnica en Herramientas Ofimáticas, Excel y Soporte Contable / Facturación. Modalidad: 100% Remoto en Colombia confirmado.</t>
        </is>
      </c>
      <c r="J50" s="2" t="inlineStr">
        <is>
          <t>Nueva</t>
        </is>
      </c>
      <c r="K50" s="3" t="inlineStr"/>
    </row>
    <row r="51" ht="22" customHeight="1">
      <c r="A51" s="2" t="inlineStr">
        <is>
          <t>24da99da017f1199</t>
        </is>
      </c>
      <c r="B51" s="2" t="inlineStr">
        <is>
          <t>2026-10-02 16:41</t>
        </is>
      </c>
      <c r="C51" s="3" t="inlineStr">
        <is>
          <t>Auxiliar contable y facturación, virtual Teletrabajo 1626381427-5</t>
        </is>
      </c>
      <c r="D51" s="3" t="inlineStr">
        <is>
          <t>Colección Talento</t>
        </is>
      </c>
      <c r="E51" s="4" t="n">
        <v>0.73</v>
      </c>
      <c r="F51" s="2" t="inlineStr">
        <is>
          <t>Remoto</t>
        </is>
      </c>
      <c r="G51" s="5">
        <f>HYPERLINK("https://co.linkedin.com/jobs/view/auxiliar-contable-y-facturaci%C3%B3n-virtual-teletrabajo-1626381427-5-at-colecci%C3%B3n-talento-4472828244", "Ver Vacante")</f>
        <v/>
      </c>
      <c r="H51" s="6" t="inlineStr"/>
      <c r="I51" s="3" t="inlineStr">
        <is>
          <t>[Afinidad: 73/100 - Alta Afinidad] Alta coincidencia técnica en Herramientas Ofimáticas, Excel y Soporte Contable / Facturación. Modalidad: 100% Remoto en Colombia confirmado.</t>
        </is>
      </c>
      <c r="J51" s="2" t="inlineStr">
        <is>
          <t>Nueva</t>
        </is>
      </c>
      <c r="K51" s="3" t="inlineStr"/>
    </row>
    <row r="52" ht="22" customHeight="1">
      <c r="A52" s="2" t="inlineStr">
        <is>
          <t>7637d8bf4dbd69d7</t>
        </is>
      </c>
      <c r="B52" s="2" t="inlineStr">
        <is>
          <t>2026-10-02 16:41</t>
        </is>
      </c>
      <c r="C52" s="3" t="inlineStr">
        <is>
          <t>Técnico/Tecnólogo en Gestión documental | Agencia de publicidad</t>
        </is>
      </c>
      <c r="D52" s="3" t="inlineStr">
        <is>
          <t>Omnicom Media Colombia</t>
        </is>
      </c>
      <c r="E52" s="4" t="n">
        <v>0.73</v>
      </c>
      <c r="F52" s="2" t="inlineStr">
        <is>
          <t>Remoto</t>
        </is>
      </c>
      <c r="G52" s="5">
        <f>HYPERLINK("https://co.linkedin.com/jobs/view/t%C3%A9cnico-tecn%C3%B3logo-en-gesti%C3%B3n-documental-agencia-de-publicidad-at-omnicom-media-colombia-4461016392", "Ver Vacante")</f>
        <v/>
      </c>
      <c r="H52" s="6" t="inlineStr"/>
      <c r="I52" s="3" t="inlineStr">
        <is>
          <t>[Afinidad: 73/100 - Alta Afinidad] Alta coincidencia técnica en Gestión Administrativa, Documental y Archivo. Modalidad: 100% Remoto en Colombia confirmado.</t>
        </is>
      </c>
      <c r="J52" s="2" t="inlineStr">
        <is>
          <t>Nueva</t>
        </is>
      </c>
      <c r="K52" s="3" t="inlineStr"/>
    </row>
    <row r="53" ht="22" customHeight="1">
      <c r="A53" s="2" t="inlineStr">
        <is>
          <t>42119fa4e22c5e7b</t>
        </is>
      </c>
      <c r="B53" s="2" t="inlineStr">
        <is>
          <t>2026-10-02 16:41</t>
        </is>
      </c>
      <c r="C53" s="3" t="inlineStr">
        <is>
          <t>Auxiliar de Facturación Itagui</t>
        </is>
      </c>
      <c r="D53" s="3" t="inlineStr">
        <is>
          <t>Zeuss S.A.S</t>
        </is>
      </c>
      <c r="E53" s="4" t="n">
        <v>0.73</v>
      </c>
      <c r="F53" s="2" t="inlineStr">
        <is>
          <t>Remoto</t>
        </is>
      </c>
      <c r="G53" s="5">
        <f>HYPERLINK("https://co.linkedin.com/jobs/view/auxiliar-de-facturaci%C3%B3n-itagui-at-zeuss-s-a-s-4474739314", "Ver Vacante")</f>
        <v/>
      </c>
      <c r="H53" s="6" t="inlineStr"/>
      <c r="I53" s="3" t="inlineStr">
        <is>
          <t>[Afinidad: 73/100 - Alta Afinidad] Alta coincidencia técnica en Herramientas Ofimáticas, Excel y Soporte Contable / Facturación. Modalidad: 100% Remoto en Colombia confirmado.</t>
        </is>
      </c>
      <c r="J53" s="2" t="inlineStr">
        <is>
          <t>Nueva</t>
        </is>
      </c>
      <c r="K53" s="3" t="inlineStr"/>
    </row>
    <row r="54" ht="22" customHeight="1">
      <c r="A54" s="2" t="inlineStr">
        <is>
          <t>bfccc78523bd9bce</t>
        </is>
      </c>
      <c r="B54" s="2" t="inlineStr">
        <is>
          <t>2026-10-03 15:14</t>
        </is>
      </c>
      <c r="C54" s="3" t="inlineStr">
        <is>
          <t>Auxiliar de facturación - 1626011292-16</t>
        </is>
      </c>
      <c r="D54" s="3" t="inlineStr">
        <is>
          <t>AGENCIA DE EMPLEO Y FOMENTO EMPRESARIAL COMPENSAR</t>
        </is>
      </c>
      <c r="E54" s="4" t="n">
        <v>0.73</v>
      </c>
      <c r="F54" s="2" t="inlineStr">
        <is>
          <t>Remoto</t>
        </is>
      </c>
      <c r="G54" s="5">
        <f>HYPERLINK("https://www.elempleo.com/co/ofertas-trabajo/auxiliar-de-facturacion-162601129216-1886771083", "Ver Vacante")</f>
        <v/>
      </c>
      <c r="H54" s="6" t="inlineStr"/>
      <c r="I54" s="3" t="inlineStr">
        <is>
          <t>[Afinidad: 73/100 - Alta Afinidad] Alta coincidencia técnica en Herramientas Ofimáticas, Excel y Soporte Contable / Facturación. Modalidad: 100% Remoto en Colombia confirmado.</t>
        </is>
      </c>
      <c r="J54" s="2" t="inlineStr">
        <is>
          <t>Nueva</t>
        </is>
      </c>
      <c r="K54" s="3" t="inlineStr"/>
    </row>
    <row r="55" ht="22" customHeight="1">
      <c r="A55" s="2" t="inlineStr">
        <is>
          <t>62b2ee56724184dc</t>
        </is>
      </c>
      <c r="B55" s="2" t="inlineStr">
        <is>
          <t>2026-10-03 15:14</t>
        </is>
      </c>
      <c r="C55" s="3" t="inlineStr">
        <is>
          <t>Auxiliar de facturación</t>
        </is>
      </c>
      <c r="D55" s="3" t="inlineStr">
        <is>
          <t>Confidencial</t>
        </is>
      </c>
      <c r="E55" s="4" t="n">
        <v>0.73</v>
      </c>
      <c r="F55" s="2" t="inlineStr">
        <is>
          <t>Remoto</t>
        </is>
      </c>
      <c r="G55" s="5">
        <f>HYPERLINK("https://www.elempleo.com/co/ofertas-trabajo/auxiliar-de-facturacion-1886774943", "Ver Vacante")</f>
        <v/>
      </c>
      <c r="H55" s="6" t="inlineStr"/>
      <c r="I55" s="3" t="inlineStr">
        <is>
          <t>[Afinidad: 73/100 - Alta Afinidad] Alta coincidencia técnica en Herramientas Ofimáticas, Excel y Soporte Contable / Facturación. Modalidad: 100% Remoto en Colombia confirmado.</t>
        </is>
      </c>
      <c r="J55" s="2" t="inlineStr">
        <is>
          <t>Nueva</t>
        </is>
      </c>
      <c r="K55" s="3" t="inlineStr"/>
    </row>
    <row r="56" ht="22" customHeight="1">
      <c r="A56" s="2" t="inlineStr">
        <is>
          <t>cce37295998e85f3</t>
        </is>
      </c>
      <c r="B56" s="2" t="inlineStr">
        <is>
          <t>2026-10-03 15:14</t>
        </is>
      </c>
      <c r="C56" s="3" t="inlineStr">
        <is>
          <t>Auxiliar de facturación experiencia en rips</t>
        </is>
      </c>
      <c r="D56" s="3" t="inlineStr">
        <is>
          <t>Fundación Santa Fe de Bogotá</t>
        </is>
      </c>
      <c r="E56" s="4" t="n">
        <v>0.73</v>
      </c>
      <c r="F56" s="2" t="inlineStr">
        <is>
          <t>Remoto</t>
        </is>
      </c>
      <c r="G56" s="5">
        <f>HYPERLINK("https://www.elempleo.com/co/ofertas-trabajo/auxiliar-de-facturacion-experiencia-en-rips-1886775772", "Ver Vacante")</f>
        <v/>
      </c>
      <c r="H56" s="6" t="inlineStr"/>
      <c r="I56" s="3" t="inlineStr">
        <is>
          <t>[Afinidad: 73/100 - Alta Afinidad] Alta coincidencia técnica en Herramientas Ofimáticas, Excel y Soporte Contable / Facturación. Modalidad: 100% Remoto en Colombia confirmado.</t>
        </is>
      </c>
      <c r="J56" s="2" t="inlineStr">
        <is>
          <t>Nueva</t>
        </is>
      </c>
      <c r="K56" s="3" t="inlineStr"/>
    </row>
    <row r="57" ht="22" customHeight="1">
      <c r="A57" s="2" t="inlineStr">
        <is>
          <t>dfa58446a2372fcc</t>
        </is>
      </c>
      <c r="B57" s="2" t="inlineStr">
        <is>
          <t>2026-10-03 15:14</t>
        </is>
      </c>
      <c r="C57" s="3" t="inlineStr">
        <is>
          <t>Asistente de facturación y cartera ref. 1626487352-32</t>
        </is>
      </c>
      <c r="D57" s="3" t="inlineStr">
        <is>
          <t>AGENCIA DE EMPLEO Y FOMENTO EMPRESARIAL COMPENSAR</t>
        </is>
      </c>
      <c r="E57" s="4" t="n">
        <v>0.73</v>
      </c>
      <c r="F57" s="2" t="inlineStr">
        <is>
          <t>Remoto</t>
        </is>
      </c>
      <c r="G57" s="5">
        <f>HYPERLINK("https://www.elempleo.com/co/ofertas-trabajo/asistente-de-facturacion-y-cartera-ref-162648735232-1886766205", "Ver Vacante")</f>
        <v/>
      </c>
      <c r="H57" s="6" t="inlineStr"/>
      <c r="I57" s="3" t="inlineStr">
        <is>
          <t>[Afinidad: 73/100 - Alta Afinidad] Alta coincidencia técnica en Herramientas Ofimáticas, Excel y Soporte Contable / Facturación. Modalidad: 100% Remoto en Colombia confirmado.</t>
        </is>
      </c>
      <c r="J57" s="2" t="inlineStr">
        <is>
          <t>Nueva</t>
        </is>
      </c>
      <c r="K57" s="3" t="inlineStr"/>
    </row>
    <row r="58" ht="22" customHeight="1">
      <c r="A58" s="2" t="inlineStr">
        <is>
          <t>aa44c6d913e4d552</t>
        </is>
      </c>
      <c r="B58" s="2" t="inlineStr">
        <is>
          <t>2026-10-04 15:51</t>
        </is>
      </c>
      <c r="C58" s="3" t="inlineStr">
        <is>
          <t>Auxiliar de facturación - puente aranda- 1625881713-123</t>
        </is>
      </c>
      <c r="D58" s="3" t="inlineStr">
        <is>
          <t>AGENCIA DE EMPLEO Y FOMENTO EMPRESARIAL COMPENSAR</t>
        </is>
      </c>
      <c r="E58" s="4" t="n">
        <v>0.73</v>
      </c>
      <c r="F58" s="2" t="inlineStr">
        <is>
          <t>Remoto</t>
        </is>
      </c>
      <c r="G58" s="5">
        <f>HYPERLINK("https://www.elempleo.com/co/ofertas-trabajo/auxiliar-de-facturacion-puente-aranda-1625881713123-1886769348", "Ver Vacante")</f>
        <v/>
      </c>
      <c r="H58" s="6" t="inlineStr"/>
      <c r="I58" s="3" t="inlineStr">
        <is>
          <t>[Afinidad: 73/100 - Alta Afinidad] Alta coincidencia técnica en Herramientas Ofimáticas, Excel y Soporte Contable / Facturación. Modalidad: 100% Remoto en Colombia confirmado.</t>
        </is>
      </c>
      <c r="J58" s="2" t="inlineStr">
        <is>
          <t>Nueva</t>
        </is>
      </c>
      <c r="K58" s="3" t="inlineStr"/>
    </row>
    <row r="59" ht="22" customHeight="1">
      <c r="A59" s="2" t="inlineStr">
        <is>
          <t>b44601c704ec6932</t>
        </is>
      </c>
      <c r="B59" s="2" t="inlineStr">
        <is>
          <t>2026-10-08 17:54</t>
        </is>
      </c>
      <c r="C59" s="3" t="inlineStr">
        <is>
          <t>Auxiliar de facturación control de fletes y sobrecostos</t>
        </is>
      </c>
      <c r="D59" s="3" t="inlineStr">
        <is>
          <t>MANPOWER</t>
        </is>
      </c>
      <c r="E59" s="4" t="n">
        <v>0.73</v>
      </c>
      <c r="F59" s="2" t="inlineStr">
        <is>
          <t>Remoto</t>
        </is>
      </c>
      <c r="G59" s="5">
        <f>HYPERLINK("https://www.elempleo.com/co/ofertas-trabajo/auxiliar-de-facturacion-control-de-fletes-y-sobrecostos-1886778160", "Ver Vacante")</f>
        <v/>
      </c>
      <c r="H59" s="6" t="inlineStr"/>
      <c r="I59" s="3" t="inlineStr">
        <is>
          <t>[Afinidad: 73/100 - Alta Afinidad] Alta coincidencia técnica en Herramientas Ofimáticas, Excel y Soporte Contable / Facturación. Modalidad: 100% Remoto en Colombia confirmado.</t>
        </is>
      </c>
      <c r="J59" s="2" t="inlineStr">
        <is>
          <t>Nueva</t>
        </is>
      </c>
      <c r="K59" s="3" t="inlineStr"/>
    </row>
    <row r="60" ht="22" customHeight="1">
      <c r="A60" s="2" t="inlineStr">
        <is>
          <t>9b13ff35ed19b08e</t>
        </is>
      </c>
      <c r="B60" s="2" t="inlineStr">
        <is>
          <t>2026-10-10 16:18</t>
        </is>
      </c>
      <c r="C60" s="3" t="inlineStr">
        <is>
          <t>Auxiliar logistico facturación</t>
        </is>
      </c>
      <c r="D60" s="3" t="inlineStr">
        <is>
          <t>Confidencial</t>
        </is>
      </c>
      <c r="E60" s="4" t="n">
        <v>0.73</v>
      </c>
      <c r="F60" s="2" t="inlineStr">
        <is>
          <t>Remoto</t>
        </is>
      </c>
      <c r="G60" s="5">
        <f>HYPERLINK("https://www.elempleo.com/co/ofertas-trabajo/auxiliar-logistico-facturacion-1886775031", "Ver Vacante")</f>
        <v/>
      </c>
      <c r="H60" s="6" t="inlineStr"/>
      <c r="I60" s="3" t="inlineStr">
        <is>
          <t>[Afinidad: 73/100 - Alta Afinidad] Alta coincidencia técnica en Herramientas Ofimáticas, Excel y Soporte Contable / Facturación. Modalidad: 100% Remoto en Colombia confirmado.</t>
        </is>
      </c>
      <c r="J60" s="2" t="inlineStr">
        <is>
          <t>Nueva</t>
        </is>
      </c>
      <c r="K60" s="3" t="inlineStr"/>
    </row>
    <row r="61" ht="22" customHeight="1">
      <c r="A61" s="2" t="inlineStr">
        <is>
          <t>05d5d5ace68df0c3</t>
        </is>
      </c>
      <c r="B61" s="2" t="inlineStr">
        <is>
          <t>2026-10-11 16:45</t>
        </is>
      </c>
      <c r="C61" s="3" t="inlineStr">
        <is>
          <t>Auxiliar de facturacion hospitalaria</t>
        </is>
      </c>
      <c r="D61" s="3" t="inlineStr">
        <is>
          <t>CLINICA SHAIO</t>
        </is>
      </c>
      <c r="E61" s="4" t="n">
        <v>0.73</v>
      </c>
      <c r="F61" s="2" t="inlineStr">
        <is>
          <t>Remoto</t>
        </is>
      </c>
      <c r="G61" s="5">
        <f>HYPERLINK("https://www.elempleo.com/co/ofertas-trabajo/auxiliar-de-facturacion-hospitalaria-1886627785", "Ver Vacante")</f>
        <v/>
      </c>
      <c r="H61" s="6" t="inlineStr"/>
      <c r="I61" s="3" t="inlineStr">
        <is>
          <t>[Afinidad: 73/100 - Alta Afinidad] Alta coincidencia técnica en Herramientas Ofimáticas, Excel y Soporte Contable / Facturación. Modalidad: 100% Remoto en Colombia confirmado.</t>
        </is>
      </c>
      <c r="J61" s="2" t="inlineStr">
        <is>
          <t>Nueva</t>
        </is>
      </c>
      <c r="K61" s="3" t="inlineStr"/>
    </row>
    <row r="62" ht="22" customHeight="1">
      <c r="A62" s="2" t="inlineStr">
        <is>
          <t>794c8af7f5852b96</t>
        </is>
      </c>
      <c r="B62" s="2" t="inlineStr">
        <is>
          <t>2026-10-11 16:45</t>
        </is>
      </c>
      <c r="C62" s="3" t="inlineStr">
        <is>
          <t>Asistente de facturación y causación tipo ii - bogotá dc</t>
        </is>
      </c>
      <c r="D62" s="3" t="inlineStr">
        <is>
          <t>Confidencial</t>
        </is>
      </c>
      <c r="E62" s="4" t="n">
        <v>0.73</v>
      </c>
      <c r="F62" s="2" t="inlineStr">
        <is>
          <t>Remoto</t>
        </is>
      </c>
      <c r="G62" s="5">
        <f>HYPERLINK("https://www.elempleo.com/co/ofertas-trabajo/asistente-de-facturacion-y-causacion-tipo-ii-bogota-dc-1886770269", "Ver Vacante")</f>
        <v/>
      </c>
      <c r="H62" s="6" t="inlineStr"/>
      <c r="I62" s="3" t="inlineStr">
        <is>
          <t>[Afinidad: 73/100 - Alta Afinidad] Alta coincidencia técnica en Herramientas Ofimáticas, Excel y Soporte Contable / Facturación. Modalidad: 100% Remoto en Colombia confirmado.</t>
        </is>
      </c>
      <c r="J62" s="2" t="inlineStr">
        <is>
          <t>Nueva</t>
        </is>
      </c>
      <c r="K62" s="3" t="inlineStr"/>
    </row>
    <row r="63" ht="22" customHeight="1">
      <c r="A63" s="2" t="inlineStr">
        <is>
          <t>a8d9caba91bc885f</t>
        </is>
      </c>
      <c r="B63" s="2" t="inlineStr">
        <is>
          <t>2026-10-11 16:45</t>
        </is>
      </c>
      <c r="C63" s="3" t="inlineStr">
        <is>
          <t>Auxiliar de facturación - consulta externa</t>
        </is>
      </c>
      <c r="D63" s="3" t="inlineStr">
        <is>
          <t>HUSI</t>
        </is>
      </c>
      <c r="E63" s="4" t="n">
        <v>0.73</v>
      </c>
      <c r="F63" s="2" t="inlineStr">
        <is>
          <t>Remoto</t>
        </is>
      </c>
      <c r="G63" s="5">
        <f>HYPERLINK("https://www.elempleo.com/co/ofertas-trabajo/auxiliar-de-facturacion-consulta-externa-1886771488", "Ver Vacante")</f>
        <v/>
      </c>
      <c r="H63" s="6" t="inlineStr"/>
      <c r="I63" s="3" t="inlineStr">
        <is>
          <t>[Afinidad: 73/100 - Alta Afinidad] Alta coincidencia técnica en Herramientas Ofimáticas, Excel y Soporte Contable / Facturación. Modalidad: 100% Remoto en Colombia confirmado.</t>
        </is>
      </c>
      <c r="J63" s="2" t="inlineStr">
        <is>
          <t>Nueva</t>
        </is>
      </c>
      <c r="K63" s="3" t="inlineStr"/>
    </row>
    <row r="64" ht="22" customHeight="1">
      <c r="A64" s="2" t="inlineStr">
        <is>
          <t>c4fd3a74127e4550</t>
        </is>
      </c>
      <c r="B64" s="2" t="inlineStr">
        <is>
          <t>2026-10-11 16:45</t>
        </is>
      </c>
      <c r="C64" s="3" t="inlineStr">
        <is>
          <t>Aprendiz SENA – Gestión Documental</t>
        </is>
      </c>
      <c r="D64" s="3" t="inlineStr">
        <is>
          <t>Inmov Global Network</t>
        </is>
      </c>
      <c r="E64" s="4" t="n">
        <v>0.73</v>
      </c>
      <c r="F64" s="2" t="inlineStr">
        <is>
          <t>Remoto</t>
        </is>
      </c>
      <c r="G64" s="5">
        <f>HYPERLINK("https://co.linkedin.com/jobs/view/aprendiz-sena-%E2%80%93-gesti%C3%B3n-documental-at-inmov-4477677360", "Ver Vacante")</f>
        <v/>
      </c>
      <c r="H64" s="6" t="inlineStr"/>
      <c r="I64" s="3" t="inlineStr">
        <is>
          <t>[Afinidad: 73/100 - Alta Afinidad] Alta coincidencia técnica en Gestión Administrativa, Documental y Archivo. Modalidad: 100% Remoto en Colombia confirmado.</t>
        </is>
      </c>
      <c r="J64" s="2" t="inlineStr">
        <is>
          <t>Nueva</t>
        </is>
      </c>
      <c r="K64" s="3" t="inlineStr"/>
    </row>
    <row r="65" ht="22" customHeight="1">
      <c r="A65" s="2" t="inlineStr">
        <is>
          <t>48a7952162ea4691</t>
        </is>
      </c>
      <c r="B65" s="2" t="inlineStr">
        <is>
          <t>2026-10-12 20:20</t>
        </is>
      </c>
      <c r="C65" s="3" t="inlineStr">
        <is>
          <t>Auxiliar de facturación</t>
        </is>
      </c>
      <c r="D65" s="3" t="inlineStr">
        <is>
          <t>Confidencial</t>
        </is>
      </c>
      <c r="E65" s="4" t="n">
        <v>0.73</v>
      </c>
      <c r="F65" s="2" t="inlineStr">
        <is>
          <t>Remoto</t>
        </is>
      </c>
      <c r="G65" s="5">
        <f>HYPERLINK("https://www.elempleo.com/co/ofertas-trabajo/auxiliar-de-facturacion-1886769004", "Ver Vacante")</f>
        <v/>
      </c>
      <c r="H65" s="6" t="inlineStr"/>
      <c r="I65" s="3" t="inlineStr">
        <is>
          <t>[Afinidad: 73/100 - Alta Afinidad] Alta coincidencia técnica en Herramientas Ofimáticas, Excel y Soporte Contable / Facturación. Modalidad: 100% Remoto en Colombia confirmado.</t>
        </is>
      </c>
      <c r="J65" s="2" t="inlineStr">
        <is>
          <t>Nueva</t>
        </is>
      </c>
      <c r="K65" s="3" t="inlineStr"/>
    </row>
    <row r="66" ht="22" customHeight="1">
      <c r="A66" s="2" t="inlineStr">
        <is>
          <t>2fc02eca758f05b3</t>
        </is>
      </c>
      <c r="B66" s="2" t="inlineStr">
        <is>
          <t>2026-10-13 18:11</t>
        </is>
      </c>
      <c r="C66" s="3" t="inlineStr">
        <is>
          <t>Auxiliar de facturacion - inclusión laboral - suba - 1626345851-20</t>
        </is>
      </c>
      <c r="D66" s="3" t="inlineStr">
        <is>
          <t>AGENCIA DE EMPLEO Y FOMENTO EMPRESARIAL COMPENSAR</t>
        </is>
      </c>
      <c r="E66" s="4" t="n">
        <v>0.73</v>
      </c>
      <c r="F66" s="2" t="inlineStr">
        <is>
          <t>Remoto</t>
        </is>
      </c>
      <c r="G66" s="5">
        <f>HYPERLINK("https://www.elempleo.com/co/ofertas-trabajo/auxiliar-de-facturacion-inclusion-laboral-suba-162634585120-1886768769", "Ver Vacante")</f>
        <v/>
      </c>
      <c r="H66" s="6" t="inlineStr"/>
      <c r="I66" s="3" t="inlineStr">
        <is>
          <t>[Afinidad: 73/100 - Alta Afinidad] Alta coincidencia técnica en Herramientas Ofimáticas, Excel y Soporte Contable / Facturación. Modalidad: 100% Remoto en Colombia confirmado.</t>
        </is>
      </c>
      <c r="J66" s="2" t="inlineStr">
        <is>
          <t>Nueva</t>
        </is>
      </c>
      <c r="K66" s="3" t="inlineStr"/>
    </row>
    <row r="67" ht="22" customHeight="1">
      <c r="A67" s="2" t="inlineStr">
        <is>
          <t>7cdcee3e94a829cf</t>
        </is>
      </c>
      <c r="B67" s="2" t="inlineStr">
        <is>
          <t>2026-10-14 15:54</t>
        </is>
      </c>
      <c r="C67" s="3" t="inlineStr">
        <is>
          <t>Auxiliar de facturación hospitalario</t>
        </is>
      </c>
      <c r="D67" s="3" t="inlineStr">
        <is>
          <t>INSTITUTO ROOSEVELT</t>
        </is>
      </c>
      <c r="E67" s="4" t="n">
        <v>0.73</v>
      </c>
      <c r="F67" s="2" t="inlineStr">
        <is>
          <t>Remoto</t>
        </is>
      </c>
      <c r="G67" s="5">
        <f>HYPERLINK("https://www.elempleo.com/co/ofertas-trabajo/auxiliar-de-facturacion-hospitalario-1886779746", "Ver Vacante")</f>
        <v/>
      </c>
      <c r="H67" s="6" t="inlineStr"/>
      <c r="I67" s="3" t="inlineStr">
        <is>
          <t>[Afinidad: 73/100 - Alta Afinidad] Alta coincidencia técnica en Herramientas Ofimáticas, Excel y Soporte Contable / Facturación. Modalidad: 100% Remoto en Colombia confirmado.</t>
        </is>
      </c>
      <c r="J67" s="2" t="inlineStr">
        <is>
          <t>Nueva</t>
        </is>
      </c>
      <c r="K67" s="3" t="inlineStr"/>
    </row>
    <row r="68" ht="22" customHeight="1">
      <c r="A68" s="2" t="inlineStr">
        <is>
          <t>aa1770f8432ba35d</t>
        </is>
      </c>
      <c r="B68" s="2" t="inlineStr">
        <is>
          <t>2026-10-15 15:43</t>
        </is>
      </c>
      <c r="C68" s="3" t="inlineStr">
        <is>
          <t>Auxiliar de facturación</t>
        </is>
      </c>
      <c r="D68" s="3" t="inlineStr">
        <is>
          <t>Confidencial</t>
        </is>
      </c>
      <c r="E68" s="4" t="n">
        <v>0.73</v>
      </c>
      <c r="F68" s="2" t="inlineStr">
        <is>
          <t>Remoto</t>
        </is>
      </c>
      <c r="G68" s="5">
        <f>HYPERLINK("https://www.elempleo.com/co/ofertas-trabajo/auxiliar-de-facturacion-1886780651", "Ver Vacante")</f>
        <v/>
      </c>
      <c r="H68" s="6" t="inlineStr"/>
      <c r="I68" s="3" t="inlineStr">
        <is>
          <t>[Afinidad: 73/100 - Alta Afinidad] Alta coincidencia técnica en Herramientas Ofimáticas, Excel y Soporte Contable / Facturación. Modalidad: 100% Remoto en Colombia confirmado.</t>
        </is>
      </c>
      <c r="J68" s="2" t="inlineStr">
        <is>
          <t>Nueva</t>
        </is>
      </c>
      <c r="K68" s="3" t="inlineStr"/>
    </row>
    <row r="69" ht="22" customHeight="1">
      <c r="A69" s="2" t="inlineStr">
        <is>
          <t>d7b10cded83b71f2</t>
        </is>
      </c>
      <c r="B69" s="2" t="inlineStr">
        <is>
          <t>2026-09-24 16:07</t>
        </is>
      </c>
      <c r="C69" s="3" t="inlineStr">
        <is>
          <t>Analista junior de facturación y telecomunicaciones</t>
        </is>
      </c>
      <c r="D69" s="3" t="inlineStr">
        <is>
          <t>TP COLOMBIA</t>
        </is>
      </c>
      <c r="E69" s="4" t="n">
        <v>0.7</v>
      </c>
      <c r="F69" s="2" t="inlineStr">
        <is>
          <t>Remoto</t>
        </is>
      </c>
      <c r="G69" s="5">
        <f>HYPERLINK("https://www.elempleo.com/co/ofertas-trabajo/analista-junior-de-facturacion-y-telecomunicaciones-1886758607", "Ver Vacante")</f>
        <v/>
      </c>
      <c r="H69" s="6" t="inlineStr"/>
      <c r="I69" s="3" t="inlineStr">
        <is>
          <t>[Afinidad: 70/100 - Alta Afinidad] Alta coincidencia técnica en Herramientas Ofimáticas, Excel y Soporte Contable / Facturación. Modalidad: 100% Remoto en Colombia confirmado.</t>
        </is>
      </c>
      <c r="J69" s="2" t="inlineStr">
        <is>
          <t>Nueva</t>
        </is>
      </c>
      <c r="K69" s="3" t="inlineStr"/>
    </row>
    <row r="70" ht="22" customHeight="1">
      <c r="A70" s="2" t="inlineStr">
        <is>
          <t>7c8e4b63802fbfdd</t>
        </is>
      </c>
      <c r="B70" s="2" t="inlineStr">
        <is>
          <t>2026-09-24 16:07</t>
        </is>
      </c>
      <c r="C70" s="3" t="inlineStr">
        <is>
          <t>Analista de facturacion - mocoa</t>
        </is>
      </c>
      <c r="D70" s="3" t="inlineStr">
        <is>
          <t>Clínica Medilaser S.A.S</t>
        </is>
      </c>
      <c r="E70" s="7" t="n">
        <v>0.68</v>
      </c>
      <c r="F70" s="2" t="inlineStr">
        <is>
          <t>Remoto</t>
        </is>
      </c>
      <c r="G70" s="5">
        <f>HYPERLINK("https://www.elempleo.com/co/ofertas-trabajo/analista-de-facturacion-mocoa-1886758704", "Ver Vacante")</f>
        <v/>
      </c>
      <c r="H70" s="6" t="inlineStr"/>
      <c r="I70" s="3" t="inlineStr">
        <is>
          <t>[Afinidad: 68/100 - Afinidad Moderada] Alta coincidencia técnica en Herramientas Ofimáticas, Excel y Soporte Contable / Facturación. Modalidad: 100% Remoto en Colombia confirmado.</t>
        </is>
      </c>
      <c r="J70" s="2" t="inlineStr">
        <is>
          <t>Nueva</t>
        </is>
      </c>
      <c r="K70" s="3" t="inlineStr"/>
    </row>
    <row r="71" ht="22" customHeight="1">
      <c r="A71" s="2" t="inlineStr">
        <is>
          <t>6a1a399dbe055821</t>
        </is>
      </c>
      <c r="B71" s="2" t="inlineStr">
        <is>
          <t>2026-09-24 16:07</t>
        </is>
      </c>
      <c r="C71" s="3" t="inlineStr">
        <is>
          <t>Analista de facturación</t>
        </is>
      </c>
      <c r="D71" s="3" t="inlineStr">
        <is>
          <t>CONTINAUTOS S.A.</t>
        </is>
      </c>
      <c r="E71" s="7" t="n">
        <v>0.68</v>
      </c>
      <c r="F71" s="2" t="inlineStr">
        <is>
          <t>Remoto</t>
        </is>
      </c>
      <c r="G71" s="5">
        <f>HYPERLINK("https://www.elempleo.com/co/ofertas-trabajo/analista-de-facturacion-1886758032", "Ver Vacante")</f>
        <v/>
      </c>
      <c r="H71" s="6" t="inlineStr"/>
      <c r="I71" s="3" t="inlineStr">
        <is>
          <t>[Afinidad: 68/100 - Afinidad Moderada] Alta coincidencia técnica en Herramientas Ofimáticas, Excel y Soporte Contable / Facturación. Modalidad: 100% Remoto en Colombia confirmado.</t>
        </is>
      </c>
      <c r="J71" s="2" t="inlineStr">
        <is>
          <t>Nueva</t>
        </is>
      </c>
      <c r="K71" s="3" t="inlineStr"/>
    </row>
    <row r="72" ht="22" customHeight="1">
      <c r="A72" s="2" t="inlineStr">
        <is>
          <t>8d104e6e0596782f</t>
        </is>
      </c>
      <c r="B72" s="2" t="inlineStr">
        <is>
          <t>2026-09-24 16:07</t>
        </is>
      </c>
      <c r="C72" s="3" t="inlineStr">
        <is>
          <t>Analista de facturación - zipaquira</t>
        </is>
      </c>
      <c r="D72" s="3" t="inlineStr">
        <is>
          <t>Confidencial</t>
        </is>
      </c>
      <c r="E72" s="7" t="n">
        <v>0.68</v>
      </c>
      <c r="F72" s="2" t="inlineStr">
        <is>
          <t>Remoto</t>
        </is>
      </c>
      <c r="G72" s="5">
        <f>HYPERLINK("https://www.elempleo.com/co/ofertas-trabajo/analista-de-facturacion-zipaquira-1886769380", "Ver Vacante")</f>
        <v/>
      </c>
      <c r="H72" s="6" t="inlineStr"/>
      <c r="I72" s="3" t="inlineStr">
        <is>
          <t>[Afinidad: 68/100 - Afinidad Moderada] Alta coincidencia técnica en Herramientas Ofimáticas, Excel y Soporte Contable / Facturación. Modalidad: 100% Remoto en Colombia confirmado.</t>
        </is>
      </c>
      <c r="J72" s="2" t="inlineStr">
        <is>
          <t>Nueva</t>
        </is>
      </c>
      <c r="K72" s="3" t="inlineStr"/>
    </row>
    <row r="73" ht="22" customHeight="1">
      <c r="A73" s="2" t="inlineStr">
        <is>
          <t>30c981b787bd9e84</t>
        </is>
      </c>
      <c r="B73" s="2" t="inlineStr">
        <is>
          <t>2026-09-24 16:07</t>
        </is>
      </c>
      <c r="C73" s="3" t="inlineStr">
        <is>
          <t>Analista de facturación</t>
        </is>
      </c>
      <c r="D73" s="3" t="inlineStr">
        <is>
          <t>IMPULSO TEMPORAL SAS</t>
        </is>
      </c>
      <c r="E73" s="7" t="n">
        <v>0.68</v>
      </c>
      <c r="F73" s="2" t="inlineStr">
        <is>
          <t>Remoto</t>
        </is>
      </c>
      <c r="G73" s="5">
        <f>HYPERLINK("https://www.elempleo.com/co/ofertas-trabajo/analista-de-facturacion-1886751641", "Ver Vacante")</f>
        <v/>
      </c>
      <c r="H73" s="6" t="inlineStr"/>
      <c r="I73" s="3" t="inlineStr">
        <is>
          <t>[Afinidad: 68/100 - Afinidad Moderada] Alta coincidencia técnica en Herramientas Ofimáticas, Excel y Soporte Contable / Facturación. Modalidad: 100% Remoto en Colombia confirmado.</t>
        </is>
      </c>
      <c r="J73" s="2" t="inlineStr">
        <is>
          <t>Nueva</t>
        </is>
      </c>
      <c r="K73" s="3" t="inlineStr"/>
    </row>
    <row r="74" ht="22" customHeight="1">
      <c r="A74" s="2" t="inlineStr">
        <is>
          <t>6ba85335e71be4cc</t>
        </is>
      </c>
      <c r="B74" s="2" t="inlineStr">
        <is>
          <t>2026-09-24 16:07</t>
        </is>
      </c>
      <c r="C74" s="3" t="inlineStr">
        <is>
          <t>Analista de Facturacion</t>
        </is>
      </c>
      <c r="D74" s="3" t="inlineStr">
        <is>
          <t>Experian Spanish Latam</t>
        </is>
      </c>
      <c r="E74" s="7" t="n">
        <v>0.68</v>
      </c>
      <c r="F74" s="2" t="inlineStr">
        <is>
          <t>Remoto</t>
        </is>
      </c>
      <c r="G74" s="5">
        <f>HYPERLINK("https://co.linkedin.com/jobs/view/analista-de-facturacion-at-experian-spanish-latam-4462035775", "Ver Vacante")</f>
        <v/>
      </c>
      <c r="H74" s="6" t="inlineStr"/>
      <c r="I74" s="3" t="inlineStr">
        <is>
          <t>[Afinidad: 68/100 - Afinidad Moderada] Alta coincidencia técnica en Herramientas Ofimáticas, Excel y Soporte Contable / Facturación. Modalidad: 100% Remoto en Colombia confirmado.</t>
        </is>
      </c>
      <c r="J74" s="2" t="inlineStr">
        <is>
          <t>Nueva</t>
        </is>
      </c>
      <c r="K74" s="3" t="inlineStr"/>
    </row>
    <row r="75" ht="22" customHeight="1">
      <c r="A75" s="2" t="inlineStr">
        <is>
          <t>0ba2c0ed565928ee</t>
        </is>
      </c>
      <c r="B75" s="2" t="inlineStr">
        <is>
          <t>2026-09-24 16:07</t>
        </is>
      </c>
      <c r="C75" s="3" t="inlineStr">
        <is>
          <t>Analista de facturación y gasto</t>
        </is>
      </c>
      <c r="D75" s="3" t="inlineStr">
        <is>
          <t>AXA Partners</t>
        </is>
      </c>
      <c r="E75" s="7" t="n">
        <v>0.68</v>
      </c>
      <c r="F75" s="2" t="inlineStr">
        <is>
          <t>Remoto</t>
        </is>
      </c>
      <c r="G75" s="5">
        <f>HYPERLINK("https://co.linkedin.com/jobs/view/analista-de-facturaci%C3%B3n-y-gasto-at-axa-partners-4468296274", "Ver Vacante")</f>
        <v/>
      </c>
      <c r="H75" s="6" t="inlineStr"/>
      <c r="I75" s="3" t="inlineStr">
        <is>
          <t>[Afinidad: 68/100 - Afinidad Moderada] Alta coincidencia técnica en Herramientas Ofimáticas, Excel y Soporte Contable / Facturación. Modalidad: 100% Remoto en Colombia confirmado.</t>
        </is>
      </c>
      <c r="J75" s="2" t="inlineStr">
        <is>
          <t>Nueva</t>
        </is>
      </c>
      <c r="K75" s="3" t="inlineStr"/>
    </row>
    <row r="76" ht="22" customHeight="1">
      <c r="A76" s="2" t="inlineStr">
        <is>
          <t>2adbc58cb85c19c7</t>
        </is>
      </c>
      <c r="B76" s="2" t="inlineStr">
        <is>
          <t>2026-09-24 16:07</t>
        </is>
      </c>
      <c r="C76" s="3" t="inlineStr">
        <is>
          <t>Analista de Facturación de servicios</t>
        </is>
      </c>
      <c r="D76" s="3" t="inlineStr">
        <is>
          <t>Américas BPS</t>
        </is>
      </c>
      <c r="E76" s="7" t="n">
        <v>0.68</v>
      </c>
      <c r="F76" s="2" t="inlineStr">
        <is>
          <t>Remoto</t>
        </is>
      </c>
      <c r="G76" s="5">
        <f>HYPERLINK("https://co.linkedin.com/jobs/view/analista-de-facturaci%C3%B3n-de-servicios-at-am%C3%A9ricas-bps-4464891719", "Ver Vacante")</f>
        <v/>
      </c>
      <c r="H76" s="6" t="inlineStr"/>
      <c r="I76" s="3" t="inlineStr">
        <is>
          <t>[Afinidad: 68/100 - Afinidad Moderada] Alta coincidencia técnica en Herramientas Ofimáticas, Excel y Soporte Contable / Facturación. Modalidad: 100% Remoto en Colombia confirmado.</t>
        </is>
      </c>
      <c r="J76" s="2" t="inlineStr">
        <is>
          <t>Nueva</t>
        </is>
      </c>
      <c r="K76" s="3" t="inlineStr"/>
    </row>
    <row r="77" ht="22" customHeight="1">
      <c r="A77" s="2" t="inlineStr">
        <is>
          <t>a831855f10d17417</t>
        </is>
      </c>
      <c r="B77" s="2" t="inlineStr">
        <is>
          <t>2026-09-25 15:56</t>
        </is>
      </c>
      <c r="C77" s="3" t="inlineStr">
        <is>
          <t>Analista de facturación</t>
        </is>
      </c>
      <c r="D77" s="3" t="inlineStr">
        <is>
          <t>Confidencial</t>
        </is>
      </c>
      <c r="E77" s="7" t="n">
        <v>0.68</v>
      </c>
      <c r="F77" s="2" t="inlineStr">
        <is>
          <t>Remoto</t>
        </is>
      </c>
      <c r="G77" s="5">
        <f>HYPERLINK("https://www.elempleo.com/co/ofertas-trabajo/analista-de-facturacion-1886756696", "Ver Vacante")</f>
        <v/>
      </c>
      <c r="H77" s="6" t="inlineStr"/>
      <c r="I77" s="3" t="inlineStr">
        <is>
          <t>[Afinidad: 68/100 - Afinidad Moderada] Alta coincidencia técnica en Herramientas Ofimáticas, Excel y Soporte Contable / Facturación. Modalidad: 100% Remoto en Colombia confirmado.</t>
        </is>
      </c>
      <c r="J77" s="2" t="inlineStr">
        <is>
          <t>Nueva</t>
        </is>
      </c>
      <c r="K77" s="3" t="inlineStr"/>
    </row>
    <row r="78" ht="22" customHeight="1">
      <c r="A78" s="2" t="inlineStr">
        <is>
          <t>d59df408fc52566d</t>
        </is>
      </c>
      <c r="B78" s="2" t="inlineStr">
        <is>
          <t>2026-09-25 15:56</t>
        </is>
      </c>
      <c r="C78" s="3" t="inlineStr">
        <is>
          <t>Analista de facturación- manejo de sap -</t>
        </is>
      </c>
      <c r="D78" s="3" t="inlineStr">
        <is>
          <t>Confidencial</t>
        </is>
      </c>
      <c r="E78" s="7" t="n">
        <v>0.68</v>
      </c>
      <c r="F78" s="2" t="inlineStr">
        <is>
          <t>Remoto</t>
        </is>
      </c>
      <c r="G78" s="5">
        <f>HYPERLINK("https://www.elempleo.com/co/ofertas-trabajo/analista-de-facturacion-manejo-de-sap-1886756806", "Ver Vacante")</f>
        <v/>
      </c>
      <c r="H78" s="6" t="inlineStr"/>
      <c r="I78" s="3" t="inlineStr">
        <is>
          <t>[Afinidad: 68/100 - Afinidad Moderada] Alta coincidencia técnica en Herramientas Ofimáticas, Excel y Soporte Contable / Facturación. Modalidad: 100% Remoto en Colombia confirmado.</t>
        </is>
      </c>
      <c r="J78" s="2" t="inlineStr">
        <is>
          <t>Nueva</t>
        </is>
      </c>
      <c r="K78" s="3" t="inlineStr"/>
    </row>
    <row r="79" ht="22" customHeight="1">
      <c r="A79" s="2" t="inlineStr">
        <is>
          <t>a1b8ba55f8922e99</t>
        </is>
      </c>
      <c r="B79" s="2" t="inlineStr">
        <is>
          <t>2026-09-25 15:56</t>
        </is>
      </c>
      <c r="C79" s="3" t="inlineStr">
        <is>
          <t>Analista de cartera y facturación</t>
        </is>
      </c>
      <c r="D79" s="3" t="inlineStr">
        <is>
          <t>MENTORHUB COLOMBIA</t>
        </is>
      </c>
      <c r="E79" s="7" t="n">
        <v>0.68</v>
      </c>
      <c r="F79" s="2" t="inlineStr">
        <is>
          <t>Remoto</t>
        </is>
      </c>
      <c r="G79" s="5">
        <f>HYPERLINK("https://www.elempleo.com/co/ofertas-trabajo/analista-de-cartera-y-facturacion-1886741299", "Ver Vacante")</f>
        <v/>
      </c>
      <c r="H79" s="6" t="inlineStr"/>
      <c r="I79" s="3" t="inlineStr">
        <is>
          <t>[Afinidad: 68/100 - Afinidad Moderada] Alta coincidencia técnica en Herramientas Ofimáticas, Excel y Soporte Contable / Facturación. Modalidad: 100% Remoto en Colombia confirmado.</t>
        </is>
      </c>
      <c r="J79" s="2" t="inlineStr">
        <is>
          <t>Nueva</t>
        </is>
      </c>
      <c r="K79" s="3" t="inlineStr"/>
    </row>
    <row r="80" ht="22" customHeight="1">
      <c r="A80" s="2" t="inlineStr">
        <is>
          <t>62e18b4bd9d42926</t>
        </is>
      </c>
      <c r="B80" s="2" t="inlineStr">
        <is>
          <t>2026-09-26 15:05</t>
        </is>
      </c>
      <c r="C80" s="3" t="inlineStr">
        <is>
          <t>Analista de control operativo y facturación aduanera</t>
        </is>
      </c>
      <c r="D80" s="3" t="inlineStr">
        <is>
          <t>crane ww logistics</t>
        </is>
      </c>
      <c r="E80" s="7" t="n">
        <v>0.68</v>
      </c>
      <c r="F80" s="2" t="inlineStr">
        <is>
          <t>Remoto</t>
        </is>
      </c>
      <c r="G80" s="5">
        <f>HYPERLINK("https://www.elempleo.com/co/ofertas-trabajo/analista-de-control-operativo-y-facturacion-aduanera-1886771256", "Ver Vacante")</f>
        <v/>
      </c>
      <c r="H80" s="6" t="inlineStr"/>
      <c r="I80" s="3" t="inlineStr">
        <is>
          <t>[Afinidad: 68/100 - Afinidad Moderada] Alta coincidencia técnica en Herramientas Ofimáticas, Excel y Soporte Contable / Facturación. Modalidad: 100% Remoto en Colombia confirmado.</t>
        </is>
      </c>
      <c r="J80" s="2" t="inlineStr">
        <is>
          <t>Nueva</t>
        </is>
      </c>
      <c r="K80" s="3" t="inlineStr"/>
    </row>
    <row r="81" ht="22" customHeight="1">
      <c r="A81" s="2" t="inlineStr">
        <is>
          <t>62ab67e660127864</t>
        </is>
      </c>
      <c r="B81" s="2" t="inlineStr">
        <is>
          <t>2026-09-28 18:38</t>
        </is>
      </c>
      <c r="C81" s="3" t="inlineStr">
        <is>
          <t>Analista de facturación y cartera</t>
        </is>
      </c>
      <c r="D81" s="3" t="inlineStr">
        <is>
          <t>DON MAKINON</t>
        </is>
      </c>
      <c r="E81" s="7" t="n">
        <v>0.68</v>
      </c>
      <c r="F81" s="2" t="inlineStr">
        <is>
          <t>Remoto</t>
        </is>
      </c>
      <c r="G81" s="5">
        <f>HYPERLINK("https://www.elempleo.com/co/ofertas-trabajo/analista-de-facturacion-y-cartera-1886773105", "Ver Vacante")</f>
        <v/>
      </c>
      <c r="H81" s="6" t="inlineStr"/>
      <c r="I81" s="3" t="inlineStr">
        <is>
          <t>[Afinidad: 68/100 - Afinidad Moderada] Alta coincidencia técnica en Herramientas Ofimáticas, Excel y Soporte Contable / Facturación. Modalidad: 100% Remoto en Colombia confirmado.</t>
        </is>
      </c>
      <c r="J81" s="2" t="inlineStr">
        <is>
          <t>Nueva</t>
        </is>
      </c>
      <c r="K81" s="3" t="inlineStr"/>
    </row>
    <row r="82" ht="22" customHeight="1">
      <c r="A82" s="2" t="inlineStr">
        <is>
          <t>39bf6fcb2b2ffb07</t>
        </is>
      </c>
      <c r="B82" s="2" t="inlineStr">
        <is>
          <t>2026-09-30 16:51</t>
        </is>
      </c>
      <c r="C82" s="3" t="inlineStr">
        <is>
          <t>Analista de facturación - medellín</t>
        </is>
      </c>
      <c r="D82" s="3" t="inlineStr">
        <is>
          <t>SERVICIOS DE AUDITORIA Y CONSULTORIA DE NEGOCIOS SAS</t>
        </is>
      </c>
      <c r="E82" s="7" t="n">
        <v>0.68</v>
      </c>
      <c r="F82" s="2" t="inlineStr">
        <is>
          <t>Remoto</t>
        </is>
      </c>
      <c r="G82" s="5">
        <f>HYPERLINK("https://www.elempleo.com/co/ofertas-trabajo/analista-de-facturacion-medellin-1886754458", "Ver Vacante")</f>
        <v/>
      </c>
      <c r="H82" s="6" t="inlineStr"/>
      <c r="I82" s="3" t="inlineStr">
        <is>
          <t>[Afinidad: 68/100 - Afinidad Moderada] Alta coincidencia técnica en Herramientas Ofimáticas, Excel y Soporte Contable / Facturación. Modalidad: 100% Remoto en Colombia confirmado.</t>
        </is>
      </c>
      <c r="J82" s="2" t="inlineStr">
        <is>
          <t>Nueva</t>
        </is>
      </c>
      <c r="K82" s="3" t="inlineStr"/>
    </row>
    <row r="83" ht="22" customHeight="1">
      <c r="A83" s="2" t="inlineStr">
        <is>
          <t>65f969075798969c</t>
        </is>
      </c>
      <c r="B83" s="2" t="inlineStr">
        <is>
          <t>2026-10-06 17:14</t>
        </is>
      </c>
      <c r="C83" s="3" t="inlineStr">
        <is>
          <t>Analista de facturación en salud</t>
        </is>
      </c>
      <c r="D83" s="3" t="inlineStr">
        <is>
          <t>Confidencial</t>
        </is>
      </c>
      <c r="E83" s="7" t="n">
        <v>0.68</v>
      </c>
      <c r="F83" s="2" t="inlineStr">
        <is>
          <t>Remoto</t>
        </is>
      </c>
      <c r="G83" s="5">
        <f>HYPERLINK("https://www.elempleo.com/co/ofertas-trabajo/analista-de-facturacion-en-salud-1886772546", "Ver Vacante")</f>
        <v/>
      </c>
      <c r="H83" s="6" t="inlineStr"/>
      <c r="I83" s="3" t="inlineStr">
        <is>
          <t>[Afinidad: 68/100 - Afinidad Moderada] Alta coincidencia técnica en Herramientas Ofimáticas, Excel y Soporte Contable / Facturación. Modalidad: 100% Remoto en Colombia confirmado.</t>
        </is>
      </c>
      <c r="J83" s="2" t="inlineStr">
        <is>
          <t>Nueva</t>
        </is>
      </c>
      <c r="K83" s="3" t="inlineStr"/>
    </row>
    <row r="84" ht="22" customHeight="1">
      <c r="A84" s="2" t="inlineStr">
        <is>
          <t>d9914a231367448b</t>
        </is>
      </c>
      <c r="B84" s="2" t="inlineStr">
        <is>
          <t>2026-10-11 16:45</t>
        </is>
      </c>
      <c r="C84" s="3" t="inlineStr">
        <is>
          <t>Analista de facturación en salud</t>
        </is>
      </c>
      <c r="D84" s="3" t="inlineStr">
        <is>
          <t>Confidencial</t>
        </is>
      </c>
      <c r="E84" s="7" t="n">
        <v>0.68</v>
      </c>
      <c r="F84" s="2" t="inlineStr">
        <is>
          <t>Remoto</t>
        </is>
      </c>
      <c r="G84" s="5">
        <f>HYPERLINK("https://www.elempleo.com/co/ofertas-trabajo/analista-de-facturacion-en-salud-1886772545", "Ver Vacante")</f>
        <v/>
      </c>
      <c r="H84" s="6" t="inlineStr"/>
      <c r="I84" s="3" t="inlineStr">
        <is>
          <t>[Afinidad: 68/100 - Afinidad Moderada] Alta coincidencia técnica en Herramientas Ofimáticas, Excel y Soporte Contable / Facturación. Modalidad: 100% Remoto en Colombia confirmado.</t>
        </is>
      </c>
      <c r="J84" s="2" t="inlineStr">
        <is>
          <t>Nueva</t>
        </is>
      </c>
      <c r="K84" s="3" t="inlineStr"/>
    </row>
    <row r="85" ht="22" customHeight="1">
      <c r="A85" s="2" t="inlineStr">
        <is>
          <t>4af7e52faa9f8409</t>
        </is>
      </c>
      <c r="B85" s="2" t="inlineStr">
        <is>
          <t>2026-10-12 20:20</t>
        </is>
      </c>
      <c r="C85" s="3" t="inlineStr">
        <is>
          <t>Analista de facturación hospitalario</t>
        </is>
      </c>
      <c r="D85" s="3" t="inlineStr">
        <is>
          <t>INSTITUTO ROOSEVELT</t>
        </is>
      </c>
      <c r="E85" s="7" t="n">
        <v>0.68</v>
      </c>
      <c r="F85" s="2" t="inlineStr">
        <is>
          <t>Remoto</t>
        </is>
      </c>
      <c r="G85" s="5">
        <f>HYPERLINK("https://www.elempleo.com/co/ofertas-trabajo/analista-de-facturacion-hospitalario-1886773997", "Ver Vacante")</f>
        <v/>
      </c>
      <c r="H85" s="6" t="inlineStr"/>
      <c r="I85" s="3" t="inlineStr">
        <is>
          <t>[Afinidad: 68/100 - Afinidad Moderada] Alta coincidencia técnica en Herramientas Ofimáticas, Excel y Soporte Contable / Facturación. Modalidad: 100% Remoto en Colombia confirmado.</t>
        </is>
      </c>
      <c r="J85" s="2" t="inlineStr">
        <is>
          <t>Nueva</t>
        </is>
      </c>
      <c r="K85" s="3" t="inlineStr"/>
    </row>
    <row r="86" ht="22" customHeight="1">
      <c r="A86" s="2" t="inlineStr">
        <is>
          <t>b208b09ef2cd03c6</t>
        </is>
      </c>
      <c r="B86" s="2" t="inlineStr">
        <is>
          <t>2026-10-12 20:20</t>
        </is>
      </c>
      <c r="C86" s="3" t="inlineStr">
        <is>
          <t>Analista de facturacion hospitalaria</t>
        </is>
      </c>
      <c r="D86" s="3" t="inlineStr">
        <is>
          <t>CLINICA SHAIO</t>
        </is>
      </c>
      <c r="E86" s="7" t="n">
        <v>0.68</v>
      </c>
      <c r="F86" s="2" t="inlineStr">
        <is>
          <t>Remoto</t>
        </is>
      </c>
      <c r="G86" s="5">
        <f>HYPERLINK("https://www.elempleo.com/co/ofertas-trabajo/analista-de-facturacion-hospitalaria-1886771961", "Ver Vacante")</f>
        <v/>
      </c>
      <c r="H86" s="6" t="inlineStr"/>
      <c r="I86" s="3" t="inlineStr">
        <is>
          <t>[Afinidad: 68/100 - Afinidad Moderada] Alta coincidencia técnica en Herramientas Ofimáticas, Excel y Soporte Contable / Facturación. Modalidad: 100% Remoto en Colombia confirmado.</t>
        </is>
      </c>
      <c r="J86" s="2" t="inlineStr">
        <is>
          <t>Nueva</t>
        </is>
      </c>
      <c r="K86" s="3" t="inlineStr"/>
    </row>
    <row r="87" ht="22" customHeight="1">
      <c r="A87" s="2" t="inlineStr">
        <is>
          <t>8ea64e48a843110e</t>
        </is>
      </c>
      <c r="B87" s="2" t="inlineStr">
        <is>
          <t>2026-09-24 16:07</t>
        </is>
      </c>
      <c r="C87" s="3" t="inlineStr">
        <is>
          <t>Auxiliar de Digitación y Validación de Información</t>
        </is>
      </c>
      <c r="D87" s="3" t="inlineStr">
        <is>
          <t>Hy Cite</t>
        </is>
      </c>
      <c r="E87" s="7" t="n">
        <v>0.66</v>
      </c>
      <c r="F87" s="2" t="inlineStr">
        <is>
          <t>Remoto</t>
        </is>
      </c>
      <c r="G87" s="5">
        <f>HYPERLINK("https://co.linkedin.com/jobs/view/auxiliar-de-digitaci%C3%B3n-y-validaci%C3%B3n-de-informaci%C3%B3n-at-hy-cite-4444163970", "Ver Vacante")</f>
        <v/>
      </c>
      <c r="H87" s="6" t="inlineStr"/>
      <c r="I87" s="3" t="inlineStr">
        <is>
          <t>[Afinidad: 66/100 - Afinidad Moderada] Alta coincidencia técnica en Gestión Administrativa, Documental y Archivo. Modalidad: 100% Remoto en Colombia confirmado.</t>
        </is>
      </c>
      <c r="J87" s="2" t="inlineStr">
        <is>
          <t>Nueva</t>
        </is>
      </c>
      <c r="K87" s="3" t="inlineStr"/>
    </row>
    <row r="88" ht="22" customHeight="1">
      <c r="A88" s="2" t="inlineStr">
        <is>
          <t>0810fb157c23918e</t>
        </is>
      </c>
      <c r="B88" s="2" t="inlineStr">
        <is>
          <t>2026-09-24 16:07</t>
        </is>
      </c>
      <c r="C88" s="3" t="inlineStr">
        <is>
          <t>Junior Tax Accountant / Data entry</t>
        </is>
      </c>
      <c r="D88" s="3" t="inlineStr">
        <is>
          <t>George Dimov, CPA</t>
        </is>
      </c>
      <c r="E88" s="7" t="n">
        <v>0.6</v>
      </c>
      <c r="F88" s="2" t="inlineStr">
        <is>
          <t>Remoto</t>
        </is>
      </c>
      <c r="G88" s="5">
        <f>HYPERLINK("https://co.linkedin.com/jobs/view/junior-tax-accountant-data-entry-remote-at-george-dimov-cpa-4468922588", "Ver Vacante")</f>
        <v/>
      </c>
      <c r="H88" s="6" t="inlineStr"/>
      <c r="I88" s="3" t="inlineStr">
        <is>
          <t>[Afinidad: 60/100 - Afinidad Moderada] Afinidad moderada en áreas técnicas del cargo (Auxiliar Administrativo / Asistente Virtual). Modalidad: 100% Remoto en Colombia confirmado.</t>
        </is>
      </c>
      <c r="J88" s="2" t="inlineStr">
        <is>
          <t>Nueva</t>
        </is>
      </c>
      <c r="K88" s="3" t="inlineStr"/>
    </row>
    <row r="89" ht="22" customHeight="1">
      <c r="A89" s="2" t="inlineStr">
        <is>
          <t>e9f0dba8da234b07</t>
        </is>
      </c>
      <c r="B89" s="2" t="inlineStr">
        <is>
          <t>2026-10-15 15:43</t>
        </is>
      </c>
      <c r="C89" s="3" t="inlineStr">
        <is>
          <t>Data Entry Jr.</t>
        </is>
      </c>
      <c r="D89" s="3" t="inlineStr">
        <is>
          <t>VIP Universal Medical Insurance Group (VUMI)</t>
        </is>
      </c>
      <c r="E89" s="7" t="n">
        <v>0.6</v>
      </c>
      <c r="F89" s="2" t="inlineStr">
        <is>
          <t>Remoto</t>
        </is>
      </c>
      <c r="G89" s="5">
        <f>HYPERLINK("https://co.linkedin.com/jobs/view/data-entry-jr-at-vip-universal-medical-insurance-group-vumi-4476487517", "Ver Vacante")</f>
        <v/>
      </c>
      <c r="H89" s="6" t="inlineStr"/>
      <c r="I89" s="3" t="inlineStr">
        <is>
          <t>[Afinidad: 60/100 - Afinidad Moderada] Afinidad moderada en áreas técnicas del cargo (Auxiliar Administrativo / Asistente Virtual). Modalidad: 100% Remoto en Colombia confirmado.</t>
        </is>
      </c>
      <c r="J89" s="2" t="inlineStr">
        <is>
          <t>Nueva</t>
        </is>
      </c>
      <c r="K89" s="3" t="inlineStr"/>
    </row>
    <row r="90" ht="22" customHeight="1">
      <c r="A90" s="2" t="inlineStr">
        <is>
          <t>b9e81da0bd12d416</t>
        </is>
      </c>
      <c r="B90" s="2" t="inlineStr">
        <is>
          <t>2026-09-24 16:07</t>
        </is>
      </c>
      <c r="C90" s="3" t="inlineStr">
        <is>
          <t>Auxiliar administrativo</t>
        </is>
      </c>
      <c r="D90" s="3" t="inlineStr">
        <is>
          <t>VR RISK</t>
        </is>
      </c>
      <c r="E90" s="7" t="n">
        <v>0.58</v>
      </c>
      <c r="F90" s="2" t="inlineStr">
        <is>
          <t>Remoto</t>
        </is>
      </c>
      <c r="G90" s="5">
        <f>HYPERLINK("https://co.computrabajo.com/ofertas-de-trabajo/oferta-de-trabajo-de-auxiliar-administrativo-remoto-en-bogota-dc-08C32BD16679929A61373E686DCF3405", "Ver Vacante")</f>
        <v/>
      </c>
      <c r="H90" s="6" t="inlineStr">
        <is>
          <t>$ 2.000.000,00 (Mensual)</t>
        </is>
      </c>
      <c r="I90" s="3" t="inlineStr">
        <is>
          <t>[Afinidad: 58/100 - Afinidad Moderada] Afinidad moderada en áreas técnicas del cargo (Auxiliar Administrativo / Asistente Virtual). Modalidad: 100% Remoto en Colombia confirmado.</t>
        </is>
      </c>
      <c r="J90" s="2" t="inlineStr">
        <is>
          <t>Nueva</t>
        </is>
      </c>
      <c r="K90" s="3" t="inlineStr"/>
    </row>
    <row r="91" ht="22" customHeight="1">
      <c r="A91" s="2" t="inlineStr">
        <is>
          <t>60a767236cb83e2b</t>
        </is>
      </c>
      <c r="B91" s="2" t="inlineStr">
        <is>
          <t>2026-09-24 16:07</t>
        </is>
      </c>
      <c r="C91" s="3" t="inlineStr">
        <is>
          <t>Asistente Administrativo y de Operaciones</t>
        </is>
      </c>
      <c r="D91" s="3" t="inlineStr">
        <is>
          <t>Direct Home Solutions</t>
        </is>
      </c>
      <c r="E91" s="7" t="n">
        <v>0.58</v>
      </c>
      <c r="F91" s="2" t="inlineStr">
        <is>
          <t>Remoto</t>
        </is>
      </c>
      <c r="G91" s="5">
        <f>HYPERLINK("https://co.computrabajo.com/ofertas-de-trabajo/oferta-de-trabajo-de-asistente-administrativo-y-de-operaciones-remoto-en-pereira-737F61DE07AA2E7F61373E686DCF3405", "Ver Vacante")</f>
        <v/>
      </c>
      <c r="H91" s="6" t="inlineStr">
        <is>
          <t>$ 2.600.000,00 (Mensual)</t>
        </is>
      </c>
      <c r="I91" s="3" t="inlineStr">
        <is>
          <t>[Afinidad: 58/100 - Afinidad Moderada] Afinidad moderada en áreas técnicas del cargo (Auxiliar Administrativo / Asistente Virtual). Modalidad: 100% Remoto en Colombia confirmado.</t>
        </is>
      </c>
      <c r="J91" s="2" t="inlineStr">
        <is>
          <t>Nueva</t>
        </is>
      </c>
      <c r="K91" s="3" t="inlineStr"/>
    </row>
    <row r="92" ht="22" customHeight="1">
      <c r="A92" s="2" t="inlineStr">
        <is>
          <t>04855c966d018926</t>
        </is>
      </c>
      <c r="B92" s="2" t="inlineStr">
        <is>
          <t>2026-09-24 16:07</t>
        </is>
      </c>
      <c r="C92" s="3" t="inlineStr">
        <is>
          <t>Auxiliar administrativo/a Vacante Inclusiva para personas con Discapacidad</t>
        </is>
      </c>
      <c r="D92" s="3" t="inlineStr">
        <is>
          <t>CENTRO DE EMPLEO Y TALENTO COLSUBSIDIO</t>
        </is>
      </c>
      <c r="E92" s="7" t="n">
        <v>0.58</v>
      </c>
      <c r="F92" s="2" t="inlineStr">
        <is>
          <t>Remoto</t>
        </is>
      </c>
      <c r="G92" s="5">
        <f>HYPERLINK("https://co.computrabajo.com/ofertas-de-trabajo/oferta-de-trabajo-de-auxiliar-administrativoa-vacante-inclusiva-para-personas-con-discapacidad-en-bogota-dc-F5B96991A8C617B661373E686DCF3405", "Ver Vacante")</f>
        <v/>
      </c>
      <c r="H92" s="6" t="inlineStr">
        <is>
          <t>$ 2.000.000,00 (Mensual)</t>
        </is>
      </c>
      <c r="I92" s="3" t="inlineStr">
        <is>
          <t>[Afinidad: 58/100 - Afinidad Moderada] Afinidad moderada en áreas técnicas del cargo (Auxiliar Administrativo / Asistente Virtual). Modalidad: 100% Remoto en Colombia confirmado.</t>
        </is>
      </c>
      <c r="J92" s="2" t="inlineStr">
        <is>
          <t>Nueva</t>
        </is>
      </c>
      <c r="K92" s="3" t="inlineStr"/>
    </row>
    <row r="93" ht="22" customHeight="1">
      <c r="A93" s="2" t="inlineStr">
        <is>
          <t>a30e3afa7b66502b</t>
        </is>
      </c>
      <c r="B93" s="2" t="inlineStr">
        <is>
          <t>2026-09-24 16:07</t>
        </is>
      </c>
      <c r="C93" s="3" t="inlineStr">
        <is>
          <t>auxiliar administrativo/a</t>
        </is>
      </c>
      <c r="D93" s="3" t="inlineStr">
        <is>
          <t>ELITE SKIN ITALY S.A.S</t>
        </is>
      </c>
      <c r="E93" s="7" t="n">
        <v>0.58</v>
      </c>
      <c r="F93" s="2" t="inlineStr">
        <is>
          <t>Remoto</t>
        </is>
      </c>
      <c r="G93" s="5">
        <f>HYPERLINK("https://co.computrabajo.com/ofertas-de-trabajo/oferta-de-trabajo-de-auxiliar-administrativoa-virtual-remoto-con-o-sin-experiencia-en-bogota-dc-246C4633B2C1D28D61373E686DCF3405", "Ver Vacante")</f>
        <v/>
      </c>
      <c r="H93" s="6" t="inlineStr">
        <is>
          <t>$ 2.000.000,00 (Mensual)</t>
        </is>
      </c>
      <c r="I93" s="3" t="inlineStr">
        <is>
          <t>[Afinidad: 58/100 - Afinidad Moderada] Afinidad moderada en áreas técnicas del cargo (Auxiliar Administrativo / Asistente Virtual). Modalidad: 100% Remoto en Colombia confirmado.</t>
        </is>
      </c>
      <c r="J93" s="2" t="inlineStr">
        <is>
          <t>Nueva</t>
        </is>
      </c>
      <c r="K93" s="3" t="inlineStr"/>
    </row>
    <row r="94" ht="22" customHeight="1">
      <c r="A94" s="2" t="inlineStr">
        <is>
          <t>899512a1b5af847f</t>
        </is>
      </c>
      <c r="B94" s="2" t="inlineStr">
        <is>
          <t>2026-09-24 16:07</t>
        </is>
      </c>
      <c r="C94" s="3" t="inlineStr">
        <is>
          <t>auxiliar contable y administrativo</t>
        </is>
      </c>
      <c r="D94" s="3" t="inlineStr">
        <is>
          <t>AZ LOGICA SAS</t>
        </is>
      </c>
      <c r="E94" s="7" t="n">
        <v>0.58</v>
      </c>
      <c r="F94" s="2" t="inlineStr">
        <is>
          <t>Remoto</t>
        </is>
      </c>
      <c r="G94" s="5">
        <f>HYPERLINK("https://co.computrabajo.com/ofertas-de-trabajo/oferta-de-trabajo-de-auxiliar-contable-y-administrativo-en-bogota-dc-E79FB52CC71B1AAF61373E686DCF3405", "Ver Vacante")</f>
        <v/>
      </c>
      <c r="H94" s="6" t="inlineStr">
        <is>
          <t>$ 2.000.000,00 (Mensual)</t>
        </is>
      </c>
      <c r="I94" s="3" t="inlineStr">
        <is>
          <t>[Afinidad: 58/100 - Afinidad Moderada] Afinidad moderada en áreas técnicas del cargo (Auxiliar Administrativo / Asistente Virtual). Modalidad: 100% Remoto en Colombia confirmado.</t>
        </is>
      </c>
      <c r="J94" s="2" t="inlineStr">
        <is>
          <t>Nueva</t>
        </is>
      </c>
      <c r="K94" s="3" t="inlineStr"/>
    </row>
    <row r="95" ht="22" customHeight="1">
      <c r="A95" s="2" t="inlineStr">
        <is>
          <t>0048b5632ef5acf6</t>
        </is>
      </c>
      <c r="B95" s="2" t="inlineStr">
        <is>
          <t>2026-09-24 16:07</t>
        </is>
      </c>
      <c r="C95" s="3" t="inlineStr">
        <is>
          <t>Asistente Administrativo</t>
        </is>
      </c>
      <c r="D95" s="3" t="inlineStr">
        <is>
          <t>Naonsoft</t>
        </is>
      </c>
      <c r="E95" s="7" t="n">
        <v>0.58</v>
      </c>
      <c r="F95" s="2" t="inlineStr">
        <is>
          <t>Remoto</t>
        </is>
      </c>
      <c r="G95" s="5">
        <f>HYPERLINK("https://co.computrabajo.com/ofertas-de-trabajo/oferta-de-trabajo-de-asistente-administrativo-en-medellin-268B37E50FB0D28461373E686DCF3405", "Ver Vacante")</f>
        <v/>
      </c>
      <c r="H95" s="6" t="inlineStr">
        <is>
          <t>Remoto</t>
        </is>
      </c>
      <c r="I95" s="3" t="inlineStr">
        <is>
          <t>[Afinidad: 58/100 - Afinidad Moderada] Afinidad moderada en áreas técnicas del cargo (Auxiliar Administrativo / Asistente Virtual). Modalidad: 100% Remoto en Colombia confirmado.</t>
        </is>
      </c>
      <c r="J95" s="2" t="inlineStr">
        <is>
          <t>Nueva</t>
        </is>
      </c>
      <c r="K95" s="3" t="inlineStr"/>
    </row>
    <row r="96" ht="22" customHeight="1">
      <c r="A96" s="2" t="inlineStr">
        <is>
          <t>062ee3244ed08bb4</t>
        </is>
      </c>
      <c r="B96" s="2" t="inlineStr">
        <is>
          <t>2026-09-24 16:07</t>
        </is>
      </c>
      <c r="C96" s="3" t="inlineStr">
        <is>
          <t>Asistente de Servicio al Cliente y Administrativo</t>
        </is>
      </c>
      <c r="D96" s="3" t="inlineStr">
        <is>
          <t>Health and Fitness</t>
        </is>
      </c>
      <c r="E96" s="7" t="n">
        <v>0.58</v>
      </c>
      <c r="F96" s="2" t="inlineStr">
        <is>
          <t>Remoto</t>
        </is>
      </c>
      <c r="G96" s="5">
        <f>HYPERLINK("https://co.computrabajo.com/ofertas-de-trabajo/oferta-de-trabajo-de-asistente-de-servicio-al-cliente-y-administrativo-ingles-nativo-requerido-ingles-nativo-requerido-en-colombia-BA7538B8C571FA9F61373E686DCF3405", "Ver Vacante")</f>
        <v/>
      </c>
      <c r="H96" s="6" t="inlineStr">
        <is>
          <t>$ 2.500.000,00 (Mensual)</t>
        </is>
      </c>
      <c r="I96" s="3" t="inlineStr">
        <is>
          <t>[Afinidad: 58/100 - Afinidad Moderada] Afinidad moderada en áreas técnicas del cargo (Auxiliar Administrativo / Asistente Virtual). Modalidad: 100% Remoto en Colombia confirmado.</t>
        </is>
      </c>
      <c r="J96" s="2" t="inlineStr">
        <is>
          <t>Nueva</t>
        </is>
      </c>
      <c r="K96" s="3" t="inlineStr"/>
    </row>
    <row r="97" ht="22" customHeight="1">
      <c r="A97" s="2" t="inlineStr">
        <is>
          <t>90d5245bdef0186a</t>
        </is>
      </c>
      <c r="B97" s="2" t="inlineStr">
        <is>
          <t>2026-09-24 16:07</t>
        </is>
      </c>
      <c r="C97" s="3" t="inlineStr">
        <is>
          <t>Asistente administrativo y financiero</t>
        </is>
      </c>
      <c r="D97" s="3" t="inlineStr">
        <is>
          <t>SOLVO S.A.S</t>
        </is>
      </c>
      <c r="E97" s="7" t="n">
        <v>0.58</v>
      </c>
      <c r="F97" s="2" t="inlineStr">
        <is>
          <t>Remoto</t>
        </is>
      </c>
      <c r="G97" s="5">
        <f>HYPERLINK("https://co.computrabajo.com/ofertas-de-trabajo/oferta-de-trabajo-de-asistente-administrativo-y-financiero-b2-en-bogota-dc-8B5C137D8309F1F661373E686DCF3405", "Ver Vacante")</f>
        <v/>
      </c>
      <c r="H97" s="6" t="inlineStr">
        <is>
          <t>Remoto</t>
        </is>
      </c>
      <c r="I97" s="3" t="inlineStr">
        <is>
          <t>[Afinidad: 58/100 - Afinidad Moderada] Afinidad moderada en áreas técnicas del cargo (Auxiliar Administrativo / Asistente Virtual). Modalidad: 100% Remoto en Colombia confirmado.</t>
        </is>
      </c>
      <c r="J97" s="2" t="inlineStr">
        <is>
          <t>Nueva</t>
        </is>
      </c>
      <c r="K97" s="3" t="inlineStr"/>
    </row>
    <row r="98" ht="22" customHeight="1">
      <c r="A98" s="2" t="inlineStr">
        <is>
          <t>760f13e3724f6b31</t>
        </is>
      </c>
      <c r="B98" s="2" t="inlineStr">
        <is>
          <t>2026-09-24 16:07</t>
        </is>
      </c>
      <c r="C98" s="3" t="inlineStr">
        <is>
          <t>Asistente administrativo y financiero</t>
        </is>
      </c>
      <c r="D98" s="3" t="inlineStr">
        <is>
          <t>SOLVO S.A.S</t>
        </is>
      </c>
      <c r="E98" s="7" t="n">
        <v>0.58</v>
      </c>
      <c r="F98" s="2" t="inlineStr">
        <is>
          <t>Remoto</t>
        </is>
      </c>
      <c r="G98" s="5">
        <f>HYPERLINK("https://co.computrabajo.com/ofertas-de-trabajo/oferta-de-trabajo-de-asistente-administrativo-y-financiero-b2-en-medellin-837774FFD1C514D261373E686DCF3405", "Ver Vacante")</f>
        <v/>
      </c>
      <c r="H98" s="6" t="inlineStr">
        <is>
          <t>Remoto</t>
        </is>
      </c>
      <c r="I98" s="3" t="inlineStr">
        <is>
          <t>[Afinidad: 58/100 - Afinidad Moderada] Afinidad moderada en áreas técnicas del cargo (Auxiliar Administrativo / Asistente Virtual). Modalidad: 100% Remoto en Colombia confirmado.</t>
        </is>
      </c>
      <c r="J98" s="2" t="inlineStr">
        <is>
          <t>Nueva</t>
        </is>
      </c>
      <c r="K98" s="3" t="inlineStr"/>
    </row>
    <row r="99" ht="22" customHeight="1">
      <c r="A99" s="2" t="inlineStr">
        <is>
          <t>2d0d5c2d341e3d17</t>
        </is>
      </c>
      <c r="B99" s="2" t="inlineStr">
        <is>
          <t>2026-09-24 16:07</t>
        </is>
      </c>
      <c r="C99" s="3" t="inlineStr">
        <is>
          <t>Asistente administrativo y financiero</t>
        </is>
      </c>
      <c r="D99" s="3" t="inlineStr">
        <is>
          <t>SOLVO S.A.S</t>
        </is>
      </c>
      <c r="E99" s="7" t="n">
        <v>0.58</v>
      </c>
      <c r="F99" s="2" t="inlineStr">
        <is>
          <t>Remoto</t>
        </is>
      </c>
      <c r="G99" s="5">
        <f>HYPERLINK("https://co.computrabajo.com/ofertas-de-trabajo/oferta-de-trabajo-de-asistente-administrativo-y-financiero-b2-en-barranquilla-08F31F737CD14CED61373E686DCF3405", "Ver Vacante")</f>
        <v/>
      </c>
      <c r="H99" s="6" t="inlineStr">
        <is>
          <t>Remoto</t>
        </is>
      </c>
      <c r="I99" s="3" t="inlineStr">
        <is>
          <t>[Afinidad: 58/100 - Afinidad Moderada] Afinidad moderada en áreas técnicas del cargo (Auxiliar Administrativo / Asistente Virtual). Modalidad: 100% Remoto en Colombia confirmado.</t>
        </is>
      </c>
      <c r="J99" s="2" t="inlineStr">
        <is>
          <t>Nueva</t>
        </is>
      </c>
      <c r="K99" s="3" t="inlineStr"/>
    </row>
    <row r="100" ht="22" customHeight="1">
      <c r="A100" s="2" t="inlineStr">
        <is>
          <t>63592c52663ab0e0</t>
        </is>
      </c>
      <c r="B100" s="2" t="inlineStr">
        <is>
          <t>2026-09-24 16:07</t>
        </is>
      </c>
      <c r="C100" s="3" t="inlineStr">
        <is>
          <t>Auxiliar administrativo horario flexible remoto</t>
        </is>
      </c>
      <c r="D100" s="3" t="inlineStr">
        <is>
          <t>Empire Co</t>
        </is>
      </c>
      <c r="E100" s="7" t="n">
        <v>0.58</v>
      </c>
      <c r="F100" s="2" t="inlineStr">
        <is>
          <t>Remoto</t>
        </is>
      </c>
      <c r="G100" s="5">
        <f>HYPERLINK("https://www.elempleo.com/co/ofertas-trabajo/auxiliar-administrativo-horario-flexible-remoto-1886769479", "Ver Vacante")</f>
        <v/>
      </c>
      <c r="H100" s="6" t="inlineStr"/>
      <c r="I100" s="3" t="inlineStr">
        <is>
          <t>[Afinidad: 58/100 - Afinidad Moderada] Afinidad moderada en áreas técnicas del cargo (Auxiliar Administrativo / Asistente Virtual). Modalidad: 100% Remoto en Colombia confirmado.</t>
        </is>
      </c>
      <c r="J100" s="2" t="inlineStr">
        <is>
          <t>Nueva</t>
        </is>
      </c>
      <c r="K100" s="3" t="inlineStr"/>
    </row>
    <row r="101" ht="22" customHeight="1">
      <c r="A101" s="2" t="inlineStr">
        <is>
          <t>729fb015086632d9</t>
        </is>
      </c>
      <c r="B101" s="2" t="inlineStr">
        <is>
          <t>2026-09-24 16:07</t>
        </is>
      </c>
      <c r="C101" s="3" t="inlineStr">
        <is>
          <t>Asistente de cuentas por pagar o tesoreria -remoto</t>
        </is>
      </c>
      <c r="D101" s="3" t="inlineStr">
        <is>
          <t>Confidencial</t>
        </is>
      </c>
      <c r="E101" s="7" t="n">
        <v>0.58</v>
      </c>
      <c r="F101" s="2" t="inlineStr">
        <is>
          <t>Remoto</t>
        </is>
      </c>
      <c r="G101" s="5">
        <f>HYPERLINK("https://www.elempleo.com/co/ofertas-trabajo/asistente-de-cuentas-por-pagar-o-tesoreria-remoto-1886744484", "Ver Vacante")</f>
        <v/>
      </c>
      <c r="H101" s="6" t="inlineStr"/>
      <c r="I101" s="3" t="inlineStr">
        <is>
          <t>[Afinidad: 58/100 - Afinidad Moderada] Afinidad moderada en áreas técnicas del cargo (Auxiliar Administrativo / Asistente Virtual). Modalidad: 100% Remoto en Colombia confirmado.</t>
        </is>
      </c>
      <c r="J101" s="2" t="inlineStr">
        <is>
          <t>Nueva</t>
        </is>
      </c>
      <c r="K101" s="3" t="inlineStr"/>
    </row>
    <row r="102" ht="22" customHeight="1">
      <c r="A102" s="2" t="inlineStr">
        <is>
          <t>e4a3b83ad6ab6438</t>
        </is>
      </c>
      <c r="B102" s="2" t="inlineStr">
        <is>
          <t>2026-09-24 16:07</t>
        </is>
      </c>
      <c r="C102" s="3" t="inlineStr">
        <is>
          <t>Auxiliar administrativo(a) - licencia</t>
        </is>
      </c>
      <c r="D102" s="3" t="inlineStr">
        <is>
          <t>FUCS</t>
        </is>
      </c>
      <c r="E102" s="7" t="n">
        <v>0.58</v>
      </c>
      <c r="F102" s="2" t="inlineStr">
        <is>
          <t>Remoto</t>
        </is>
      </c>
      <c r="G102" s="5">
        <f>HYPERLINK("https://www.elempleo.com/co/ofertas-trabajo/auxiliar-administrativoa-licencia-1886759487", "Ver Vacante")</f>
        <v/>
      </c>
      <c r="H102" s="6" t="inlineStr"/>
      <c r="I102" s="3" t="inlineStr">
        <is>
          <t>[Afinidad: 58/100 - Afinidad Moderada] Afinidad moderada en áreas técnicas del cargo (Auxiliar Administrativo / Asistente Virtual). Modalidad: 100% Remoto en Colombia confirmado.</t>
        </is>
      </c>
      <c r="J102" s="2" t="inlineStr">
        <is>
          <t>Nueva</t>
        </is>
      </c>
      <c r="K102" s="3" t="inlineStr"/>
    </row>
    <row r="103" ht="22" customHeight="1">
      <c r="A103" s="2" t="inlineStr">
        <is>
          <t>2b1aa0caccddf7e4</t>
        </is>
      </c>
      <c r="B103" s="2" t="inlineStr">
        <is>
          <t>2026-09-24 16:07</t>
        </is>
      </c>
      <c r="C103" s="3" t="inlineStr">
        <is>
          <t>Auxiliar administrativo</t>
        </is>
      </c>
      <c r="D103" s="3" t="inlineStr">
        <is>
          <t>Cruz Roja Colombiana Seccional Cundinamarca y Bogotá.</t>
        </is>
      </c>
      <c r="E103" s="7" t="n">
        <v>0.58</v>
      </c>
      <c r="F103" s="2" t="inlineStr">
        <is>
          <t>Remoto</t>
        </is>
      </c>
      <c r="G103" s="5">
        <f>HYPERLINK("https://www.elempleo.com/co/ofertas-trabajo/auxiliar-administrativo-1886753336", "Ver Vacante")</f>
        <v/>
      </c>
      <c r="H103" s="6" t="inlineStr"/>
      <c r="I103" s="3" t="inlineStr">
        <is>
          <t>[Afinidad: 58/100 - Afinidad Moderada] Afinidad moderada en áreas técnicas del cargo (Auxiliar Administrativo / Asistente Virtual). Modalidad: 100% Remoto en Colombia confirmado.</t>
        </is>
      </c>
      <c r="J103" s="2" t="inlineStr">
        <is>
          <t>Nueva</t>
        </is>
      </c>
      <c r="K103" s="3" t="inlineStr"/>
    </row>
    <row r="104" ht="22" customHeight="1">
      <c r="A104" s="2" t="inlineStr">
        <is>
          <t>f864b0373b9419ab</t>
        </is>
      </c>
      <c r="B104" s="2" t="inlineStr">
        <is>
          <t>2026-09-24 16:07</t>
        </is>
      </c>
      <c r="C104" s="3" t="inlineStr">
        <is>
          <t>Auxiliar administrativo -ciencias basicas</t>
        </is>
      </c>
      <c r="D104" s="3" t="inlineStr">
        <is>
          <t>Confidencial</t>
        </is>
      </c>
      <c r="E104" s="7" t="n">
        <v>0.58</v>
      </c>
      <c r="F104" s="2" t="inlineStr">
        <is>
          <t>Remoto</t>
        </is>
      </c>
      <c r="G104" s="5">
        <f>HYPERLINK("https://www.elempleo.com/co/ofertas-trabajo/auxiliar-administrativo-ciencias-basicas-1886759929", "Ver Vacante")</f>
        <v/>
      </c>
      <c r="H104" s="6" t="inlineStr"/>
      <c r="I104" s="3" t="inlineStr">
        <is>
          <t>[Afinidad: 58/100 - Afinidad Moderada] Afinidad moderada en áreas técnicas del cargo (Auxiliar Administrativo / Asistente Virtual). Modalidad: 100% Remoto en Colombia confirmado.</t>
        </is>
      </c>
      <c r="J104" s="2" t="inlineStr">
        <is>
          <t>Nueva</t>
        </is>
      </c>
      <c r="K104" s="3" t="inlineStr"/>
    </row>
    <row r="105" ht="22" customHeight="1">
      <c r="A105" s="2" t="inlineStr">
        <is>
          <t>00a48d615f284d91</t>
        </is>
      </c>
      <c r="B105" s="2" t="inlineStr">
        <is>
          <t>2026-09-24 16:07</t>
        </is>
      </c>
      <c r="C105" s="3" t="inlineStr">
        <is>
          <t>Auxiliar administrativo</t>
        </is>
      </c>
      <c r="D105" s="3" t="inlineStr">
        <is>
          <t>Confidencial</t>
        </is>
      </c>
      <c r="E105" s="7" t="n">
        <v>0.58</v>
      </c>
      <c r="F105" s="2" t="inlineStr">
        <is>
          <t>Remoto</t>
        </is>
      </c>
      <c r="G105" s="5">
        <f>HYPERLINK("https://www.elempleo.com/co/ofertas-trabajo/auxiliar-administrativo-bienestar-universitario-1886744996", "Ver Vacante")</f>
        <v/>
      </c>
      <c r="H105" s="6" t="inlineStr"/>
      <c r="I105" s="3" t="inlineStr">
        <is>
          <t>[Afinidad: 58/100 - Afinidad Moderada] Afinidad moderada en áreas técnicas del cargo (Auxiliar Administrativo / Asistente Virtual). Modalidad: 100% Remoto en Colombia confirmado.</t>
        </is>
      </c>
      <c r="J105" s="2" t="inlineStr">
        <is>
          <t>Nueva</t>
        </is>
      </c>
      <c r="K105" s="3" t="inlineStr"/>
    </row>
    <row r="106" ht="22" customHeight="1">
      <c r="A106" s="2" t="inlineStr">
        <is>
          <t>0544391db42d3941</t>
        </is>
      </c>
      <c r="B106" s="2" t="inlineStr">
        <is>
          <t>2026-09-24 16:07</t>
        </is>
      </c>
      <c r="C106" s="3" t="inlineStr">
        <is>
          <t>Auxiliar administrativo</t>
        </is>
      </c>
      <c r="D106" s="3" t="inlineStr">
        <is>
          <t>FUCS</t>
        </is>
      </c>
      <c r="E106" s="7" t="n">
        <v>0.58</v>
      </c>
      <c r="F106" s="2" t="inlineStr">
        <is>
          <t>Remoto</t>
        </is>
      </c>
      <c r="G106" s="5">
        <f>HYPERLINK("https://www.elempleo.com/co/ofertas-trabajo/auxiliar-administrativoa-1886769676", "Ver Vacante")</f>
        <v/>
      </c>
      <c r="H106" s="6" t="inlineStr"/>
      <c r="I106" s="3" t="inlineStr">
        <is>
          <t>[Afinidad: 58/100 - Afinidad Moderada] Afinidad moderada en áreas técnicas del cargo (Auxiliar Administrativo / Asistente Virtual). Modalidad: 100% Remoto en Colombia confirmado.</t>
        </is>
      </c>
      <c r="J106" s="2" t="inlineStr">
        <is>
          <t>Nueva</t>
        </is>
      </c>
      <c r="K106" s="3" t="inlineStr"/>
    </row>
    <row r="107" ht="22" customHeight="1">
      <c r="A107" s="2" t="inlineStr">
        <is>
          <t>e4338d6723631384</t>
        </is>
      </c>
      <c r="B107" s="2" t="inlineStr">
        <is>
          <t>2026-09-24 16:07</t>
        </is>
      </c>
      <c r="C107" s="3" t="inlineStr">
        <is>
          <t>Auxiliar administrativo y de logística corporativa</t>
        </is>
      </c>
      <c r="D107" s="3" t="inlineStr">
        <is>
          <t>Confidencial</t>
        </is>
      </c>
      <c r="E107" s="7" t="n">
        <v>0.58</v>
      </c>
      <c r="F107" s="2" t="inlineStr">
        <is>
          <t>Remoto</t>
        </is>
      </c>
      <c r="G107" s="5">
        <f>HYPERLINK("https://www.elempleo.com/co/ofertas-trabajo/auxiliar-administrativo-y-de-logistica-corporativa-1886765843", "Ver Vacante")</f>
        <v/>
      </c>
      <c r="H107" s="6" t="inlineStr"/>
      <c r="I107" s="3" t="inlineStr">
        <is>
          <t>[Afinidad: 58/100 - Afinidad Moderada] Afinidad moderada en áreas técnicas del cargo (Auxiliar Administrativo / Asistente Virtual). Modalidad: 100% Remoto en Colombia confirmado.</t>
        </is>
      </c>
      <c r="J107" s="2" t="inlineStr">
        <is>
          <t>Nueva</t>
        </is>
      </c>
      <c r="K107" s="3" t="inlineStr"/>
    </row>
    <row r="108" ht="22" customHeight="1">
      <c r="A108" s="2" t="inlineStr">
        <is>
          <t>54d4c3f98f954a41</t>
        </is>
      </c>
      <c r="B108" s="2" t="inlineStr">
        <is>
          <t>2026-09-24 16:07</t>
        </is>
      </c>
      <c r="C108" s="3" t="inlineStr">
        <is>
          <t>Auxiliar administrativo educación continua</t>
        </is>
      </c>
      <c r="D108" s="3" t="inlineStr">
        <is>
          <t>Fundación Santa Fe de Bogotá</t>
        </is>
      </c>
      <c r="E108" s="7" t="n">
        <v>0.58</v>
      </c>
      <c r="F108" s="2" t="inlineStr">
        <is>
          <t>Remoto</t>
        </is>
      </c>
      <c r="G108" s="5">
        <f>HYPERLINK("https://www.elempleo.com/co/ofertas-trabajo/auxiliar-administrativo-educacion-continua-1886750214", "Ver Vacante")</f>
        <v/>
      </c>
      <c r="H108" s="6" t="inlineStr"/>
      <c r="I108" s="3" t="inlineStr">
        <is>
          <t>[Afinidad: 58/100 - Afinidad Moderada] Afinidad moderada en áreas técnicas del cargo (Auxiliar Administrativo / Asistente Virtual). Modalidad: 100% Remoto en Colombia confirmado.</t>
        </is>
      </c>
      <c r="J108" s="2" t="inlineStr">
        <is>
          <t>Nueva</t>
        </is>
      </c>
      <c r="K108" s="3" t="inlineStr"/>
    </row>
    <row r="109" ht="22" customHeight="1">
      <c r="A109" s="2" t="inlineStr">
        <is>
          <t>e824af898bf9a932</t>
        </is>
      </c>
      <c r="B109" s="2" t="inlineStr">
        <is>
          <t>2026-09-24 16:07</t>
        </is>
      </c>
      <c r="C109" s="3" t="inlineStr">
        <is>
          <t>Auxiliar administrativo y financiero</t>
        </is>
      </c>
      <c r="D109" s="3" t="inlineStr">
        <is>
          <t>Confidencial</t>
        </is>
      </c>
      <c r="E109" s="7" t="n">
        <v>0.58</v>
      </c>
      <c r="F109" s="2" t="inlineStr">
        <is>
          <t>Remoto</t>
        </is>
      </c>
      <c r="G109" s="5">
        <f>HYPERLINK("https://www.elempleo.com/co/ofertas-trabajo/auxiliar-administrativo-y-financiero-1886753619", "Ver Vacante")</f>
        <v/>
      </c>
      <c r="H109" s="6" t="inlineStr"/>
      <c r="I109" s="3" t="inlineStr">
        <is>
          <t>[Afinidad: 58/100 - Afinidad Moderada] Afinidad moderada en áreas técnicas del cargo (Auxiliar Administrativo / Asistente Virtual). Modalidad: 100% Remoto en Colombia confirmado.</t>
        </is>
      </c>
      <c r="J109" s="2" t="inlineStr">
        <is>
          <t>Nueva</t>
        </is>
      </c>
      <c r="K109" s="3" t="inlineStr"/>
    </row>
    <row r="110" ht="22" customHeight="1">
      <c r="A110" s="2" t="inlineStr">
        <is>
          <t>54c86d8a0d796617</t>
        </is>
      </c>
      <c r="B110" s="2" t="inlineStr">
        <is>
          <t>2026-09-24 16:07</t>
        </is>
      </c>
      <c r="C110" s="3" t="inlineStr">
        <is>
          <t>Auxiliar administrativa</t>
        </is>
      </c>
      <c r="D110" s="3" t="inlineStr">
        <is>
          <t>ASISTALENTO SAS</t>
        </is>
      </c>
      <c r="E110" s="7" t="n">
        <v>0.58</v>
      </c>
      <c r="F110" s="2" t="inlineStr">
        <is>
          <t>Remoto</t>
        </is>
      </c>
      <c r="G110" s="5">
        <f>HYPERLINK("https://www.elempleo.com/co/ofertas-trabajo/auxiliar-administrativa-1886767177", "Ver Vacante")</f>
        <v/>
      </c>
      <c r="H110" s="6" t="inlineStr"/>
      <c r="I110" s="3" t="inlineStr">
        <is>
          <t>[Afinidad: 58/100 - Afinidad Moderada] Afinidad moderada en áreas técnicas del cargo (Auxiliar Administrativo / Asistente Virtual). Modalidad: 100% Remoto en Colombia confirmado.</t>
        </is>
      </c>
      <c r="J110" s="2" t="inlineStr">
        <is>
          <t>Nueva</t>
        </is>
      </c>
      <c r="K110" s="3" t="inlineStr"/>
    </row>
    <row r="111" ht="22" customHeight="1">
      <c r="A111" s="2" t="inlineStr">
        <is>
          <t>372b28276b98282f</t>
        </is>
      </c>
      <c r="B111" s="2" t="inlineStr">
        <is>
          <t>2026-09-24 16:07</t>
        </is>
      </c>
      <c r="C111" s="3" t="inlineStr">
        <is>
          <t>Secretaria administrativa</t>
        </is>
      </c>
      <c r="D111" s="3" t="inlineStr">
        <is>
          <t>FUNDACIÓN ANDES</t>
        </is>
      </c>
      <c r="E111" s="7" t="n">
        <v>0.58</v>
      </c>
      <c r="F111" s="2" t="inlineStr">
        <is>
          <t>Remoto</t>
        </is>
      </c>
      <c r="G111" s="5">
        <f>HYPERLINK("https://www.elempleo.com/co/ofertas-trabajo/secretaria-administrativa-1886756322", "Ver Vacante")</f>
        <v/>
      </c>
      <c r="H111" s="6" t="inlineStr"/>
      <c r="I111" s="3" t="inlineStr">
        <is>
          <t>[Afinidad: 58/100 - Afinidad Moderada] Afinidad moderada en áreas técnicas del cargo (Auxiliar Administrativo / Asistente Virtual). Modalidad: 100% Remoto en Colombia confirmado.</t>
        </is>
      </c>
      <c r="J111" s="2" t="inlineStr">
        <is>
          <t>Nueva</t>
        </is>
      </c>
      <c r="K111" s="3" t="inlineStr"/>
    </row>
    <row r="112" ht="22" customHeight="1">
      <c r="A112" s="2" t="inlineStr">
        <is>
          <t>cee8b3db11750755</t>
        </is>
      </c>
      <c r="B112" s="2" t="inlineStr">
        <is>
          <t>2026-09-24 16:07</t>
        </is>
      </c>
      <c r="C112" s="3" t="inlineStr">
        <is>
          <t>Auxiliar administrativo de obra</t>
        </is>
      </c>
      <c r="D112" s="3" t="inlineStr">
        <is>
          <t>GRUPO AR S.A.</t>
        </is>
      </c>
      <c r="E112" s="7" t="n">
        <v>0.58</v>
      </c>
      <c r="F112" s="2" t="inlineStr">
        <is>
          <t>Remoto</t>
        </is>
      </c>
      <c r="G112" s="5">
        <f>HYPERLINK("https://www.elempleo.com/co/ofertas-trabajo/auxiliar-administrativo-de-obra-1886747241", "Ver Vacante")</f>
        <v/>
      </c>
      <c r="H112" s="6" t="inlineStr"/>
      <c r="I112" s="3" t="inlineStr">
        <is>
          <t>[Afinidad: 58/100 - Afinidad Moderada] Afinidad moderada en áreas técnicas del cargo (Auxiliar Administrativo / Asistente Virtual). Modalidad: 100% Remoto en Colombia confirmado.</t>
        </is>
      </c>
      <c r="J112" s="2" t="inlineStr">
        <is>
          <t>Nueva</t>
        </is>
      </c>
      <c r="K112" s="3" t="inlineStr"/>
    </row>
    <row r="113" ht="22" customHeight="1">
      <c r="A113" s="2" t="inlineStr">
        <is>
          <t>f86d411dd7ab31c0</t>
        </is>
      </c>
      <c r="B113" s="2" t="inlineStr">
        <is>
          <t>2026-09-24 16:07</t>
        </is>
      </c>
      <c r="C113" s="3" t="inlineStr">
        <is>
          <t>Asistente administrativa supernumeraria</t>
        </is>
      </c>
      <c r="D113" s="3" t="inlineStr">
        <is>
          <t>Grupo Good</t>
        </is>
      </c>
      <c r="E113" s="7" t="n">
        <v>0.58</v>
      </c>
      <c r="F113" s="2" t="inlineStr">
        <is>
          <t>Remoto</t>
        </is>
      </c>
      <c r="G113" s="5">
        <f>HYPERLINK("https://www.elempleo.com/co/ofertas-trabajo/asistente-administrativa-supernumeraria-1886762173", "Ver Vacante")</f>
        <v/>
      </c>
      <c r="H113" s="6" t="inlineStr"/>
      <c r="I113" s="3" t="inlineStr">
        <is>
          <t>[Afinidad: 58/100 - Afinidad Moderada] Afinidad moderada en áreas técnicas del cargo (Auxiliar Administrativo / Asistente Virtual). Modalidad: 100% Remoto en Colombia confirmado.</t>
        </is>
      </c>
      <c r="J113" s="2" t="inlineStr">
        <is>
          <t>Nueva</t>
        </is>
      </c>
      <c r="K113" s="3" t="inlineStr"/>
    </row>
    <row r="114" ht="22" customHeight="1">
      <c r="A114" s="2" t="inlineStr">
        <is>
          <t>02d246dd2c1d19fd</t>
        </is>
      </c>
      <c r="B114" s="2" t="inlineStr">
        <is>
          <t>2026-09-24 16:07</t>
        </is>
      </c>
      <c r="C114" s="3" t="inlineStr">
        <is>
          <t>Asistente ejecutiva</t>
        </is>
      </c>
      <c r="D114" s="3" t="inlineStr">
        <is>
          <t>Confidencial</t>
        </is>
      </c>
      <c r="E114" s="7" t="n">
        <v>0.58</v>
      </c>
      <c r="F114" s="2" t="inlineStr">
        <is>
          <t>Remoto</t>
        </is>
      </c>
      <c r="G114" s="5">
        <f>HYPERLINK("https://www.elempleo.com/co/ofertas-trabajo/asistente-ejecutiva-1886745926", "Ver Vacante")</f>
        <v/>
      </c>
      <c r="H114" s="6" t="inlineStr"/>
      <c r="I114" s="3" t="inlineStr">
        <is>
          <t>[Afinidad: 58/100 - Afinidad Moderada] Afinidad moderada en áreas técnicas del cargo (Auxiliar Administrativo / Asistente Virtual). Modalidad: 100% Remoto en Colombia confirmado.</t>
        </is>
      </c>
      <c r="J114" s="2" t="inlineStr">
        <is>
          <t>Nueva</t>
        </is>
      </c>
      <c r="K114" s="3" t="inlineStr"/>
    </row>
    <row r="115" ht="22" customHeight="1">
      <c r="A115" s="2" t="inlineStr">
        <is>
          <t>b56bb36e9fc82e1e</t>
        </is>
      </c>
      <c r="B115" s="2" t="inlineStr">
        <is>
          <t>2026-09-24 16:07</t>
        </is>
      </c>
      <c r="C115" s="3" t="inlineStr">
        <is>
          <t>Asistente administrativo/a</t>
        </is>
      </c>
      <c r="D115" s="3" t="inlineStr">
        <is>
          <t>MEDICALL TALENTO HUMANO S.A.S.</t>
        </is>
      </c>
      <c r="E115" s="7" t="n">
        <v>0.58</v>
      </c>
      <c r="F115" s="2" t="inlineStr">
        <is>
          <t>Remoto</t>
        </is>
      </c>
      <c r="G115" s="5">
        <f>HYPERLINK("https://www.elempleo.com/co/ofertas-trabajo/asistente-administrativo-a-1886747464", "Ver Vacante")</f>
        <v/>
      </c>
      <c r="H115" s="6" t="inlineStr"/>
      <c r="I115" s="3" t="inlineStr">
        <is>
          <t>[Afinidad: 58/100 - Afinidad Moderada] Afinidad moderada en áreas técnicas del cargo (Auxiliar Administrativo / Asistente Virtual). Modalidad: 100% Remoto en Colombia confirmado.</t>
        </is>
      </c>
      <c r="J115" s="2" t="inlineStr">
        <is>
          <t>Nueva</t>
        </is>
      </c>
      <c r="K115" s="3" t="inlineStr"/>
    </row>
    <row r="116" ht="22" customHeight="1">
      <c r="A116" s="2" t="inlineStr">
        <is>
          <t>58fe156c45c49fc4</t>
        </is>
      </c>
      <c r="B116" s="2" t="inlineStr">
        <is>
          <t>2026-09-24 16:07</t>
        </is>
      </c>
      <c r="C116" s="3" t="inlineStr">
        <is>
          <t>Asistente ejecutiva y personal de presidencia</t>
        </is>
      </c>
      <c r="D116" s="3" t="inlineStr">
        <is>
          <t>ADECCO COLOMBIA S A</t>
        </is>
      </c>
      <c r="E116" s="7" t="n">
        <v>0.58</v>
      </c>
      <c r="F116" s="2" t="inlineStr">
        <is>
          <t>Remoto</t>
        </is>
      </c>
      <c r="G116" s="5">
        <f>HYPERLINK("https://www.elempleo.com/co/ofertas-trabajo/asistente-ejecutiva-y-personal-de-presidencia-1886765043", "Ver Vacante")</f>
        <v/>
      </c>
      <c r="H116" s="6" t="inlineStr"/>
      <c r="I116" s="3" t="inlineStr">
        <is>
          <t>[Afinidad: 58/100 - Afinidad Moderada] Afinidad moderada en áreas técnicas del cargo (Auxiliar Administrativo / Asistente Virtual). Modalidad: 100% Remoto en Colombia confirmado.</t>
        </is>
      </c>
      <c r="J116" s="2" t="inlineStr">
        <is>
          <t>Nueva</t>
        </is>
      </c>
      <c r="K116" s="3" t="inlineStr"/>
    </row>
    <row r="117" ht="22" customHeight="1">
      <c r="A117" s="2" t="inlineStr">
        <is>
          <t>c68c842aec0507f5</t>
        </is>
      </c>
      <c r="B117" s="2" t="inlineStr">
        <is>
          <t>2026-09-24 16:07</t>
        </is>
      </c>
      <c r="C117" s="3" t="inlineStr">
        <is>
          <t>Asistente administrativo y operativo</t>
        </is>
      </c>
      <c r="D117" s="3" t="inlineStr">
        <is>
          <t>ALIANZA</t>
        </is>
      </c>
      <c r="E117" s="7" t="n">
        <v>0.58</v>
      </c>
      <c r="F117" s="2" t="inlineStr">
        <is>
          <t>Remoto</t>
        </is>
      </c>
      <c r="G117" s="5">
        <f>HYPERLINK("https://www.elempleo.com/co/ofertas-trabajo/asistente-administrativo-y-operativo-1886769341", "Ver Vacante")</f>
        <v/>
      </c>
      <c r="H117" s="6" t="inlineStr"/>
      <c r="I117" s="3" t="inlineStr">
        <is>
          <t>[Afinidad: 58/100 - Afinidad Moderada] Afinidad moderada en áreas técnicas del cargo (Auxiliar Administrativo / Asistente Virtual). Modalidad: 100% Remoto en Colombia confirmado.</t>
        </is>
      </c>
      <c r="J117" s="2" t="inlineStr">
        <is>
          <t>Nueva</t>
        </is>
      </c>
      <c r="K117" s="3" t="inlineStr"/>
    </row>
    <row r="118" ht="22" customHeight="1">
      <c r="A118" s="2" t="inlineStr">
        <is>
          <t>e55c41f8f35d0d12</t>
        </is>
      </c>
      <c r="B118" s="2" t="inlineStr">
        <is>
          <t>2026-09-24 16:07</t>
        </is>
      </c>
      <c r="C118" s="3" t="inlineStr">
        <is>
          <t>Asistente administrativa y comercial pereira</t>
        </is>
      </c>
      <c r="D118" s="3" t="inlineStr">
        <is>
          <t>EDITORIAL LA REPÚBLICA S.A.S.</t>
        </is>
      </c>
      <c r="E118" s="7" t="n">
        <v>0.58</v>
      </c>
      <c r="F118" s="2" t="inlineStr">
        <is>
          <t>Remoto</t>
        </is>
      </c>
      <c r="G118" s="5">
        <f>HYPERLINK("https://www.elempleo.com/co/ofertas-trabajo/asistente-administrativa-y-comercial-pereira-1886746894", "Ver Vacante")</f>
        <v/>
      </c>
      <c r="H118" s="6" t="inlineStr"/>
      <c r="I118" s="3" t="inlineStr">
        <is>
          <t>[Afinidad: 58/100 - Afinidad Moderada] Afinidad moderada en áreas técnicas del cargo (Auxiliar Administrativo / Asistente Virtual). Modalidad: 100% Remoto en Colombia confirmado.</t>
        </is>
      </c>
      <c r="J118" s="2" t="inlineStr">
        <is>
          <t>Nueva</t>
        </is>
      </c>
      <c r="K118" s="3" t="inlineStr"/>
    </row>
    <row r="119" ht="22" customHeight="1">
      <c r="A119" s="2" t="inlineStr">
        <is>
          <t>0504d9833ad54912</t>
        </is>
      </c>
      <c r="B119" s="2" t="inlineStr">
        <is>
          <t>2026-09-24 16:07</t>
        </is>
      </c>
      <c r="C119" s="3" t="inlineStr">
        <is>
          <t>Asistente administrativo(a) at | bogotá</t>
        </is>
      </c>
      <c r="D119" s="3" t="inlineStr">
        <is>
          <t>Confidencial</t>
        </is>
      </c>
      <c r="E119" s="7" t="n">
        <v>0.58</v>
      </c>
      <c r="F119" s="2" t="inlineStr">
        <is>
          <t>Remoto</t>
        </is>
      </c>
      <c r="G119" s="5">
        <f>HYPERLINK("https://www.elempleo.com/co/ofertas-trabajo/asistente-administrativoa-at-bogota-1886765770", "Ver Vacante")</f>
        <v/>
      </c>
      <c r="H119" s="6" t="inlineStr"/>
      <c r="I119" s="3" t="inlineStr">
        <is>
          <t>[Afinidad: 58/100 - Afinidad Moderada] Afinidad moderada en áreas técnicas del cargo (Auxiliar Administrativo / Asistente Virtual). Modalidad: 100% Remoto en Colombia confirmado.</t>
        </is>
      </c>
      <c r="J119" s="2" t="inlineStr">
        <is>
          <t>Nueva</t>
        </is>
      </c>
      <c r="K119" s="3" t="inlineStr"/>
    </row>
    <row r="120" ht="22" customHeight="1">
      <c r="A120" s="2" t="inlineStr">
        <is>
          <t>bacc38002882c624</t>
        </is>
      </c>
      <c r="B120" s="2" t="inlineStr">
        <is>
          <t>2026-09-24 16:07</t>
        </is>
      </c>
      <c r="C120" s="3" t="inlineStr">
        <is>
          <t>Asistente administrativo</t>
        </is>
      </c>
      <c r="D120" s="3" t="inlineStr">
        <is>
          <t>POSSE HERRERA Y RUIZ</t>
        </is>
      </c>
      <c r="E120" s="7" t="n">
        <v>0.58</v>
      </c>
      <c r="F120" s="2" t="inlineStr">
        <is>
          <t>Remoto</t>
        </is>
      </c>
      <c r="G120" s="5">
        <f>HYPERLINK("https://www.elempleo.com/co/ofertas-trabajo/asistente-administrativo-1886757128", "Ver Vacante")</f>
        <v/>
      </c>
      <c r="H120" s="6" t="inlineStr"/>
      <c r="I120" s="3" t="inlineStr">
        <is>
          <t>[Afinidad: 58/100 - Afinidad Moderada] Afinidad moderada en áreas técnicas del cargo (Auxiliar Administrativo / Asistente Virtual). Modalidad: 100% Remoto en Colombia confirmado.</t>
        </is>
      </c>
      <c r="J120" s="2" t="inlineStr">
        <is>
          <t>Nueva</t>
        </is>
      </c>
      <c r="K120" s="3" t="inlineStr"/>
    </row>
    <row r="121" ht="22" customHeight="1">
      <c r="A121" s="2" t="inlineStr">
        <is>
          <t>115c420d4e627838</t>
        </is>
      </c>
      <c r="B121" s="2" t="inlineStr">
        <is>
          <t>2026-09-24 16:07</t>
        </is>
      </c>
      <c r="C121" s="3" t="inlineStr">
        <is>
          <t>Recepcionista y asistente administrativa</t>
        </is>
      </c>
      <c r="D121" s="3" t="inlineStr">
        <is>
          <t>Colliers International Colombia S.A</t>
        </is>
      </c>
      <c r="E121" s="7" t="n">
        <v>0.58</v>
      </c>
      <c r="F121" s="2" t="inlineStr">
        <is>
          <t>Remoto</t>
        </is>
      </c>
      <c r="G121" s="5">
        <f>HYPERLINK("https://www.elempleo.com/co/ofertas-trabajo/recepcionista-y-asistente-administrativa-1886769882", "Ver Vacante")</f>
        <v/>
      </c>
      <c r="H121" s="6" t="inlineStr"/>
      <c r="I121" s="3" t="inlineStr">
        <is>
          <t>[Afinidad: 58/100 - Afinidad Moderada] Afinidad moderada en áreas técnicas del cargo (Auxiliar Administrativo / Asistente Virtual). Modalidad: 100% Remoto en Colombia confirmado.</t>
        </is>
      </c>
      <c r="J121" s="2" t="inlineStr">
        <is>
          <t>Nueva</t>
        </is>
      </c>
      <c r="K121" s="3" t="inlineStr"/>
    </row>
    <row r="122" ht="22" customHeight="1">
      <c r="A122" s="2" t="inlineStr">
        <is>
          <t>0eafe890d09dc027</t>
        </is>
      </c>
      <c r="B122" s="2" t="inlineStr">
        <is>
          <t>2026-09-24 16:07</t>
        </is>
      </c>
      <c r="C122" s="3" t="inlineStr">
        <is>
          <t>Asistente administrativa y contable - chía | ref. 1626544466-1</t>
        </is>
      </c>
      <c r="D122" s="3" t="inlineStr">
        <is>
          <t>AGENCIA DE EMPLEO Y FOMENTO EMPRESARIAL COMPENSAR</t>
        </is>
      </c>
      <c r="E122" s="7" t="n">
        <v>0.58</v>
      </c>
      <c r="F122" s="2" t="inlineStr">
        <is>
          <t>Remoto</t>
        </is>
      </c>
      <c r="G122" s="5">
        <f>HYPERLINK("https://www.elempleo.com/co/ofertas-trabajo/asistente-administrativa-y-contable-chia-ref-16265444661-1886766808", "Ver Vacante")</f>
        <v/>
      </c>
      <c r="H122" s="6" t="inlineStr"/>
      <c r="I122" s="3" t="inlineStr">
        <is>
          <t>[Afinidad: 58/100 - Afinidad Moderada] Afinidad moderada en áreas técnicas del cargo (Auxiliar Administrativo / Asistente Virtual). Modalidad: 100% Remoto en Colombia confirmado.</t>
        </is>
      </c>
      <c r="J122" s="2" t="inlineStr">
        <is>
          <t>Nueva</t>
        </is>
      </c>
      <c r="K122" s="3" t="inlineStr"/>
    </row>
    <row r="123" ht="22" customHeight="1">
      <c r="A123" s="2" t="inlineStr">
        <is>
          <t>7fdb3ec2bb49ce90</t>
        </is>
      </c>
      <c r="B123" s="2" t="inlineStr">
        <is>
          <t>2026-09-24 16:07</t>
        </is>
      </c>
      <c r="C123" s="3" t="inlineStr">
        <is>
          <t>Asistente administrativa y contable</t>
        </is>
      </c>
      <c r="D123" s="3" t="inlineStr">
        <is>
          <t>ASESORES FINANCIEROS Y TRIBUTARIOS GR SAS</t>
        </is>
      </c>
      <c r="E123" s="7" t="n">
        <v>0.58</v>
      </c>
      <c r="F123" s="2" t="inlineStr">
        <is>
          <t>Remoto</t>
        </is>
      </c>
      <c r="G123" s="5">
        <f>HYPERLINK("https://www.elempleo.com/co/ofertas-trabajo/asistente-administrativa-y-contable-1886758421", "Ver Vacante")</f>
        <v/>
      </c>
      <c r="H123" s="6" t="inlineStr"/>
      <c r="I123" s="3" t="inlineStr">
        <is>
          <t>[Afinidad: 58/100 - Afinidad Moderada] Afinidad moderada en áreas técnicas del cargo (Auxiliar Administrativo / Asistente Virtual). Modalidad: 100% Remoto en Colombia confirmado.</t>
        </is>
      </c>
      <c r="J123" s="2" t="inlineStr">
        <is>
          <t>Nueva</t>
        </is>
      </c>
      <c r="K123" s="3" t="inlineStr"/>
    </row>
    <row r="124" ht="22" customHeight="1">
      <c r="A124" s="2" t="inlineStr">
        <is>
          <t>08014f384f124ec4</t>
        </is>
      </c>
      <c r="B124" s="2" t="inlineStr">
        <is>
          <t>2026-09-24 16:07</t>
        </is>
      </c>
      <c r="C124" s="3" t="inlineStr">
        <is>
          <t>Asistente administrativo y contable - villeta</t>
        </is>
      </c>
      <c r="D124" s="3" t="inlineStr">
        <is>
          <t>Confidencial</t>
        </is>
      </c>
      <c r="E124" s="7" t="n">
        <v>0.58</v>
      </c>
      <c r="F124" s="2" t="inlineStr">
        <is>
          <t>Remoto</t>
        </is>
      </c>
      <c r="G124" s="5">
        <f>HYPERLINK("https://www.elempleo.com/co/ofertas-trabajo/asistente-administrativo-y-contable-villeta-1886759076", "Ver Vacante")</f>
        <v/>
      </c>
      <c r="H124" s="6" t="inlineStr"/>
      <c r="I124" s="3" t="inlineStr">
        <is>
          <t>[Afinidad: 58/100 - Afinidad Moderada] Afinidad moderada en áreas técnicas del cargo (Auxiliar Administrativo / Asistente Virtual). Modalidad: 100% Remoto en Colombia confirmado.</t>
        </is>
      </c>
      <c r="J124" s="2" t="inlineStr">
        <is>
          <t>Nueva</t>
        </is>
      </c>
      <c r="K124" s="3" t="inlineStr"/>
    </row>
    <row r="125" ht="22" customHeight="1">
      <c r="A125" s="2" t="inlineStr">
        <is>
          <t>c62a542387886bca</t>
        </is>
      </c>
      <c r="B125" s="2" t="inlineStr">
        <is>
          <t>2026-09-24 16:07</t>
        </is>
      </c>
      <c r="C125" s="3" t="inlineStr">
        <is>
          <t>Asistente administrativo y contable - villeta</t>
        </is>
      </c>
      <c r="D125" s="3" t="inlineStr">
        <is>
          <t>Confidencial</t>
        </is>
      </c>
      <c r="E125" s="7" t="n">
        <v>0.58</v>
      </c>
      <c r="F125" s="2" t="inlineStr">
        <is>
          <t>Remoto</t>
        </is>
      </c>
      <c r="G125" s="5">
        <f>HYPERLINK("https://www.elempleo.com/co/ofertas-trabajo/asistente-administrativo-y-contable-villeta-1886758361", "Ver Vacante")</f>
        <v/>
      </c>
      <c r="H125" s="6" t="inlineStr"/>
      <c r="I125" s="3" t="inlineStr">
        <is>
          <t>[Afinidad: 58/100 - Afinidad Moderada] Afinidad moderada en áreas técnicas del cargo (Auxiliar Administrativo / Asistente Virtual). Modalidad: 100% Remoto en Colombia confirmado.</t>
        </is>
      </c>
      <c r="J125" s="2" t="inlineStr">
        <is>
          <t>Nueva</t>
        </is>
      </c>
      <c r="K125" s="3" t="inlineStr"/>
    </row>
    <row r="126" ht="22" customHeight="1">
      <c r="A126" s="2" t="inlineStr">
        <is>
          <t>fec983a79bc46288</t>
        </is>
      </c>
      <c r="B126" s="2" t="inlineStr">
        <is>
          <t>2026-09-24 16:07</t>
        </is>
      </c>
      <c r="C126" s="3" t="inlineStr">
        <is>
          <t>Asistente administrativo y contable</t>
        </is>
      </c>
      <c r="D126" s="3" t="inlineStr">
        <is>
          <t>iLingo Integrated Solutions in Languages</t>
        </is>
      </c>
      <c r="E126" s="7" t="n">
        <v>0.58</v>
      </c>
      <c r="F126" s="2" t="inlineStr">
        <is>
          <t>Remoto</t>
        </is>
      </c>
      <c r="G126" s="5">
        <f>HYPERLINK("https://www.elempleo.com/co/ofertas-trabajo/asistente-administrativo-y-contable-1886747606", "Ver Vacante")</f>
        <v/>
      </c>
      <c r="H126" s="6" t="inlineStr"/>
      <c r="I126" s="3" t="inlineStr">
        <is>
          <t>[Afinidad: 58/100 - Afinidad Moderada] Afinidad moderada en áreas técnicas del cargo (Auxiliar Administrativo / Asistente Virtual). Modalidad: 100% Remoto en Colombia confirmado.</t>
        </is>
      </c>
      <c r="J126" s="2" t="inlineStr">
        <is>
          <t>Nueva</t>
        </is>
      </c>
      <c r="K126" s="3" t="inlineStr"/>
    </row>
    <row r="127" ht="22" customHeight="1">
      <c r="A127" s="2" t="inlineStr">
        <is>
          <t>1871e0c68a13d38e</t>
        </is>
      </c>
      <c r="B127" s="2" t="inlineStr">
        <is>
          <t>2026-09-24 16:07</t>
        </is>
      </c>
      <c r="C127" s="3" t="inlineStr">
        <is>
          <t>Auxiliar contable - sap - bogota</t>
        </is>
      </c>
      <c r="D127" s="3" t="inlineStr">
        <is>
          <t>ADECCO COLOMBIA S A</t>
        </is>
      </c>
      <c r="E127" s="7" t="n">
        <v>0.58</v>
      </c>
      <c r="F127" s="2" t="inlineStr">
        <is>
          <t>Remoto</t>
        </is>
      </c>
      <c r="G127" s="5">
        <f>HYPERLINK("https://www.elempleo.com/co/ofertas-trabajo/auxiliar-contable-sap-bogota-1886767163", "Ver Vacante")</f>
        <v/>
      </c>
      <c r="H127" s="6" t="inlineStr"/>
      <c r="I127" s="3" t="inlineStr">
        <is>
          <t>[Afinidad: 58/100 - Afinidad Moderada] Afinidad moderada en áreas técnicas del cargo (Auxiliar Administrativo / Asistente Virtual). Modalidad: 100% Remoto en Colombia confirmado.</t>
        </is>
      </c>
      <c r="J127" s="2" t="inlineStr">
        <is>
          <t>Nueva</t>
        </is>
      </c>
      <c r="K127" s="3" t="inlineStr"/>
    </row>
    <row r="128" ht="22" customHeight="1">
      <c r="A128" s="2" t="inlineStr">
        <is>
          <t>6367348e3671a1aa</t>
        </is>
      </c>
      <c r="B128" s="2" t="inlineStr">
        <is>
          <t>2026-09-24 16:07</t>
        </is>
      </c>
      <c r="C128" s="3" t="inlineStr">
        <is>
          <t>Asistente contable y administrativo con experiencia contable en sap, cartera y tesoreria</t>
        </is>
      </c>
      <c r="D128" s="3" t="inlineStr">
        <is>
          <t>Confidencial</t>
        </is>
      </c>
      <c r="E128" s="7" t="n">
        <v>0.58</v>
      </c>
      <c r="F128" s="2" t="inlineStr">
        <is>
          <t>Remoto</t>
        </is>
      </c>
      <c r="G128" s="5">
        <f>HYPERLINK("https://www.elempleo.com/co/ofertas-trabajo/asistente-contable-y-administrativo-con-experiencia-contable-en-sap-cartera-y-tesoreria-1886760656", "Ver Vacante")</f>
        <v/>
      </c>
      <c r="H128" s="6" t="inlineStr"/>
      <c r="I128" s="3" t="inlineStr">
        <is>
          <t>[Afinidad: 58/100 - Afinidad Moderada] Afinidad moderada en áreas técnicas del cargo (Auxiliar Administrativo / Asistente Virtual). Modalidad: 100% Remoto en Colombia confirmado.</t>
        </is>
      </c>
      <c r="J128" s="2" t="inlineStr">
        <is>
          <t>Nueva</t>
        </is>
      </c>
      <c r="K128" s="3" t="inlineStr"/>
    </row>
    <row r="129" ht="22" customHeight="1">
      <c r="A129" s="2" t="inlineStr">
        <is>
          <t>fa85204cef58799f</t>
        </is>
      </c>
      <c r="B129" s="2" t="inlineStr">
        <is>
          <t>2026-09-24 16:07</t>
        </is>
      </c>
      <c r="C129" s="3" t="inlineStr">
        <is>
          <t>Asistente contable y administrativo con experiencia contable en sap - cartera y tesoreria</t>
        </is>
      </c>
      <c r="D129" s="3" t="inlineStr">
        <is>
          <t>Confidencial</t>
        </is>
      </c>
      <c r="E129" s="7" t="n">
        <v>0.58</v>
      </c>
      <c r="F129" s="2" t="inlineStr">
        <is>
          <t>Remoto</t>
        </is>
      </c>
      <c r="G129" s="5">
        <f>HYPERLINK("https://www.elempleo.com/co/ofertas-trabajo/asistente-contable-y-administrativo-con-experiencia-contable-en-sap-cartera-y-tesoreria-1886766820", "Ver Vacante")</f>
        <v/>
      </c>
      <c r="H129" s="6" t="inlineStr"/>
      <c r="I129" s="3" t="inlineStr">
        <is>
          <t>[Afinidad: 58/100 - Afinidad Moderada] Afinidad moderada en áreas técnicas del cargo (Auxiliar Administrativo / Asistente Virtual). Modalidad: 100% Remoto en Colombia confirmado.</t>
        </is>
      </c>
      <c r="J129" s="2" t="inlineStr">
        <is>
          <t>Nueva</t>
        </is>
      </c>
      <c r="K129" s="3" t="inlineStr"/>
    </row>
    <row r="130" ht="22" customHeight="1">
      <c r="A130" s="2" t="inlineStr">
        <is>
          <t>d8062d850cbf46a1</t>
        </is>
      </c>
      <c r="B130" s="2" t="inlineStr">
        <is>
          <t>2026-09-24 16:07</t>
        </is>
      </c>
      <c r="C130" s="3" t="inlineStr">
        <is>
          <t>Digitador - 353703-113642</t>
        </is>
      </c>
      <c r="D130" s="3" t="inlineStr">
        <is>
          <t>AGENCIA DE EMPLEO Y FOMENTO EMPRESARIAL COMPENSAR</t>
        </is>
      </c>
      <c r="E130" s="7" t="n">
        <v>0.58</v>
      </c>
      <c r="F130" s="2" t="inlineStr">
        <is>
          <t>Remoto</t>
        </is>
      </c>
      <c r="G130" s="5">
        <f>HYPERLINK("https://www.elempleo.com/co/ofertas-trabajo/digitador-353703113642-1886769566", "Ver Vacante")</f>
        <v/>
      </c>
      <c r="H130" s="6" t="inlineStr"/>
      <c r="I130" s="3" t="inlineStr">
        <is>
          <t>[Afinidad: 58/100 - Afinidad Moderada] Afinidad moderada en áreas técnicas del cargo (Auxiliar Administrativo / Asistente Virtual). Modalidad: 100% Remoto en Colombia confirmado.</t>
        </is>
      </c>
      <c r="J130" s="2" t="inlineStr">
        <is>
          <t>Nueva</t>
        </is>
      </c>
      <c r="K130" s="3" t="inlineStr"/>
    </row>
    <row r="131" ht="22" customHeight="1">
      <c r="A131" s="2" t="inlineStr">
        <is>
          <t>2f520ba083e2847f</t>
        </is>
      </c>
      <c r="B131" s="2" t="inlineStr">
        <is>
          <t>2026-09-24 16:07</t>
        </is>
      </c>
      <c r="C131" s="3" t="inlineStr">
        <is>
          <t>Digitador en planta de producción</t>
        </is>
      </c>
      <c r="D131" s="3" t="inlineStr">
        <is>
          <t>Prysmian Group - Procables</t>
        </is>
      </c>
      <c r="E131" s="7" t="n">
        <v>0.58</v>
      </c>
      <c r="F131" s="2" t="inlineStr">
        <is>
          <t>Remoto</t>
        </is>
      </c>
      <c r="G131" s="5">
        <f>HYPERLINK("https://www.elempleo.com/co/ofertas-trabajo/digitador-en-planta-de-produccion-1886722751", "Ver Vacante")</f>
        <v/>
      </c>
      <c r="H131" s="6" t="inlineStr"/>
      <c r="I131" s="3" t="inlineStr">
        <is>
          <t>[Afinidad: 58/100 - Afinidad Moderada] Afinidad moderada en áreas técnicas del cargo (Auxiliar Administrativo / Asistente Virtual). Modalidad: 100% Remoto en Colombia confirmado.</t>
        </is>
      </c>
      <c r="J131" s="2" t="inlineStr">
        <is>
          <t>Nueva</t>
        </is>
      </c>
      <c r="K131" s="3" t="inlineStr"/>
    </row>
    <row r="132" ht="22" customHeight="1">
      <c r="A132" s="2" t="inlineStr">
        <is>
          <t>475f3966c5302ff0</t>
        </is>
      </c>
      <c r="B132" s="2" t="inlineStr">
        <is>
          <t>2026-09-24 16:07</t>
        </is>
      </c>
      <c r="C132" s="3" t="inlineStr">
        <is>
          <t>Analista de aduana - digitador opencomex</t>
        </is>
      </c>
      <c r="D132" s="3" t="inlineStr">
        <is>
          <t>Confidencial</t>
        </is>
      </c>
      <c r="E132" s="7" t="n">
        <v>0.58</v>
      </c>
      <c r="F132" s="2" t="inlineStr">
        <is>
          <t>Remoto</t>
        </is>
      </c>
      <c r="G132" s="5">
        <f>HYPERLINK("https://www.elempleo.com/co/ofertas-trabajo/analista-de-aduana-digitador-opencomex-1886762323", "Ver Vacante")</f>
        <v/>
      </c>
      <c r="H132" s="6" t="inlineStr"/>
      <c r="I132" s="3" t="inlineStr">
        <is>
          <t>[Afinidad: 58/100 - Afinidad Moderada] Afinidad moderada en áreas técnicas del cargo (Auxiliar Administrativo / Asistente Virtual). Modalidad: 100% Remoto en Colombia confirmado.</t>
        </is>
      </c>
      <c r="J132" s="2" t="inlineStr">
        <is>
          <t>Nueva</t>
        </is>
      </c>
      <c r="K132" s="3" t="inlineStr"/>
    </row>
    <row r="133" ht="22" customHeight="1">
      <c r="A133" s="2" t="inlineStr">
        <is>
          <t>107d0765b8dfce86</t>
        </is>
      </c>
      <c r="B133" s="2" t="inlineStr">
        <is>
          <t>2026-09-24 16:07</t>
        </is>
      </c>
      <c r="C133" s="3" t="inlineStr">
        <is>
          <t>Auxiliar digitador(a) de contabilidad</t>
        </is>
      </c>
      <c r="D133" s="3" t="inlineStr">
        <is>
          <t>Confidencial</t>
        </is>
      </c>
      <c r="E133" s="7" t="n">
        <v>0.58</v>
      </c>
      <c r="F133" s="2" t="inlineStr">
        <is>
          <t>Remoto</t>
        </is>
      </c>
      <c r="G133" s="5">
        <f>HYPERLINK("https://www.elempleo.com/co/ofertas-trabajo/auxiliar-digitadora-de-contabilidad-1886770758", "Ver Vacante")</f>
        <v/>
      </c>
      <c r="H133" s="6" t="inlineStr"/>
      <c r="I133" s="3" t="inlineStr">
        <is>
          <t>[Afinidad: 58/100 - Afinidad Moderada] Afinidad moderada en áreas técnicas del cargo (Auxiliar Administrativo / Asistente Virtual). Modalidad: 100% Remoto en Colombia confirmado.</t>
        </is>
      </c>
      <c r="J133" s="2" t="inlineStr">
        <is>
          <t>Nueva</t>
        </is>
      </c>
      <c r="K133" s="3" t="inlineStr"/>
    </row>
    <row r="134" ht="22" customHeight="1">
      <c r="A134" s="2" t="inlineStr">
        <is>
          <t>b1591783dbbcb1f9</t>
        </is>
      </c>
      <c r="B134" s="2" t="inlineStr">
        <is>
          <t>2026-09-24 16:07</t>
        </is>
      </c>
      <c r="C134" s="3" t="inlineStr">
        <is>
          <t>Analista de aduana - digitador opencomex</t>
        </is>
      </c>
      <c r="D134" s="3" t="inlineStr">
        <is>
          <t>Confidencial</t>
        </is>
      </c>
      <c r="E134" s="7" t="n">
        <v>0.58</v>
      </c>
      <c r="F134" s="2" t="inlineStr">
        <is>
          <t>Remoto</t>
        </is>
      </c>
      <c r="G134" s="5">
        <f>HYPERLINK("https://www.elempleo.com/co/ofertas-trabajo/analista-de-aduana-digitador-opencomex-1886763468", "Ver Vacante")</f>
        <v/>
      </c>
      <c r="H134" s="6" t="inlineStr"/>
      <c r="I134" s="3" t="inlineStr">
        <is>
          <t>[Afinidad: 58/100 - Afinidad Moderada] Afinidad moderada en áreas técnicas del cargo (Auxiliar Administrativo / Asistente Virtual). Modalidad: 100% Remoto en Colombia confirmado.</t>
        </is>
      </c>
      <c r="J134" s="2" t="inlineStr">
        <is>
          <t>Nueva</t>
        </is>
      </c>
      <c r="K134" s="3" t="inlineStr"/>
    </row>
    <row r="135" ht="22" customHeight="1">
      <c r="A135" s="2" t="inlineStr">
        <is>
          <t>cfe8b8276b28373b</t>
        </is>
      </c>
      <c r="B135" s="2" t="inlineStr">
        <is>
          <t>2026-09-24 16:07</t>
        </is>
      </c>
      <c r="C135" s="3" t="inlineStr">
        <is>
          <t>Analista de aduana - digitador opencomex - santa marta</t>
        </is>
      </c>
      <c r="D135" s="3" t="inlineStr">
        <is>
          <t>Confidencial</t>
        </is>
      </c>
      <c r="E135" s="7" t="n">
        <v>0.58</v>
      </c>
      <c r="F135" s="2" t="inlineStr">
        <is>
          <t>Remoto</t>
        </is>
      </c>
      <c r="G135" s="5">
        <f>HYPERLINK("https://www.elempleo.com/co/ofertas-trabajo/analista-de-aduana-digitador-opencomex-santa-marta-1886762869", "Ver Vacante")</f>
        <v/>
      </c>
      <c r="H135" s="6" t="inlineStr"/>
      <c r="I135" s="3" t="inlineStr">
        <is>
          <t>[Afinidad: 58/100 - Afinidad Moderada] Afinidad moderada en áreas técnicas del cargo (Auxiliar Administrativo / Asistente Virtual). Modalidad: 100% Remoto en Colombia confirmado.</t>
        </is>
      </c>
      <c r="J135" s="2" t="inlineStr">
        <is>
          <t>Nueva</t>
        </is>
      </c>
      <c r="K135" s="3" t="inlineStr"/>
    </row>
    <row r="136" ht="22" customHeight="1">
      <c r="A136" s="2" t="inlineStr">
        <is>
          <t>01c7ac97b62a3626</t>
        </is>
      </c>
      <c r="B136" s="2" t="inlineStr">
        <is>
          <t>2026-09-24 16:07</t>
        </is>
      </c>
      <c r="C136" s="3" t="inlineStr">
        <is>
          <t>Auxiliar digitador(a) de contabilidad</t>
        </is>
      </c>
      <c r="D136" s="3" t="inlineStr">
        <is>
          <t>Confidencial</t>
        </is>
      </c>
      <c r="E136" s="7" t="n">
        <v>0.58</v>
      </c>
      <c r="F136" s="2" t="inlineStr">
        <is>
          <t>Remoto</t>
        </is>
      </c>
      <c r="G136" s="5">
        <f>HYPERLINK("https://www.elempleo.com/co/ofertas-trabajo/auxiliar-digitadora-de-contabilidad-1886761791", "Ver Vacante")</f>
        <v/>
      </c>
      <c r="H136" s="6" t="inlineStr"/>
      <c r="I136" s="3" t="inlineStr">
        <is>
          <t>[Afinidad: 58/100 - Afinidad Moderada] Afinidad moderada en áreas técnicas del cargo (Auxiliar Administrativo / Asistente Virtual). Modalidad: 100% Remoto en Colombia confirmado.</t>
        </is>
      </c>
      <c r="J136" s="2" t="inlineStr">
        <is>
          <t>Nueva</t>
        </is>
      </c>
      <c r="K136" s="3" t="inlineStr"/>
    </row>
    <row r="137" ht="22" customHeight="1">
      <c r="A137" s="2" t="inlineStr">
        <is>
          <t>2fc59d447ad455e1</t>
        </is>
      </c>
      <c r="B137" s="2" t="inlineStr">
        <is>
          <t>2026-09-24 16:07</t>
        </is>
      </c>
      <c r="C137" s="3" t="inlineStr">
        <is>
          <t>Digitador comercial interno</t>
        </is>
      </c>
      <c r="D137" s="3" t="inlineStr">
        <is>
          <t>TEMPORIZAR SERVICIOS TEMPORALES SAS</t>
        </is>
      </c>
      <c r="E137" s="7" t="n">
        <v>0.58</v>
      </c>
      <c r="F137" s="2" t="inlineStr">
        <is>
          <t>Remoto</t>
        </is>
      </c>
      <c r="G137" s="5">
        <f>HYPERLINK("https://www.elempleo.com/co/ofertas-trabajo/digitador-comercial-interno-1886746080", "Ver Vacante")</f>
        <v/>
      </c>
      <c r="H137" s="6" t="inlineStr"/>
      <c r="I137" s="3" t="inlineStr">
        <is>
          <t>[Afinidad: 58/100 - Afinidad Moderada] Afinidad moderada en áreas técnicas del cargo (Auxiliar Administrativo / Asistente Virtual). Modalidad: 100% Remoto en Colombia confirmado.</t>
        </is>
      </c>
      <c r="J137" s="2" t="inlineStr">
        <is>
          <t>Nueva</t>
        </is>
      </c>
      <c r="K137" s="3" t="inlineStr"/>
    </row>
    <row r="138" ht="22" customHeight="1">
      <c r="A138" s="2" t="inlineStr">
        <is>
          <t>e58059d4e095bd7a</t>
        </is>
      </c>
      <c r="B138" s="2" t="inlineStr">
        <is>
          <t>2026-09-24 16:07</t>
        </is>
      </c>
      <c r="C138" s="3" t="inlineStr">
        <is>
          <t>Apoyo facturación - palmira</t>
        </is>
      </c>
      <c r="D138" s="3" t="inlineStr">
        <is>
          <t>ALQUERIA</t>
        </is>
      </c>
      <c r="E138" s="7" t="n">
        <v>0.58</v>
      </c>
      <c r="F138" s="2" t="inlineStr">
        <is>
          <t>Remoto</t>
        </is>
      </c>
      <c r="G138" s="5">
        <f>HYPERLINK("https://www.elempleo.com/co/ofertas-trabajo/apoyo-facturacion-palmira-1886758686", "Ver Vacante")</f>
        <v/>
      </c>
      <c r="H138" s="6" t="inlineStr"/>
      <c r="I138" s="3" t="inlineStr">
        <is>
          <t>[Afinidad: 58/100 - Afinidad Moderada] Alta coincidencia técnica en Herramientas Ofimáticas, Excel y Soporte Contable / Facturación. Modalidad: 100% Remoto en Colombia confirmado.</t>
        </is>
      </c>
      <c r="J138" s="2" t="inlineStr">
        <is>
          <t>Nueva</t>
        </is>
      </c>
      <c r="K138" s="3" t="inlineStr"/>
    </row>
    <row r="139" ht="22" customHeight="1">
      <c r="A139" s="2" t="inlineStr">
        <is>
          <t>62e7c31c63a388da</t>
        </is>
      </c>
      <c r="B139" s="2" t="inlineStr">
        <is>
          <t>2026-09-24 16:07</t>
        </is>
      </c>
      <c r="C139" s="3" t="inlineStr">
        <is>
          <t>Recepcion y facturacion de laboratorio clínico</t>
        </is>
      </c>
      <c r="D139" s="3" t="inlineStr">
        <is>
          <t>Fundación Santa Fe de Bogotá</t>
        </is>
      </c>
      <c r="E139" s="7" t="n">
        <v>0.58</v>
      </c>
      <c r="F139" s="2" t="inlineStr">
        <is>
          <t>Remoto</t>
        </is>
      </c>
      <c r="G139" s="5">
        <f>HYPERLINK("https://www.elempleo.com/co/ofertas-trabajo/recepcion-y-facturacion-de-laboratorio-clinico-1886761193", "Ver Vacante")</f>
        <v/>
      </c>
      <c r="H139" s="6" t="inlineStr"/>
      <c r="I139" s="3" t="inlineStr">
        <is>
          <t>[Afinidad: 58/100 - Afinidad Moderada] Alta coincidencia técnica en Herramientas Ofimáticas, Excel y Soporte Contable / Facturación. Modalidad: 100% Remoto en Colombia confirmado.</t>
        </is>
      </c>
      <c r="J139" s="2" t="inlineStr">
        <is>
          <t>Nueva</t>
        </is>
      </c>
      <c r="K139" s="3" t="inlineStr"/>
    </row>
    <row r="140" ht="22" customHeight="1">
      <c r="A140" s="2" t="inlineStr">
        <is>
          <t>6eafefaa9d4e76e6</t>
        </is>
      </c>
      <c r="B140" s="2" t="inlineStr">
        <is>
          <t>2026-09-24 16:07</t>
        </is>
      </c>
      <c r="C140" s="3" t="inlineStr">
        <is>
          <t>Recepcionista facturación en laboratorio clínico</t>
        </is>
      </c>
      <c r="D140" s="3" t="inlineStr">
        <is>
          <t>Fundación Santa Fe de Bogotá</t>
        </is>
      </c>
      <c r="E140" s="7" t="n">
        <v>0.58</v>
      </c>
      <c r="F140" s="2" t="inlineStr">
        <is>
          <t>Remoto</t>
        </is>
      </c>
      <c r="G140" s="5">
        <f>HYPERLINK("https://www.elempleo.com/co/ofertas-trabajo/recepcionista-facturacion-en-laboratorio-clinico-1886753959", "Ver Vacante")</f>
        <v/>
      </c>
      <c r="H140" s="6" t="inlineStr"/>
      <c r="I140" s="3" t="inlineStr">
        <is>
          <t>[Afinidad: 58/100 - Afinidad Moderada] Alta coincidencia técnica en Herramientas Ofimáticas, Excel y Soporte Contable / Facturación. Modalidad: 100% Remoto en Colombia confirmado.</t>
        </is>
      </c>
      <c r="J140" s="2" t="inlineStr">
        <is>
          <t>Nueva</t>
        </is>
      </c>
      <c r="K140" s="3" t="inlineStr"/>
    </row>
    <row r="141" ht="22" customHeight="1">
      <c r="A141" s="2" t="inlineStr">
        <is>
          <t>1ac2af8aa1b80d19</t>
        </is>
      </c>
      <c r="B141" s="2" t="inlineStr">
        <is>
          <t>2026-09-24 16:07</t>
        </is>
      </c>
      <c r="C141" s="3" t="inlineStr">
        <is>
          <t>Recepcionista facturación en laboratorio clínico</t>
        </is>
      </c>
      <c r="D141" s="3" t="inlineStr">
        <is>
          <t>Fundación Santa Fe de Bogotá</t>
        </is>
      </c>
      <c r="E141" s="7" t="n">
        <v>0.58</v>
      </c>
      <c r="F141" s="2" t="inlineStr">
        <is>
          <t>Remoto</t>
        </is>
      </c>
      <c r="G141" s="5">
        <f>HYPERLINK("https://www.elempleo.com/co/ofertas-trabajo/recepcionista-facturacion-en-laboratorio-clinico-1886746927", "Ver Vacante")</f>
        <v/>
      </c>
      <c r="H141" s="6" t="inlineStr"/>
      <c r="I141" s="3" t="inlineStr">
        <is>
          <t>[Afinidad: 58/100 - Afinidad Moderada] Alta coincidencia técnica en Herramientas Ofimáticas, Excel y Soporte Contable / Facturación. Modalidad: 100% Remoto en Colombia confirmado.</t>
        </is>
      </c>
      <c r="J141" s="2" t="inlineStr">
        <is>
          <t>Nueva</t>
        </is>
      </c>
      <c r="K141" s="3" t="inlineStr"/>
    </row>
    <row r="142" ht="22" customHeight="1">
      <c r="A142" s="2" t="inlineStr">
        <is>
          <t>5fb21eaeba4e417d</t>
        </is>
      </c>
      <c r="B142" s="2" t="inlineStr">
        <is>
          <t>2026-09-24 16:07</t>
        </is>
      </c>
      <c r="C142" s="3" t="inlineStr">
        <is>
          <t>Gestor de Facturación e Ingresos // Remoto</t>
        </is>
      </c>
      <c r="D142" s="3" t="inlineStr">
        <is>
          <t>Siigo</t>
        </is>
      </c>
      <c r="E142" s="7" t="n">
        <v>0.58</v>
      </c>
      <c r="F142" s="2" t="inlineStr">
        <is>
          <t>Remoto</t>
        </is>
      </c>
      <c r="G142" s="5">
        <f>HYPERLINK("https://co.linkedin.com/jobs/view/gestor-de-facturaci%C3%B3n-e-ingresos-remoto-pcd-at-siigo-4463333674", "Ver Vacante")</f>
        <v/>
      </c>
      <c r="H142" s="6" t="inlineStr"/>
      <c r="I142" s="3" t="inlineStr">
        <is>
          <t>[Afinidad: 58/100 - Afinidad Moderada] Alta coincidencia técnica en Herramientas Ofimáticas, Excel y Soporte Contable / Facturación. Modalidad: 100% Remoto en Colombia confirmado.</t>
        </is>
      </c>
      <c r="J142" s="2" t="inlineStr">
        <is>
          <t>Nueva</t>
        </is>
      </c>
      <c r="K142" s="3" t="inlineStr"/>
    </row>
    <row r="143" ht="22" customHeight="1">
      <c r="A143" s="2" t="inlineStr">
        <is>
          <t>acc279cbcc202e8c</t>
        </is>
      </c>
      <c r="B143" s="2" t="inlineStr">
        <is>
          <t>2026-09-24 16:07</t>
        </is>
      </c>
      <c r="C143" s="3" t="inlineStr">
        <is>
          <t>Data Entry Clerk</t>
        </is>
      </c>
      <c r="D143" s="3" t="inlineStr">
        <is>
          <t>Hired</t>
        </is>
      </c>
      <c r="E143" s="7" t="n">
        <v>0.58</v>
      </c>
      <c r="F143" s="2" t="inlineStr">
        <is>
          <t>Remoto</t>
        </is>
      </c>
      <c r="G143" s="5">
        <f>HYPERLINK("https://co.linkedin.com/jobs/view/data-entry-clerk-remote-at-hired-4466319108", "Ver Vacante")</f>
        <v/>
      </c>
      <c r="H143" s="6" t="inlineStr"/>
      <c r="I143" s="3" t="inlineStr">
        <is>
          <t>[Afinidad: 58/100 - Afinidad Moderada] Afinidad moderada en áreas técnicas del cargo (Auxiliar Administrativo / Asistente Virtual). Modalidad: 100% Remoto en Colombia confirmado.</t>
        </is>
      </c>
      <c r="J143" s="2" t="inlineStr">
        <is>
          <t>Nueva</t>
        </is>
      </c>
      <c r="K143" s="3" t="inlineStr"/>
    </row>
    <row r="144" ht="22" customHeight="1">
      <c r="A144" s="2" t="inlineStr">
        <is>
          <t>c9df64f69713d9c3</t>
        </is>
      </c>
      <c r="B144" s="2" t="inlineStr">
        <is>
          <t>2026-09-24 16:07</t>
        </is>
      </c>
      <c r="C144" s="3" t="inlineStr">
        <is>
          <t>Client Intake and Data Entry Specialist</t>
        </is>
      </c>
      <c r="D144" s="3" t="inlineStr">
        <is>
          <t>Job Duck</t>
        </is>
      </c>
      <c r="E144" s="7" t="n">
        <v>0.58</v>
      </c>
      <c r="F144" s="2" t="inlineStr">
        <is>
          <t>Remoto</t>
        </is>
      </c>
      <c r="G144" s="5">
        <f>HYPERLINK("https://co.linkedin.com/jobs/view/client-intake-and-data-entry-specialist-at-job-duck-4469179215", "Ver Vacante")</f>
        <v/>
      </c>
      <c r="H144" s="6" t="inlineStr"/>
      <c r="I144" s="3" t="inlineStr">
        <is>
          <t>[Afinidad: 58/100 - Afinidad Moderada] Afinidad moderada en áreas técnicas del cargo (Auxiliar Administrativo / Asistente Virtual). Modalidad: 100% Remoto en Colombia confirmado.</t>
        </is>
      </c>
      <c r="J144" s="2" t="inlineStr">
        <is>
          <t>Nueva</t>
        </is>
      </c>
      <c r="K144" s="3" t="inlineStr"/>
    </row>
    <row r="145" ht="22" customHeight="1">
      <c r="A145" s="2" t="inlineStr">
        <is>
          <t>bfd4f2e4c8eb51d6</t>
        </is>
      </c>
      <c r="B145" s="2" t="inlineStr">
        <is>
          <t>2026-09-24 16:07</t>
        </is>
      </c>
      <c r="C145" s="3" t="inlineStr">
        <is>
          <t>Data Entry Specialist - Remote Work | REF#169097</t>
        </is>
      </c>
      <c r="D145" s="3" t="inlineStr">
        <is>
          <t>BairesDev</t>
        </is>
      </c>
      <c r="E145" s="7" t="n">
        <v>0.58</v>
      </c>
      <c r="F145" s="2" t="inlineStr">
        <is>
          <t>Remoto</t>
        </is>
      </c>
      <c r="G145" s="5">
        <f>HYPERLINK("https://co.linkedin.com/jobs/view/data-entry-specialist-remote-work-ref%23169097-at-bairesdev-4140196697", "Ver Vacante")</f>
        <v/>
      </c>
      <c r="H145" s="6" t="inlineStr"/>
      <c r="I145" s="3" t="inlineStr">
        <is>
          <t>[Afinidad: 58/100 - Afinidad Moderada] Afinidad moderada en áreas técnicas del cargo (Auxiliar Administrativo / Asistente Virtual). Modalidad: 100% Remoto en Colombia confirmado.</t>
        </is>
      </c>
      <c r="J145" s="2" t="inlineStr">
        <is>
          <t>Nueva</t>
        </is>
      </c>
      <c r="K145" s="3" t="inlineStr"/>
    </row>
    <row r="146" ht="22" customHeight="1">
      <c r="A146" s="2" t="inlineStr">
        <is>
          <t>f71b85e853980a5b</t>
        </is>
      </c>
      <c r="B146" s="2" t="inlineStr">
        <is>
          <t>2026-09-24 16:07</t>
        </is>
      </c>
      <c r="C146" s="3" t="inlineStr">
        <is>
          <t>Data Entry Specialist</t>
        </is>
      </c>
      <c r="D146" s="3" t="inlineStr">
        <is>
          <t>Booth</t>
        </is>
      </c>
      <c r="E146" s="7" t="n">
        <v>0.58</v>
      </c>
      <c r="F146" s="2" t="inlineStr">
        <is>
          <t>Remoto</t>
        </is>
      </c>
      <c r="G146" s="5">
        <f>HYPERLINK("https://co.linkedin.com/jobs/view/data-entry-specialist-at-booth-4468950013", "Ver Vacante")</f>
        <v/>
      </c>
      <c r="H146" s="6" t="inlineStr"/>
      <c r="I146" s="3" t="inlineStr">
        <is>
          <t>[Afinidad: 58/100 - Afinidad Moderada] Afinidad moderada en áreas técnicas del cargo (Auxiliar Administrativo / Asistente Virtual). Modalidad: 100% Remoto en Colombia confirmado.</t>
        </is>
      </c>
      <c r="J146" s="2" t="inlineStr">
        <is>
          <t>Nueva</t>
        </is>
      </c>
      <c r="K146" s="3" t="inlineStr"/>
    </row>
    <row r="147" ht="22" customHeight="1">
      <c r="A147" s="2" t="inlineStr">
        <is>
          <t>b124540f32e77f79</t>
        </is>
      </c>
      <c r="B147" s="2" t="inlineStr">
        <is>
          <t>2026-09-24 16:07</t>
        </is>
      </c>
      <c r="C147" s="3" t="inlineStr">
        <is>
          <t>Digitador</t>
        </is>
      </c>
      <c r="D147" s="3" t="inlineStr">
        <is>
          <t>Iron Mountain</t>
        </is>
      </c>
      <c r="E147" s="7" t="n">
        <v>0.58</v>
      </c>
      <c r="F147" s="2" t="inlineStr">
        <is>
          <t>Remoto</t>
        </is>
      </c>
      <c r="G147" s="5">
        <f>HYPERLINK("https://co.linkedin.com/jobs/view/digitador-at-iron-mountain-4468884742", "Ver Vacante")</f>
        <v/>
      </c>
      <c r="H147" s="6" t="inlineStr"/>
      <c r="I147" s="3" t="inlineStr">
        <is>
          <t>[Afinidad: 58/100 - Afinidad Moderada] Afinidad moderada en áreas técnicas del cargo (Auxiliar Administrativo / Asistente Virtual). Modalidad: 100% Remoto en Colombia confirmado.</t>
        </is>
      </c>
      <c r="J147" s="2" t="inlineStr">
        <is>
          <t>Nueva</t>
        </is>
      </c>
      <c r="K147" s="3" t="inlineStr"/>
    </row>
    <row r="148" ht="22" customHeight="1">
      <c r="A148" s="2" t="inlineStr">
        <is>
          <t>648f264595161cd7</t>
        </is>
      </c>
      <c r="B148" s="2" t="inlineStr">
        <is>
          <t>2026-09-24 16:07</t>
        </is>
      </c>
      <c r="C148" s="3" t="inlineStr">
        <is>
          <t>Auxiliar Administrativa de Vicepresidencia Bilingüe</t>
        </is>
      </c>
      <c r="D148" s="3" t="inlineStr">
        <is>
          <t>Adecco</t>
        </is>
      </c>
      <c r="E148" s="7" t="n">
        <v>0.58</v>
      </c>
      <c r="F148" s="2" t="inlineStr">
        <is>
          <t>Remoto</t>
        </is>
      </c>
      <c r="G148" s="5">
        <f>HYPERLINK("https://co.linkedin.com/jobs/view/auxiliar-administrativa-de-vicepresidencia-biling%C3%BCe-at-adecco-4469224990", "Ver Vacante")</f>
        <v/>
      </c>
      <c r="H148" s="6" t="inlineStr"/>
      <c r="I148" s="3" t="inlineStr">
        <is>
          <t>[Afinidad: 58/100 - Afinidad Moderada] Afinidad moderada en áreas técnicas del cargo (Auxiliar Administrativo / Asistente Virtual). Modalidad: 100% Remoto en Colombia confirmado.</t>
        </is>
      </c>
      <c r="J148" s="2" t="inlineStr">
        <is>
          <t>Nueva</t>
        </is>
      </c>
      <c r="K148" s="3" t="inlineStr"/>
    </row>
    <row r="149" ht="22" customHeight="1">
      <c r="A149" s="2" t="inlineStr">
        <is>
          <t>eb90ed56020b1176</t>
        </is>
      </c>
      <c r="B149" s="2" t="inlineStr">
        <is>
          <t>2026-09-24 16:07</t>
        </is>
      </c>
      <c r="C149" s="3" t="inlineStr">
        <is>
          <t>Inside Sales Contractor</t>
        </is>
      </c>
      <c r="D149" s="3" t="inlineStr">
        <is>
          <t>Credit Wellness, LLC</t>
        </is>
      </c>
      <c r="E149" s="7" t="n">
        <v>0.58</v>
      </c>
      <c r="F149" s="2" t="inlineStr">
        <is>
          <t>Remoto</t>
        </is>
      </c>
      <c r="G149" s="5">
        <f>HYPERLINK("https://remotive.com/remote-jobs/sales/inside-sales-contractor-2086540", "Ver Vacante")</f>
        <v/>
      </c>
      <c r="H149" s="6" t="inlineStr">
        <is>
          <t>OTE $25k - $35k</t>
        </is>
      </c>
      <c r="I149" s="3" t="inlineStr">
        <is>
          <t>[Afinidad: 58/100 - Afinidad Moderada] Alta coincidencia técnica en Herramientas Ofimáticas, Excel y Soporte Contable / Facturación. Modalidad: 100% Remoto en Colombia confirmado.</t>
        </is>
      </c>
      <c r="J149" s="2" t="inlineStr">
        <is>
          <t>Nueva</t>
        </is>
      </c>
      <c r="K149" s="3" t="inlineStr"/>
    </row>
    <row r="150" ht="22" customHeight="1">
      <c r="A150" s="2" t="inlineStr">
        <is>
          <t>ebabcd51596d0d3b</t>
        </is>
      </c>
      <c r="B150" s="2" t="inlineStr">
        <is>
          <t>2026-09-25 15:56</t>
        </is>
      </c>
      <c r="C150" s="3" t="inlineStr">
        <is>
          <t>Auxiliar contable y administrativo</t>
        </is>
      </c>
      <c r="D150" s="3" t="inlineStr">
        <is>
          <t>ACTIVE ACCOUNTING GROUP</t>
        </is>
      </c>
      <c r="E150" s="7" t="n">
        <v>0.58</v>
      </c>
      <c r="F150" s="2" t="inlineStr">
        <is>
          <t>Remoto</t>
        </is>
      </c>
      <c r="G150" s="5">
        <f>HYPERLINK("https://co.computrabajo.com/ofertas-de-trabajo/oferta-de-trabajo-de-auxiliar-contable-y-administrativo-con-experiencia-en-el-santuario-C71D6812AE6D474061373E686DCF3405", "Ver Vacante")</f>
        <v/>
      </c>
      <c r="H150" s="6" t="inlineStr">
        <is>
          <t>$ 1.750.905,00 (Mensual)</t>
        </is>
      </c>
      <c r="I150" s="3" t="inlineStr">
        <is>
          <t>[Afinidad: 58/100 - Afinidad Moderada] Afinidad moderada en áreas técnicas del cargo (Auxiliar Administrativo / Asistente Virtual). Modalidad: 100% Remoto en Colombia confirmado.</t>
        </is>
      </c>
      <c r="J150" s="2" t="inlineStr">
        <is>
          <t>Nueva</t>
        </is>
      </c>
      <c r="K150" s="3" t="inlineStr"/>
    </row>
    <row r="151" ht="22" customHeight="1">
      <c r="A151" s="2" t="inlineStr">
        <is>
          <t>e12bdf1aa280de03</t>
        </is>
      </c>
      <c r="B151" s="2" t="inlineStr">
        <is>
          <t>2026-09-25 15:56</t>
        </is>
      </c>
      <c r="C151" s="3" t="inlineStr">
        <is>
          <t>Auxiliar administrativo</t>
        </is>
      </c>
      <c r="D151" s="3" t="inlineStr">
        <is>
          <t>Confidencial</t>
        </is>
      </c>
      <c r="E151" s="7" t="n">
        <v>0.58</v>
      </c>
      <c r="F151" s="2" t="inlineStr">
        <is>
          <t>Remoto</t>
        </is>
      </c>
      <c r="G151" s="5">
        <f>HYPERLINK("https://www.elempleo.com/co/ofertas-trabajo/auxiliar-administrativoa-1886768459", "Ver Vacante")</f>
        <v/>
      </c>
      <c r="H151" s="6" t="inlineStr"/>
      <c r="I151" s="3" t="inlineStr">
        <is>
          <t>[Afinidad: 58/100 - Afinidad Moderada] Afinidad moderada en áreas técnicas del cargo (Auxiliar Administrativo / Asistente Virtual). Modalidad: 100% Remoto en Colombia confirmado.</t>
        </is>
      </c>
      <c r="J151" s="2" t="inlineStr">
        <is>
          <t>Nueva</t>
        </is>
      </c>
      <c r="K151" s="3" t="inlineStr"/>
    </row>
    <row r="152" ht="22" customHeight="1">
      <c r="A152" s="2" t="inlineStr">
        <is>
          <t>b1fccbf6d15bddc2</t>
        </is>
      </c>
      <c r="B152" s="2" t="inlineStr">
        <is>
          <t>2026-09-25 15:56</t>
        </is>
      </c>
      <c r="C152" s="3" t="inlineStr">
        <is>
          <t>Asistente administrativa</t>
        </is>
      </c>
      <c r="D152" s="3" t="inlineStr">
        <is>
          <t>Dra Lina Bedoya Odontologia Estetica</t>
        </is>
      </c>
      <c r="E152" s="7" t="n">
        <v>0.58</v>
      </c>
      <c r="F152" s="2" t="inlineStr">
        <is>
          <t>Remoto</t>
        </is>
      </c>
      <c r="G152" s="5">
        <f>HYPERLINK("https://www.elempleo.com/co/ofertas-trabajo/asistente-administrativa-1886766293", "Ver Vacante")</f>
        <v/>
      </c>
      <c r="H152" s="6" t="inlineStr"/>
      <c r="I152" s="3" t="inlineStr">
        <is>
          <t>[Afinidad: 58/100 - Afinidad Moderada] Afinidad moderada en áreas técnicas del cargo (Auxiliar Administrativo / Asistente Virtual). Modalidad: 100% Remoto en Colombia confirmado.</t>
        </is>
      </c>
      <c r="J152" s="2" t="inlineStr">
        <is>
          <t>Nueva</t>
        </is>
      </c>
      <c r="K152" s="3" t="inlineStr"/>
    </row>
    <row r="153" ht="22" customHeight="1">
      <c r="A153" s="2" t="inlineStr">
        <is>
          <t>db6a52513ae159ab</t>
        </is>
      </c>
      <c r="B153" s="2" t="inlineStr">
        <is>
          <t>2026-09-25 15:56</t>
        </is>
      </c>
      <c r="C153" s="3" t="inlineStr">
        <is>
          <t>Auxiliar contable - sap - bogota</t>
        </is>
      </c>
      <c r="D153" s="3" t="inlineStr">
        <is>
          <t>ADECCO COLOMBIA S A</t>
        </is>
      </c>
      <c r="E153" s="7" t="n">
        <v>0.58</v>
      </c>
      <c r="F153" s="2" t="inlineStr">
        <is>
          <t>Remoto</t>
        </is>
      </c>
      <c r="G153" s="5">
        <f>HYPERLINK("https://www.elempleo.com/co/ofertas-trabajo/auxiliar-contable-sap-bogota-1886767591", "Ver Vacante")</f>
        <v/>
      </c>
      <c r="H153" s="6" t="inlineStr"/>
      <c r="I153" s="3" t="inlineStr">
        <is>
          <t>[Afinidad: 58/100 - Afinidad Moderada] Afinidad moderada en áreas técnicas del cargo (Auxiliar Administrativo / Asistente Virtual). Modalidad: 100% Remoto en Colombia confirmado.</t>
        </is>
      </c>
      <c r="J153" s="2" t="inlineStr">
        <is>
          <t>Nueva</t>
        </is>
      </c>
      <c r="K153" s="3" t="inlineStr"/>
    </row>
    <row r="154" ht="22" customHeight="1">
      <c r="A154" s="2" t="inlineStr">
        <is>
          <t>ae9358eb43bb2f5b</t>
        </is>
      </c>
      <c r="B154" s="2" t="inlineStr">
        <is>
          <t>2026-09-25 15:56</t>
        </is>
      </c>
      <c r="C154" s="3" t="inlineStr">
        <is>
          <t>Auxiliar contable - sap - bogota</t>
        </is>
      </c>
      <c r="D154" s="3" t="inlineStr">
        <is>
          <t>ADECCO COLOMBIA S A</t>
        </is>
      </c>
      <c r="E154" s="7" t="n">
        <v>0.58</v>
      </c>
      <c r="F154" s="2" t="inlineStr">
        <is>
          <t>Remoto</t>
        </is>
      </c>
      <c r="G154" s="5">
        <f>HYPERLINK("https://www.elempleo.com/co/ofertas-trabajo/auxiliar-contable-sap-bogota-1886767165", "Ver Vacante")</f>
        <v/>
      </c>
      <c r="H154" s="6" t="inlineStr"/>
      <c r="I154" s="3" t="inlineStr">
        <is>
          <t>[Afinidad: 58/100 - Afinidad Moderada] Afinidad moderada en áreas técnicas del cargo (Auxiliar Administrativo / Asistente Virtual). Modalidad: 100% Remoto en Colombia confirmado.</t>
        </is>
      </c>
      <c r="J154" s="2" t="inlineStr">
        <is>
          <t>Nueva</t>
        </is>
      </c>
      <c r="K154" s="3" t="inlineStr"/>
    </row>
    <row r="155" ht="22" customHeight="1">
      <c r="A155" s="2" t="inlineStr">
        <is>
          <t>daa8b5315dfb38c2</t>
        </is>
      </c>
      <c r="B155" s="2" t="inlineStr">
        <is>
          <t>2026-09-25 15:56</t>
        </is>
      </c>
      <c r="C155" s="3" t="inlineStr">
        <is>
          <t>Auxiliar contable - sap - bogota</t>
        </is>
      </c>
      <c r="D155" s="3" t="inlineStr">
        <is>
          <t>ADECCO COLOMBIA S A</t>
        </is>
      </c>
      <c r="E155" s="7" t="n">
        <v>0.58</v>
      </c>
      <c r="F155" s="2" t="inlineStr">
        <is>
          <t>Remoto</t>
        </is>
      </c>
      <c r="G155" s="5">
        <f>HYPERLINK("https://www.elempleo.com/co/ofertas-trabajo/auxiliar-contable-sap-bogota-1886767164", "Ver Vacante")</f>
        <v/>
      </c>
      <c r="H155" s="6" t="inlineStr"/>
      <c r="I155" s="3" t="inlineStr">
        <is>
          <t>[Afinidad: 58/100 - Afinidad Moderada] Afinidad moderada en áreas técnicas del cargo (Auxiliar Administrativo / Asistente Virtual). Modalidad: 100% Remoto en Colombia confirmado.</t>
        </is>
      </c>
      <c r="J155" s="2" t="inlineStr">
        <is>
          <t>Nueva</t>
        </is>
      </c>
      <c r="K155" s="3" t="inlineStr"/>
    </row>
    <row r="156" ht="22" customHeight="1">
      <c r="A156" s="2" t="inlineStr">
        <is>
          <t>2d35aa26ef7d8409</t>
        </is>
      </c>
      <c r="B156" s="2" t="inlineStr">
        <is>
          <t>2026-09-25 15:56</t>
        </is>
      </c>
      <c r="C156" s="3" t="inlineStr">
        <is>
          <t>Almacenista digitador</t>
        </is>
      </c>
      <c r="D156" s="3" t="inlineStr">
        <is>
          <t>Confidencial</t>
        </is>
      </c>
      <c r="E156" s="7" t="n">
        <v>0.58</v>
      </c>
      <c r="F156" s="2" t="inlineStr">
        <is>
          <t>Remoto</t>
        </is>
      </c>
      <c r="G156" s="5">
        <f>HYPERLINK("https://www.elempleo.com/co/ofertas-trabajo/almacenista-digitador-1886754273", "Ver Vacante")</f>
        <v/>
      </c>
      <c r="H156" s="6" t="inlineStr"/>
      <c r="I156" s="3" t="inlineStr">
        <is>
          <t>[Afinidad: 58/100 - Afinidad Moderada] Afinidad moderada en áreas técnicas del cargo (Auxiliar Administrativo / Asistente Virtual). Modalidad: 100% Remoto en Colombia confirmado.</t>
        </is>
      </c>
      <c r="J156" s="2" t="inlineStr">
        <is>
          <t>Nueva</t>
        </is>
      </c>
      <c r="K156" s="3" t="inlineStr"/>
    </row>
    <row r="157" ht="22" customHeight="1">
      <c r="A157" s="2" t="inlineStr">
        <is>
          <t>a36cc8c2293d75bb</t>
        </is>
      </c>
      <c r="B157" s="2" t="inlineStr">
        <is>
          <t>2026-09-25 15:56</t>
        </is>
      </c>
      <c r="C157" s="3" t="inlineStr">
        <is>
          <t>Aux de facturacion - personas con discapacidad - bogota</t>
        </is>
      </c>
      <c r="D157" s="3" t="inlineStr">
        <is>
          <t>Quirón Prevención Colombia S.A.S</t>
        </is>
      </c>
      <c r="E157" s="7" t="n">
        <v>0.58</v>
      </c>
      <c r="F157" s="2" t="inlineStr">
        <is>
          <t>Remoto</t>
        </is>
      </c>
      <c r="G157" s="5">
        <f>HYPERLINK("https://www.elempleo.com/co/ofertas-trabajo/aux-de-facturacion-personas-con-discapacidad-bogota-1886768842", "Ver Vacante")</f>
        <v/>
      </c>
      <c r="H157" s="6" t="inlineStr"/>
      <c r="I157" s="3" t="inlineStr">
        <is>
          <t>[Afinidad: 58/100 - Afinidad Moderada] Alta coincidencia técnica en Herramientas Ofimáticas, Excel y Soporte Contable / Facturación. Modalidad: 100% Remoto en Colombia confirmado.</t>
        </is>
      </c>
      <c r="J157" s="2" t="inlineStr">
        <is>
          <t>Nueva</t>
        </is>
      </c>
      <c r="K157" s="3" t="inlineStr"/>
    </row>
    <row r="158" ht="22" customHeight="1">
      <c r="A158" s="2" t="inlineStr">
        <is>
          <t>e482852a389226cd</t>
        </is>
      </c>
      <c r="B158" s="2" t="inlineStr">
        <is>
          <t>2026-09-25 15:56</t>
        </is>
      </c>
      <c r="C158" s="3" t="inlineStr">
        <is>
          <t>Ejecutivo de cuenta / facturación electrónica</t>
        </is>
      </c>
      <c r="D158" s="3" t="inlineStr">
        <is>
          <t>Confidencial</t>
        </is>
      </c>
      <c r="E158" s="7" t="n">
        <v>0.58</v>
      </c>
      <c r="F158" s="2" t="inlineStr">
        <is>
          <t>Remoto</t>
        </is>
      </c>
      <c r="G158" s="5">
        <f>HYPERLINK("https://www.elempleo.com/co/ofertas-trabajo/ejecutivo-de-cuenta-facturacion-electronica-1886754585", "Ver Vacante")</f>
        <v/>
      </c>
      <c r="H158" s="6" t="inlineStr"/>
      <c r="I158" s="3" t="inlineStr">
        <is>
          <t>[Afinidad: 58/100 - Afinidad Moderada] Alta coincidencia técnica en Herramientas Ofimáticas, Excel y Soporte Contable / Facturación. Modalidad: 100% Remoto en Colombia confirmado.</t>
        </is>
      </c>
      <c r="J158" s="2" t="inlineStr">
        <is>
          <t>Nueva</t>
        </is>
      </c>
      <c r="K158" s="3" t="inlineStr"/>
    </row>
    <row r="159" ht="22" customHeight="1">
      <c r="A159" s="2" t="inlineStr">
        <is>
          <t>0dfab7dcd9959d45</t>
        </is>
      </c>
      <c r="B159" s="2" t="inlineStr">
        <is>
          <t>2026-09-25 15:56</t>
        </is>
      </c>
      <c r="C159" s="3" t="inlineStr">
        <is>
          <t>Recepcion y facturacion de laboratorio clínico</t>
        </is>
      </c>
      <c r="D159" s="3" t="inlineStr">
        <is>
          <t>Fundación Santa Fe de Bogotá</t>
        </is>
      </c>
      <c r="E159" s="7" t="n">
        <v>0.58</v>
      </c>
      <c r="F159" s="2" t="inlineStr">
        <is>
          <t>Remoto</t>
        </is>
      </c>
      <c r="G159" s="5">
        <f>HYPERLINK("https://www.elempleo.com/co/ofertas-trabajo/recepcion-y-facturacion-de-laboratorio-clinico-1886771931", "Ver Vacante")</f>
        <v/>
      </c>
      <c r="H159" s="6" t="inlineStr"/>
      <c r="I159" s="3" t="inlineStr">
        <is>
          <t>[Afinidad: 58/100 - Afinidad Moderada] Alta coincidencia técnica en Herramientas Ofimáticas, Excel y Soporte Contable / Facturación. Modalidad: 100% Remoto en Colombia confirmado.</t>
        </is>
      </c>
      <c r="J159" s="2" t="inlineStr">
        <is>
          <t>Nueva</t>
        </is>
      </c>
      <c r="K159" s="3" t="inlineStr"/>
    </row>
    <row r="160" ht="22" customHeight="1">
      <c r="A160" s="2" t="inlineStr">
        <is>
          <t>f89540ec077787b1</t>
        </is>
      </c>
      <c r="B160" s="2" t="inlineStr">
        <is>
          <t>2026-09-26 15:05</t>
        </is>
      </c>
      <c r="C160" s="3" t="inlineStr">
        <is>
          <t>Auxiliar administrativo</t>
        </is>
      </c>
      <c r="D160" s="3" t="inlineStr">
        <is>
          <t>FUCS</t>
        </is>
      </c>
      <c r="E160" s="7" t="n">
        <v>0.58</v>
      </c>
      <c r="F160" s="2" t="inlineStr">
        <is>
          <t>Remoto</t>
        </is>
      </c>
      <c r="G160" s="5">
        <f>HYPERLINK("https://www.elempleo.com/co/ofertas-trabajo/auxiliar-administrativoa-1886772558", "Ver Vacante")</f>
        <v/>
      </c>
      <c r="H160" s="6" t="inlineStr"/>
      <c r="I160" s="3" t="inlineStr">
        <is>
          <t>[Afinidad: 58/100 - Afinidad Moderada] Afinidad moderada en áreas técnicas del cargo (Auxiliar Administrativo / Asistente Virtual). Modalidad: 100% Remoto en Colombia confirmado.</t>
        </is>
      </c>
      <c r="J160" s="2" t="inlineStr">
        <is>
          <t>Nueva</t>
        </is>
      </c>
      <c r="K160" s="3" t="inlineStr"/>
    </row>
    <row r="161" ht="22" customHeight="1">
      <c r="A161" s="2" t="inlineStr">
        <is>
          <t>abffa88133eaa978</t>
        </is>
      </c>
      <c r="B161" s="2" t="inlineStr">
        <is>
          <t>2026-09-26 15:05</t>
        </is>
      </c>
      <c r="C161" s="3" t="inlineStr">
        <is>
          <t>Almacenista digitador</t>
        </is>
      </c>
      <c r="D161" s="3" t="inlineStr">
        <is>
          <t>Confidencial</t>
        </is>
      </c>
      <c r="E161" s="7" t="n">
        <v>0.58</v>
      </c>
      <c r="F161" s="2" t="inlineStr">
        <is>
          <t>Remoto</t>
        </is>
      </c>
      <c r="G161" s="5">
        <f>HYPERLINK("https://www.elempleo.com/co/ofertas-trabajo/almacenista-digitador-1886749637", "Ver Vacante")</f>
        <v/>
      </c>
      <c r="H161" s="6" t="inlineStr"/>
      <c r="I161" s="3" t="inlineStr">
        <is>
          <t>[Afinidad: 58/100 - Afinidad Moderada] Afinidad moderada en áreas técnicas del cargo (Auxiliar Administrativo / Asistente Virtual). Modalidad: 100% Remoto en Colombia confirmado.</t>
        </is>
      </c>
      <c r="J161" s="2" t="inlineStr">
        <is>
          <t>Nueva</t>
        </is>
      </c>
      <c r="K161" s="3" t="inlineStr"/>
    </row>
    <row r="162" ht="22" customHeight="1">
      <c r="A162" s="2" t="inlineStr">
        <is>
          <t>e4ad43c355211b6e</t>
        </is>
      </c>
      <c r="B162" s="2" t="inlineStr">
        <is>
          <t>2026-09-26 15:05</t>
        </is>
      </c>
      <c r="C162" s="3" t="inlineStr">
        <is>
          <t>Aux de facturacion - personas con discapacidad - bogota</t>
        </is>
      </c>
      <c r="D162" s="3" t="inlineStr">
        <is>
          <t>Quirón Prevención Colombia S.A.S</t>
        </is>
      </c>
      <c r="E162" s="7" t="n">
        <v>0.58</v>
      </c>
      <c r="F162" s="2" t="inlineStr">
        <is>
          <t>Remoto</t>
        </is>
      </c>
      <c r="G162" s="5">
        <f>HYPERLINK("https://www.elempleo.com/co/ofertas-trabajo/aux-de-facturacion-personas-con-discapacidad-bogota-1886772337", "Ver Vacante")</f>
        <v/>
      </c>
      <c r="H162" s="6" t="inlineStr"/>
      <c r="I162" s="3" t="inlineStr">
        <is>
          <t>[Afinidad: 58/100 - Afinidad Moderada] Alta coincidencia técnica en Herramientas Ofimáticas, Excel y Soporte Contable / Facturación. Modalidad: 100% Remoto en Colombia confirmado.</t>
        </is>
      </c>
      <c r="J162" s="2" t="inlineStr">
        <is>
          <t>Nueva</t>
        </is>
      </c>
      <c r="K162" s="3" t="inlineStr"/>
    </row>
    <row r="163" ht="22" customHeight="1">
      <c r="A163" s="2" t="inlineStr">
        <is>
          <t>ebfb9e3d2b3f916c</t>
        </is>
      </c>
      <c r="B163" s="2" t="inlineStr">
        <is>
          <t>2026-09-26 15:05</t>
        </is>
      </c>
      <c r="C163" s="3" t="inlineStr">
        <is>
          <t>Recepcion y facturacion de laboratorio clínico</t>
        </is>
      </c>
      <c r="D163" s="3" t="inlineStr">
        <is>
          <t>Fundación Santa Fe de Bogotá</t>
        </is>
      </c>
      <c r="E163" s="7" t="n">
        <v>0.58</v>
      </c>
      <c r="F163" s="2" t="inlineStr">
        <is>
          <t>Remoto</t>
        </is>
      </c>
      <c r="G163" s="5">
        <f>HYPERLINK("https://www.elempleo.com/co/ofertas-trabajo/recepcion-y-facturacion-de-laboratorio-clinico-1886767371", "Ver Vacante")</f>
        <v/>
      </c>
      <c r="H163" s="6" t="inlineStr"/>
      <c r="I163" s="3" t="inlineStr">
        <is>
          <t>[Afinidad: 58/100 - Afinidad Moderada] Alta coincidencia técnica en Herramientas Ofimáticas, Excel y Soporte Contable / Facturación. Modalidad: 100% Remoto en Colombia confirmado.</t>
        </is>
      </c>
      <c r="J163" s="2" t="inlineStr">
        <is>
          <t>Nueva</t>
        </is>
      </c>
      <c r="K163" s="3" t="inlineStr"/>
    </row>
    <row r="164" ht="22" customHeight="1">
      <c r="A164" s="2" t="inlineStr">
        <is>
          <t>8478e893d783ed5e</t>
        </is>
      </c>
      <c r="B164" s="2" t="inlineStr">
        <is>
          <t>2026-09-26 15:05</t>
        </is>
      </c>
      <c r="C164" s="3" t="inlineStr">
        <is>
          <t>Recepcion y facturacion de laboratorio clinico</t>
        </is>
      </c>
      <c r="D164" s="3" t="inlineStr">
        <is>
          <t>Fundación Santa Fe de Bogotá</t>
        </is>
      </c>
      <c r="E164" s="7" t="n">
        <v>0.58</v>
      </c>
      <c r="F164" s="2" t="inlineStr">
        <is>
          <t>Remoto</t>
        </is>
      </c>
      <c r="G164" s="5">
        <f>HYPERLINK("https://www.elempleo.com/co/ofertas-trabajo/recepcion-y-facturacion-de-laboratorio-clinico-1886760903", "Ver Vacante")</f>
        <v/>
      </c>
      <c r="H164" s="6" t="inlineStr"/>
      <c r="I164" s="3" t="inlineStr">
        <is>
          <t>[Afinidad: 58/100 - Afinidad Moderada] Alta coincidencia técnica en Herramientas Ofimáticas, Excel y Soporte Contable / Facturación. Modalidad: 100% Remoto en Colombia confirmado.</t>
        </is>
      </c>
      <c r="J164" s="2" t="inlineStr">
        <is>
          <t>Nueva</t>
        </is>
      </c>
      <c r="K164" s="3" t="inlineStr"/>
    </row>
    <row r="165" ht="22" customHeight="1">
      <c r="A165" s="2" t="inlineStr">
        <is>
          <t>d45621f8599206ec</t>
        </is>
      </c>
      <c r="B165" s="2" t="inlineStr">
        <is>
          <t>2026-09-26 15:05</t>
        </is>
      </c>
      <c r="C165" s="3" t="inlineStr">
        <is>
          <t>Data Entry Specialist</t>
        </is>
      </c>
      <c r="D165" s="3" t="inlineStr">
        <is>
          <t>ZEISS Group</t>
        </is>
      </c>
      <c r="E165" s="7" t="n">
        <v>0.58</v>
      </c>
      <c r="F165" s="2" t="inlineStr">
        <is>
          <t>Remoto</t>
        </is>
      </c>
      <c r="G165" s="5">
        <f>HYPERLINK("https://co.linkedin.com/jobs/view/data-entry-specialist-at-zeiss-group-4467880077", "Ver Vacante")</f>
        <v/>
      </c>
      <c r="H165" s="6" t="inlineStr"/>
      <c r="I165" s="3" t="inlineStr">
        <is>
          <t>[Afinidad: 58/100 - Afinidad Moderada] Afinidad moderada en áreas técnicas del cargo (Auxiliar Administrativo / Asistente Virtual). Modalidad: 100% Remoto en Colombia confirmado.</t>
        </is>
      </c>
      <c r="J165" s="2" t="inlineStr">
        <is>
          <t>Nueva</t>
        </is>
      </c>
      <c r="K165" s="3" t="inlineStr"/>
    </row>
    <row r="166" ht="22" customHeight="1">
      <c r="A166" s="2" t="inlineStr">
        <is>
          <t>6051bd21daa83566</t>
        </is>
      </c>
      <c r="B166" s="2" t="inlineStr">
        <is>
          <t>2026-09-28 18:38</t>
        </is>
      </c>
      <c r="C166" s="3" t="inlineStr">
        <is>
          <t>Auxiliar contable y administrativo</t>
        </is>
      </c>
      <c r="D166" s="3" t="inlineStr">
        <is>
          <t>distrigomez seguros</t>
        </is>
      </c>
      <c r="E166" s="7" t="n">
        <v>0.58</v>
      </c>
      <c r="F166" s="2" t="inlineStr">
        <is>
          <t>Remoto</t>
        </is>
      </c>
      <c r="G166" s="5">
        <f>HYPERLINK("https://co.computrabajo.com/ofertas-de-trabajo/oferta-de-trabajo-de-auxiliar-contable-y-administrativo-trabajo-desde-casa-en-pereira-3EEDFFC0D2447F8B61373E686DCF3405", "Ver Vacante")</f>
        <v/>
      </c>
      <c r="H166" s="6" t="inlineStr">
        <is>
          <t>$ 1.750.905,00 (Mensual)</t>
        </is>
      </c>
      <c r="I166" s="3" t="inlineStr">
        <is>
          <t>[Afinidad: 58/100 - Afinidad Moderada] Afinidad moderada en áreas técnicas del cargo (Auxiliar Administrativo / Asistente Virtual). Modalidad: 100% Remoto en Colombia confirmado.</t>
        </is>
      </c>
      <c r="J166" s="2" t="inlineStr">
        <is>
          <t>Nueva</t>
        </is>
      </c>
      <c r="K166" s="3" t="inlineStr"/>
    </row>
    <row r="167" ht="22" customHeight="1">
      <c r="A167" s="2" t="inlineStr">
        <is>
          <t>1a7a81ed9e2a4160</t>
        </is>
      </c>
      <c r="B167" s="2" t="inlineStr">
        <is>
          <t>2026-09-28 18:38</t>
        </is>
      </c>
      <c r="C167" s="3" t="inlineStr">
        <is>
          <t>Auxiliar administrativo(a) - campus neiva</t>
        </is>
      </c>
      <c r="D167" s="3" t="inlineStr">
        <is>
          <t>Universidad Cooperativa de Colombia</t>
        </is>
      </c>
      <c r="E167" s="7" t="n">
        <v>0.58</v>
      </c>
      <c r="F167" s="2" t="inlineStr">
        <is>
          <t>Remoto</t>
        </is>
      </c>
      <c r="G167" s="5">
        <f>HYPERLINK("https://www.elempleo.com/co/ofertas-trabajo/auxiliar-administrativoa-campus-neiva-1886773020", "Ver Vacante")</f>
        <v/>
      </c>
      <c r="H167" s="6" t="inlineStr"/>
      <c r="I167" s="3" t="inlineStr">
        <is>
          <t>[Afinidad: 58/100 - Afinidad Moderada] Afinidad moderada en áreas técnicas del cargo (Auxiliar Administrativo / Asistente Virtual). Modalidad: 100% Remoto en Colombia confirmado.</t>
        </is>
      </c>
      <c r="J167" s="2" t="inlineStr">
        <is>
          <t>Nueva</t>
        </is>
      </c>
      <c r="K167" s="3" t="inlineStr"/>
    </row>
    <row r="168" ht="22" customHeight="1">
      <c r="A168" s="2" t="inlineStr">
        <is>
          <t>a81375d5a4201305</t>
        </is>
      </c>
      <c r="B168" s="2" t="inlineStr">
        <is>
          <t>2026-09-28 18:38</t>
        </is>
      </c>
      <c r="C168" s="3" t="inlineStr">
        <is>
          <t>Digitador - bogotá</t>
        </is>
      </c>
      <c r="D168" s="3" t="inlineStr">
        <is>
          <t>BUREAU VERITAS</t>
        </is>
      </c>
      <c r="E168" s="7" t="n">
        <v>0.58</v>
      </c>
      <c r="F168" s="2" t="inlineStr">
        <is>
          <t>Remoto</t>
        </is>
      </c>
      <c r="G168" s="5">
        <f>HYPERLINK("https://www.elempleo.com/co/ofertas-trabajo/digitador-bogota-1886762709", "Ver Vacante")</f>
        <v/>
      </c>
      <c r="H168" s="6" t="inlineStr"/>
      <c r="I168" s="3" t="inlineStr">
        <is>
          <t>[Afinidad: 58/100 - Afinidad Moderada] Afinidad moderada en áreas técnicas del cargo (Auxiliar Administrativo / Asistente Virtual). Modalidad: 100% Remoto en Colombia confirmado.</t>
        </is>
      </c>
      <c r="J168" s="2" t="inlineStr">
        <is>
          <t>Nueva</t>
        </is>
      </c>
      <c r="K168" s="3" t="inlineStr"/>
    </row>
    <row r="169" ht="22" customHeight="1">
      <c r="A169" s="2" t="inlineStr">
        <is>
          <t>9164fad20028594e</t>
        </is>
      </c>
      <c r="B169" s="2" t="inlineStr">
        <is>
          <t>2026-09-29 17:03</t>
        </is>
      </c>
      <c r="C169" s="3" t="inlineStr">
        <is>
          <t>Digitador(a) de nómina</t>
        </is>
      </c>
      <c r="D169" s="3" t="inlineStr">
        <is>
          <t>Confidencial</t>
        </is>
      </c>
      <c r="E169" s="7" t="n">
        <v>0.58</v>
      </c>
      <c r="F169" s="2" t="inlineStr">
        <is>
          <t>Remoto</t>
        </is>
      </c>
      <c r="G169" s="5">
        <f>HYPERLINK("https://www.elempleo.com/co/ofertas-trabajo/digitadora-de-nomina-1886773344", "Ver Vacante")</f>
        <v/>
      </c>
      <c r="H169" s="6" t="inlineStr"/>
      <c r="I169" s="3" t="inlineStr">
        <is>
          <t>[Afinidad: 58/100 - Afinidad Moderada] Afinidad moderada en áreas técnicas del cargo (Auxiliar Administrativo / Asistente Virtual). Modalidad: 100% Remoto en Colombia confirmado.</t>
        </is>
      </c>
      <c r="J169" s="2" t="inlineStr">
        <is>
          <t>Nueva</t>
        </is>
      </c>
      <c r="K169" s="3" t="inlineStr"/>
    </row>
    <row r="170" ht="22" customHeight="1">
      <c r="A170" s="2" t="inlineStr">
        <is>
          <t>eb9248ba68f06027</t>
        </is>
      </c>
      <c r="B170" s="2" t="inlineStr">
        <is>
          <t>2026-09-29 17:03</t>
        </is>
      </c>
      <c r="C170" s="3" t="inlineStr">
        <is>
          <t>Young Professional – Data Entry - Remote Work</t>
        </is>
      </c>
      <c r="D170" s="3" t="inlineStr">
        <is>
          <t>BairesDev</t>
        </is>
      </c>
      <c r="E170" s="7" t="n">
        <v>0.58</v>
      </c>
      <c r="F170" s="2" t="inlineStr">
        <is>
          <t>Remoto</t>
        </is>
      </c>
      <c r="G170" s="5">
        <f>HYPERLINK("https://co.linkedin.com/jobs/view/young-professional-%E2%80%93-data-entry-remote-work-at-bairesdev-4471917951", "Ver Vacante")</f>
        <v/>
      </c>
      <c r="H170" s="6" t="inlineStr"/>
      <c r="I170" s="3" t="inlineStr">
        <is>
          <t>[Afinidad: 58/100 - Afinidad Moderada] Afinidad moderada en áreas técnicas del cargo (Auxiliar Administrativo / Asistente Virtual). Modalidad: 100% Remoto en Colombia confirmado.</t>
        </is>
      </c>
      <c r="J170" s="2" t="inlineStr">
        <is>
          <t>Nueva</t>
        </is>
      </c>
      <c r="K170" s="3" t="inlineStr"/>
    </row>
    <row r="171" ht="22" customHeight="1">
      <c r="A171" s="2" t="inlineStr">
        <is>
          <t>ab0015399fb0fd5a</t>
        </is>
      </c>
      <c r="B171" s="2" t="inlineStr">
        <is>
          <t>2026-09-30 16:51</t>
        </is>
      </c>
      <c r="C171" s="3" t="inlineStr">
        <is>
          <t>Cali- asistente administrativo y contable</t>
        </is>
      </c>
      <c r="D171" s="3" t="inlineStr">
        <is>
          <t>GERENCIA SELECTA SAS</t>
        </is>
      </c>
      <c r="E171" s="7" t="n">
        <v>0.58</v>
      </c>
      <c r="F171" s="2" t="inlineStr">
        <is>
          <t>Remoto</t>
        </is>
      </c>
      <c r="G171" s="5">
        <f>HYPERLINK("https://www.elempleo.com/co/ofertas-trabajo/cali-asistente-administrativo-y-contable-1886774199", "Ver Vacante")</f>
        <v/>
      </c>
      <c r="H171" s="6" t="inlineStr"/>
      <c r="I171" s="3" t="inlineStr">
        <is>
          <t>[Afinidad: 58/100 - Afinidad Moderada] Afinidad moderada en áreas técnicas del cargo (Auxiliar Administrativo / Asistente Virtual). Modalidad: 100% Remoto en Colombia confirmado.</t>
        </is>
      </c>
      <c r="J171" s="2" t="inlineStr">
        <is>
          <t>Nueva</t>
        </is>
      </c>
      <c r="K171" s="3" t="inlineStr"/>
    </row>
    <row r="172" ht="22" customHeight="1">
      <c r="A172" s="2" t="inlineStr">
        <is>
          <t>f151a5101fd2098d</t>
        </is>
      </c>
      <c r="B172" s="2" t="inlineStr">
        <is>
          <t>2026-09-30 16:51</t>
        </is>
      </c>
      <c r="C172" s="3" t="inlineStr">
        <is>
          <t>Auxiliar contable y administrativo 212747-148845</t>
        </is>
      </c>
      <c r="D172" s="3" t="inlineStr">
        <is>
          <t>AGENCIA DE EMPLEO Y FOMENTO EMPRESARIAL COMPENSAR</t>
        </is>
      </c>
      <c r="E172" s="7" t="n">
        <v>0.58</v>
      </c>
      <c r="F172" s="2" t="inlineStr">
        <is>
          <t>Remoto</t>
        </is>
      </c>
      <c r="G172" s="5">
        <f>HYPERLINK("https://www.elempleo.com/co/ofertas-trabajo/auxiliar-contable-y-administrativo-212747148845-1886774053", "Ver Vacante")</f>
        <v/>
      </c>
      <c r="H172" s="6" t="inlineStr"/>
      <c r="I172" s="3" t="inlineStr">
        <is>
          <t>[Afinidad: 58/100 - Afinidad Moderada] Afinidad moderada en áreas técnicas del cargo (Auxiliar Administrativo / Asistente Virtual). Modalidad: 100% Remoto en Colombia confirmado.</t>
        </is>
      </c>
      <c r="J172" s="2" t="inlineStr">
        <is>
          <t>Nueva</t>
        </is>
      </c>
      <c r="K172" s="3" t="inlineStr"/>
    </row>
    <row r="173" ht="22" customHeight="1">
      <c r="A173" s="2" t="inlineStr">
        <is>
          <t>2ad924abc5b01201</t>
        </is>
      </c>
      <c r="B173" s="2" t="inlineStr">
        <is>
          <t>2026-09-30 16:51</t>
        </is>
      </c>
      <c r="C173" s="3" t="inlineStr">
        <is>
          <t>Auxiliar administrativa y contable- mosquera- 1626546205-1</t>
        </is>
      </c>
      <c r="D173" s="3" t="inlineStr">
        <is>
          <t>AGENCIA DE EMPLEO Y FOMENTO EMPRESARIAL COMPENSAR</t>
        </is>
      </c>
      <c r="E173" s="7" t="n">
        <v>0.58</v>
      </c>
      <c r="F173" s="2" t="inlineStr">
        <is>
          <t>Remoto</t>
        </is>
      </c>
      <c r="G173" s="5">
        <f>HYPERLINK("https://www.elempleo.com/co/ofertas-trabajo/auxiliar-administrativa-y-contable-mosquera-16265462051-1886773852", "Ver Vacante")</f>
        <v/>
      </c>
      <c r="H173" s="6" t="inlineStr"/>
      <c r="I173" s="3" t="inlineStr">
        <is>
          <t>[Afinidad: 58/100 - Afinidad Moderada] Afinidad moderada en áreas técnicas del cargo (Auxiliar Administrativo / Asistente Virtual). Modalidad: 100% Remoto en Colombia confirmado.</t>
        </is>
      </c>
      <c r="J173" s="2" t="inlineStr">
        <is>
          <t>Nueva</t>
        </is>
      </c>
      <c r="K173" s="3" t="inlineStr"/>
    </row>
    <row r="174" ht="22" customHeight="1">
      <c r="A174" s="2" t="inlineStr">
        <is>
          <t>cb0d1367aba57052</t>
        </is>
      </c>
      <c r="B174" s="2" t="inlineStr">
        <is>
          <t>2026-09-30 16:51</t>
        </is>
      </c>
      <c r="C174" s="3" t="inlineStr">
        <is>
          <t>Client Intake and Data Entry Specialist</t>
        </is>
      </c>
      <c r="D174" s="3" t="inlineStr">
        <is>
          <t>Job Duck</t>
        </is>
      </c>
      <c r="E174" s="7" t="n">
        <v>0.58</v>
      </c>
      <c r="F174" s="2" t="inlineStr">
        <is>
          <t>Remoto</t>
        </is>
      </c>
      <c r="G174" s="5">
        <f>HYPERLINK("https://co.linkedin.com/jobs/view/client-intake-and-data-entry-specialist-at-job-duck-4473785617", "Ver Vacante")</f>
        <v/>
      </c>
      <c r="H174" s="6" t="inlineStr"/>
      <c r="I174" s="3" t="inlineStr">
        <is>
          <t>[Afinidad: 58/100 - Afinidad Moderada] Afinidad moderada en áreas técnicas del cargo (Auxiliar Administrativo / Asistente Virtual). Modalidad: 100% Remoto en Colombia confirmado.</t>
        </is>
      </c>
      <c r="J174" s="2" t="inlineStr">
        <is>
          <t>Nueva</t>
        </is>
      </c>
      <c r="K174" s="3" t="inlineStr"/>
    </row>
    <row r="175" ht="22" customHeight="1">
      <c r="A175" s="2" t="inlineStr">
        <is>
          <t>aa2ff4b012a2356b</t>
        </is>
      </c>
      <c r="B175" s="2" t="inlineStr">
        <is>
          <t>2026-09-30 16:51</t>
        </is>
      </c>
      <c r="C175" s="3" t="inlineStr">
        <is>
          <t>Data entry specialist</t>
        </is>
      </c>
      <c r="D175" s="3" t="inlineStr">
        <is>
          <t>Naur Talent</t>
        </is>
      </c>
      <c r="E175" s="7" t="n">
        <v>0.58</v>
      </c>
      <c r="F175" s="2" t="inlineStr">
        <is>
          <t>Remoto</t>
        </is>
      </c>
      <c r="G175" s="5">
        <f>HYPERLINK("https://co.linkedin.com/jobs/view/data-entry-specialist-at-naur-talent-4473907227", "Ver Vacante")</f>
        <v/>
      </c>
      <c r="H175" s="6" t="inlineStr"/>
      <c r="I175" s="3" t="inlineStr">
        <is>
          <t>[Afinidad: 58/100 - Afinidad Moderada] Afinidad moderada en áreas técnicas del cargo (Auxiliar Administrativo / Asistente Virtual). Modalidad: 100% Remoto en Colombia confirmado.</t>
        </is>
      </c>
      <c r="J175" s="2" t="inlineStr">
        <is>
          <t>Nueva</t>
        </is>
      </c>
      <c r="K175" s="3" t="inlineStr"/>
    </row>
    <row r="176" ht="22" customHeight="1">
      <c r="A176" s="2" t="inlineStr">
        <is>
          <t>0fb7813f6ca58c19</t>
        </is>
      </c>
      <c r="B176" s="2" t="inlineStr">
        <is>
          <t>2026-10-01 17:28</t>
        </is>
      </c>
      <c r="C176" s="3" t="inlineStr">
        <is>
          <t>Data Entry Assistant</t>
        </is>
      </c>
      <c r="D176" s="3" t="inlineStr">
        <is>
          <t>NEO - New Estate Only</t>
        </is>
      </c>
      <c r="E176" s="7" t="n">
        <v>0.58</v>
      </c>
      <c r="F176" s="2" t="inlineStr">
        <is>
          <t>Remoto</t>
        </is>
      </c>
      <c r="G176" s="5">
        <f>HYPERLINK("https://co.linkedin.com/jobs/view/data-entry-assistant-at-neo-new-estate-only-4474342064", "Ver Vacante")</f>
        <v/>
      </c>
      <c r="H176" s="6" t="inlineStr"/>
      <c r="I176" s="3" t="inlineStr">
        <is>
          <t>[Afinidad: 58/100 - Afinidad Moderada] Afinidad moderada en áreas técnicas del cargo (Auxiliar Administrativo / Asistente Virtual). Modalidad: 100% Remoto en Colombia confirmado.</t>
        </is>
      </c>
      <c r="J176" s="2" t="inlineStr">
        <is>
          <t>Nueva</t>
        </is>
      </c>
      <c r="K176" s="3" t="inlineStr"/>
    </row>
    <row r="177" ht="22" customHeight="1">
      <c r="A177" s="2" t="inlineStr">
        <is>
          <t>e03aa4c6959d3eb4</t>
        </is>
      </c>
      <c r="B177" s="2" t="inlineStr">
        <is>
          <t>2026-10-03 15:14</t>
        </is>
      </c>
      <c r="C177" s="3" t="inlineStr">
        <is>
          <t>Auxiliar administrativo/a Vacante Inclusiva para personas con Discapacidad</t>
        </is>
      </c>
      <c r="D177" s="3" t="inlineStr">
        <is>
          <t>CENTRO DE EMPLEO Y TALENTO COLSUBSIDIO</t>
        </is>
      </c>
      <c r="E177" s="7" t="n">
        <v>0.58</v>
      </c>
      <c r="F177" s="2" t="inlineStr">
        <is>
          <t>Remoto</t>
        </is>
      </c>
      <c r="G177" s="5">
        <f>HYPERLINK("https://co.computrabajo.com/ofertas-de-trabajo/oferta-de-trabajo-de-auxiliar-administrativoa-vacante-inclusiva-para-personas-con-discapacidad-en-bogota-dc-C48470AF94C2CBCC61373E686DCF3405", "Ver Vacante")</f>
        <v/>
      </c>
      <c r="H177" s="6" t="inlineStr">
        <is>
          <t>Remoto</t>
        </is>
      </c>
      <c r="I177" s="3" t="inlineStr">
        <is>
          <t>[Afinidad: 58/100 - Afinidad Moderada] Afinidad moderada en áreas técnicas del cargo (Auxiliar Administrativo / Asistente Virtual). Modalidad: 100% Remoto en Colombia confirmado.</t>
        </is>
      </c>
      <c r="J177" s="2" t="inlineStr">
        <is>
          <t>Nueva</t>
        </is>
      </c>
      <c r="K177" s="3" t="inlineStr"/>
    </row>
    <row r="178" ht="22" customHeight="1">
      <c r="A178" s="2" t="inlineStr">
        <is>
          <t>1a638820869677f4</t>
        </is>
      </c>
      <c r="B178" s="2" t="inlineStr">
        <is>
          <t>2026-10-03 15:14</t>
        </is>
      </c>
      <c r="C178" s="3" t="inlineStr">
        <is>
          <t>Asistente administrativa</t>
        </is>
      </c>
      <c r="D178" s="3" t="inlineStr">
        <is>
          <t>Valgroup Realty LLC</t>
        </is>
      </c>
      <c r="E178" s="7" t="n">
        <v>0.58</v>
      </c>
      <c r="F178" s="2" t="inlineStr">
        <is>
          <t>Remoto</t>
        </is>
      </c>
      <c r="G178" s="5">
        <f>HYPERLINK("https://co.computrabajo.com/ofertas-de-trabajo/oferta-de-trabajo-de-asistente-administrativa-con-conocimiento-del-idioma-ingles-en-bucaramanga-E109D498CC2B20FD61373E686DCF3405", "Ver Vacante")</f>
        <v/>
      </c>
      <c r="H178" s="6" t="inlineStr">
        <is>
          <t>Remoto</t>
        </is>
      </c>
      <c r="I178" s="3" t="inlineStr">
        <is>
          <t>[Afinidad: 58/100 - Afinidad Moderada] Afinidad moderada en áreas técnicas del cargo (Auxiliar Administrativo / Asistente Virtual). Modalidad: 100% Remoto en Colombia confirmado.</t>
        </is>
      </c>
      <c r="J178" s="2" t="inlineStr">
        <is>
          <t>Nueva</t>
        </is>
      </c>
      <c r="K178" s="3" t="inlineStr"/>
    </row>
    <row r="179" ht="22" customHeight="1">
      <c r="A179" s="2" t="inlineStr">
        <is>
          <t>d310964f2dc8e97e</t>
        </is>
      </c>
      <c r="B179" s="2" t="inlineStr">
        <is>
          <t>2026-10-05 19:48</t>
        </is>
      </c>
      <c r="C179" s="3" t="inlineStr">
        <is>
          <t>Aprendiz sena - auxiliar de servicio al cliente y ventas digitales remoto</t>
        </is>
      </c>
      <c r="D179" s="3" t="inlineStr">
        <is>
          <t>M&amp;S VITAMINS SAS</t>
        </is>
      </c>
      <c r="E179" s="7" t="n">
        <v>0.58</v>
      </c>
      <c r="F179" s="2" t="inlineStr">
        <is>
          <t>Remoto</t>
        </is>
      </c>
      <c r="G179" s="5">
        <f>HYPERLINK("https://www.elempleo.com/co/ofertas-trabajo/aprendiz-sena-auxiliar-de-servicio-al-cliente-y-ventas-digitales-remoto-1886776017", "Ver Vacante")</f>
        <v/>
      </c>
      <c r="H179" s="6" t="inlineStr"/>
      <c r="I179" s="3" t="inlineStr">
        <is>
          <t>[Afinidad: 58/100 - Afinidad Moderada] Afinidad moderada en áreas técnicas del cargo (Auxiliar Administrativo / Asistente Virtual). Modalidad: 100% Remoto en Colombia confirmado.</t>
        </is>
      </c>
      <c r="J179" s="2" t="inlineStr">
        <is>
          <t>Nueva</t>
        </is>
      </c>
      <c r="K179" s="3" t="inlineStr"/>
    </row>
    <row r="180" ht="22" customHeight="1">
      <c r="A180" s="2" t="inlineStr">
        <is>
          <t>feadb7d6306993cf</t>
        </is>
      </c>
      <c r="B180" s="2" t="inlineStr">
        <is>
          <t>2026-10-05 19:48</t>
        </is>
      </c>
      <c r="C180" s="3" t="inlineStr">
        <is>
          <t>Asistente administrativa</t>
        </is>
      </c>
      <c r="D180" s="3" t="inlineStr">
        <is>
          <t>MENTORHUB COLOMBIA</t>
        </is>
      </c>
      <c r="E180" s="7" t="n">
        <v>0.58</v>
      </c>
      <c r="F180" s="2" t="inlineStr">
        <is>
          <t>Remoto</t>
        </is>
      </c>
      <c r="G180" s="5">
        <f>HYPERLINK("https://www.elempleo.com/co/ofertas-trabajo/asistente-administrativa-1886776241", "Ver Vacante")</f>
        <v/>
      </c>
      <c r="H180" s="6" t="inlineStr"/>
      <c r="I180" s="3" t="inlineStr">
        <is>
          <t>[Afinidad: 58/100 - Afinidad Moderada] Afinidad moderada en áreas técnicas del cargo (Auxiliar Administrativo / Asistente Virtual). Modalidad: 100% Remoto en Colombia confirmado.</t>
        </is>
      </c>
      <c r="J180" s="2" t="inlineStr">
        <is>
          <t>Nueva</t>
        </is>
      </c>
      <c r="K180" s="3" t="inlineStr"/>
    </row>
    <row r="181" ht="22" customHeight="1">
      <c r="A181" s="2" t="inlineStr">
        <is>
          <t>6dae76f41229d9ff</t>
        </is>
      </c>
      <c r="B181" s="2" t="inlineStr">
        <is>
          <t>2026-10-06 17:14</t>
        </is>
      </c>
      <c r="C181" s="3" t="inlineStr">
        <is>
          <t>Auxiliar Administrativo desde casa</t>
        </is>
      </c>
      <c r="D181" s="3" t="inlineStr">
        <is>
          <t>POLITÉCNICO INTERNACIONAL DE OCCIDENTE</t>
        </is>
      </c>
      <c r="E181" s="7" t="n">
        <v>0.58</v>
      </c>
      <c r="F181" s="2" t="inlineStr">
        <is>
          <t>Remoto</t>
        </is>
      </c>
      <c r="G181" s="5">
        <f>HYPERLINK("https://co.computrabajo.com/ofertas-de-trabajo/oferta-de-trabajo-de-auxiliar-administrativo-desde-casa-personal-con-discapacidad-en-bogota-dc-5A794030AFDA0F8661373E686DCF3405", "Ver Vacante")</f>
        <v/>
      </c>
      <c r="H181" s="6" t="inlineStr">
        <is>
          <t>Remoto</t>
        </is>
      </c>
      <c r="I181" s="3" t="inlineStr">
        <is>
          <t>[Afinidad: 58/100 - Afinidad Moderada] Afinidad moderada en áreas técnicas del cargo (Auxiliar Administrativo / Asistente Virtual). Modalidad: 100% Remoto en Colombia confirmado.</t>
        </is>
      </c>
      <c r="J181" s="2" t="inlineStr">
        <is>
          <t>Nueva</t>
        </is>
      </c>
      <c r="K181" s="3" t="inlineStr"/>
    </row>
    <row r="182" ht="22" customHeight="1">
      <c r="A182" s="2" t="inlineStr">
        <is>
          <t>d59b1a44f5bebbdc</t>
        </is>
      </c>
      <c r="B182" s="2" t="inlineStr">
        <is>
          <t>2026-10-06 17:14</t>
        </is>
      </c>
      <c r="C182" s="3" t="inlineStr">
        <is>
          <t>Auxiliar contable y administrativo</t>
        </is>
      </c>
      <c r="D182" s="3" t="inlineStr">
        <is>
          <t>TALENT SPEAKERS COLOMBIA SAS</t>
        </is>
      </c>
      <c r="E182" s="7" t="n">
        <v>0.58</v>
      </c>
      <c r="F182" s="2" t="inlineStr">
        <is>
          <t>Remoto</t>
        </is>
      </c>
      <c r="G182" s="5">
        <f>HYPERLINK("https://www.elempleo.com/co/ofertas-trabajo/auxiliar-contable-y-administrativo-1886775760", "Ver Vacante")</f>
        <v/>
      </c>
      <c r="H182" s="6" t="inlineStr"/>
      <c r="I182" s="3" t="inlineStr">
        <is>
          <t>[Afinidad: 58/100 - Afinidad Moderada] Afinidad moderada en áreas técnicas del cargo (Auxiliar Administrativo / Asistente Virtual). Modalidad: 100% Remoto en Colombia confirmado.</t>
        </is>
      </c>
      <c r="J182" s="2" t="inlineStr">
        <is>
          <t>Nueva</t>
        </is>
      </c>
      <c r="K182" s="3" t="inlineStr"/>
    </row>
    <row r="183" ht="22" customHeight="1">
      <c r="A183" s="2" t="inlineStr">
        <is>
          <t>594e79b4cd7df756</t>
        </is>
      </c>
      <c r="B183" s="2" t="inlineStr">
        <is>
          <t>2026-10-07 17:52</t>
        </is>
      </c>
      <c r="C183" s="3" t="inlineStr">
        <is>
          <t>Auxiliar administrativo - contable y operativo</t>
        </is>
      </c>
      <c r="D183" s="3" t="inlineStr">
        <is>
          <t>EFICACIA S.A.S</t>
        </is>
      </c>
      <c r="E183" s="7" t="n">
        <v>0.58</v>
      </c>
      <c r="F183" s="2" t="inlineStr">
        <is>
          <t>Remoto</t>
        </is>
      </c>
      <c r="G183" s="5">
        <f>HYPERLINK("https://www.elempleo.com/co/ofertas-trabajo/auxiliar-administrativo-contable-y-operativo-1886776165", "Ver Vacante")</f>
        <v/>
      </c>
      <c r="H183" s="6" t="inlineStr"/>
      <c r="I183" s="3" t="inlineStr">
        <is>
          <t>[Afinidad: 58/100 - Afinidad Moderada] Afinidad moderada en áreas técnicas del cargo (Auxiliar Administrativo / Asistente Virtual). Modalidad: 100% Remoto en Colombia confirmado.</t>
        </is>
      </c>
      <c r="J183" s="2" t="inlineStr">
        <is>
          <t>Nueva</t>
        </is>
      </c>
      <c r="K183" s="3" t="inlineStr"/>
    </row>
    <row r="184" ht="22" customHeight="1">
      <c r="A184" s="2" t="inlineStr">
        <is>
          <t>30c827aff6e8bff7</t>
        </is>
      </c>
      <c r="B184" s="2" t="inlineStr">
        <is>
          <t>2026-10-07 17:52</t>
        </is>
      </c>
      <c r="C184" s="3" t="inlineStr">
        <is>
          <t>Data Entry - Remote Work</t>
        </is>
      </c>
      <c r="D184" s="3" t="inlineStr">
        <is>
          <t>INDI Staffing Services</t>
        </is>
      </c>
      <c r="E184" s="7" t="n">
        <v>0.58</v>
      </c>
      <c r="F184" s="2" t="inlineStr">
        <is>
          <t>Remoto</t>
        </is>
      </c>
      <c r="G184" s="5">
        <f>HYPERLINK("https://co.linkedin.com/jobs/view/data-entry-remote-work-at-indi-staffing-services-4476714759", "Ver Vacante")</f>
        <v/>
      </c>
      <c r="H184" s="6" t="inlineStr"/>
      <c r="I184" s="3" t="inlineStr">
        <is>
          <t>[Afinidad: 58/100 - Afinidad Moderada] Afinidad moderada en áreas técnicas del cargo (Auxiliar Administrativo / Asistente Virtual). Modalidad: 100% Remoto en Colombia confirmado.</t>
        </is>
      </c>
      <c r="J184" s="2" t="inlineStr">
        <is>
          <t>Nueva</t>
        </is>
      </c>
      <c r="K184" s="3" t="inlineStr"/>
    </row>
    <row r="185" ht="22" customHeight="1">
      <c r="A185" s="2" t="inlineStr">
        <is>
          <t>3b42a1ea5ac16f07</t>
        </is>
      </c>
      <c r="B185" s="2" t="inlineStr">
        <is>
          <t>2026-10-08 17:54</t>
        </is>
      </c>
      <c r="C185" s="3" t="inlineStr">
        <is>
          <t>Atención al cliente</t>
        </is>
      </c>
      <c r="D185" s="3" t="inlineStr">
        <is>
          <t>CEO BUSSINES ADVICE SAS</t>
        </is>
      </c>
      <c r="E185" s="7" t="n">
        <v>0.58</v>
      </c>
      <c r="F185" s="2" t="inlineStr">
        <is>
          <t>Remoto</t>
        </is>
      </c>
      <c r="G185" s="5">
        <f>HYPERLINK("https://co.computrabajo.com/ofertas-de-trabajo/oferta-de-trabajo-de-atencion-al-cliente-en-bogota-dc-AC1B2F778774ED6561373E686DCF3405", "Ver Vacante")</f>
        <v/>
      </c>
      <c r="H185" s="6" t="inlineStr">
        <is>
          <t>Remoto</t>
        </is>
      </c>
      <c r="I185" s="3" t="inlineStr">
        <is>
          <t>[Afinidad: 58/100 - Afinidad Moderada] Alta coincidencia técnica en Gestión Administrativa, Documental y Archivo. Modalidad: 100% Remoto en Colombia confirmado.</t>
        </is>
      </c>
      <c r="J185" s="2" t="inlineStr">
        <is>
          <t>Nueva</t>
        </is>
      </c>
      <c r="K185" s="3" t="inlineStr"/>
    </row>
    <row r="186" ht="22" customHeight="1">
      <c r="A186" s="2" t="inlineStr">
        <is>
          <t>478e11adcb76b027</t>
        </is>
      </c>
      <c r="B186" s="2" t="inlineStr">
        <is>
          <t>2026-10-08 17:54</t>
        </is>
      </c>
      <c r="C186" s="3" t="inlineStr">
        <is>
          <t>Auxiliar administrativo almacen</t>
        </is>
      </c>
      <c r="D186" s="3" t="inlineStr">
        <is>
          <t>AVSA S.A</t>
        </is>
      </c>
      <c r="E186" s="7" t="n">
        <v>0.58</v>
      </c>
      <c r="F186" s="2" t="inlineStr">
        <is>
          <t>Remoto</t>
        </is>
      </c>
      <c r="G186" s="5">
        <f>HYPERLINK("https://www.elempleo.com/co/ofertas-trabajo/auxiliar-administrativo-almacen-1886777997", "Ver Vacante")</f>
        <v/>
      </c>
      <c r="H186" s="6" t="inlineStr"/>
      <c r="I186" s="3" t="inlineStr">
        <is>
          <t>[Afinidad: 58/100 - Afinidad Moderada] Afinidad moderada en áreas técnicas del cargo (Auxiliar Administrativo / Asistente Virtual). Modalidad: 100% Remoto en Colombia confirmado.</t>
        </is>
      </c>
      <c r="J186" s="2" t="inlineStr">
        <is>
          <t>Nueva</t>
        </is>
      </c>
      <c r="K186" s="3" t="inlineStr"/>
    </row>
    <row r="187" ht="22" customHeight="1">
      <c r="A187" s="2" t="inlineStr">
        <is>
          <t>0df6c8526a27b503</t>
        </is>
      </c>
      <c r="B187" s="2" t="inlineStr">
        <is>
          <t>2026-10-08 17:54</t>
        </is>
      </c>
      <c r="C187" s="3" t="inlineStr">
        <is>
          <t>Auxiliar contable y administrativo - norte de bogotá</t>
        </is>
      </c>
      <c r="D187" s="3" t="inlineStr">
        <is>
          <t>Confidencial</t>
        </is>
      </c>
      <c r="E187" s="7" t="n">
        <v>0.58</v>
      </c>
      <c r="F187" s="2" t="inlineStr">
        <is>
          <t>Remoto</t>
        </is>
      </c>
      <c r="G187" s="5">
        <f>HYPERLINK("https://www.elempleo.com/co/ofertas-trabajo/auxiliar-contable-y-administrativo-norte-de-bogota-1886766550", "Ver Vacante")</f>
        <v/>
      </c>
      <c r="H187" s="6" t="inlineStr"/>
      <c r="I187" s="3" t="inlineStr">
        <is>
          <t>[Afinidad: 58/100 - Afinidad Moderada] Afinidad moderada en áreas técnicas del cargo (Auxiliar Administrativo / Asistente Virtual). Modalidad: 100% Remoto en Colombia confirmado.</t>
        </is>
      </c>
      <c r="J187" s="2" t="inlineStr">
        <is>
          <t>Nueva</t>
        </is>
      </c>
      <c r="K187" s="3" t="inlineStr"/>
    </row>
    <row r="188" ht="22" customHeight="1">
      <c r="A188" s="2" t="inlineStr">
        <is>
          <t>2e347f9b8c0b4b27</t>
        </is>
      </c>
      <c r="B188" s="2" t="inlineStr">
        <is>
          <t>2026-10-08 17:54</t>
        </is>
      </c>
      <c r="C188" s="3" t="inlineStr">
        <is>
          <t>Digitador control de producción 634333</t>
        </is>
      </c>
      <c r="D188" s="3" t="inlineStr">
        <is>
          <t>JOBANDTALENT CO SAS</t>
        </is>
      </c>
      <c r="E188" s="7" t="n">
        <v>0.58</v>
      </c>
      <c r="F188" s="2" t="inlineStr">
        <is>
          <t>Remoto</t>
        </is>
      </c>
      <c r="G188" s="5">
        <f>HYPERLINK("https://www.elempleo.com/co/ofertas-trabajo/digitador-control-de-produccion-634333-1886777795", "Ver Vacante")</f>
        <v/>
      </c>
      <c r="H188" s="6" t="inlineStr"/>
      <c r="I188" s="3" t="inlineStr">
        <is>
          <t>[Afinidad: 58/100 - Afinidad Moderada] Afinidad moderada en áreas técnicas del cargo (Auxiliar Administrativo / Asistente Virtual). Modalidad: 100% Remoto en Colombia confirmado.</t>
        </is>
      </c>
      <c r="J188" s="2" t="inlineStr">
        <is>
          <t>Nueva</t>
        </is>
      </c>
      <c r="K188" s="3" t="inlineStr"/>
    </row>
    <row r="189" ht="22" customHeight="1">
      <c r="A189" s="2" t="inlineStr">
        <is>
          <t>1716d782af9a31c3</t>
        </is>
      </c>
      <c r="B189" s="2" t="inlineStr">
        <is>
          <t>2026-10-08 17:54</t>
        </is>
      </c>
      <c r="C189" s="3" t="inlineStr">
        <is>
          <t>Auxiliar i conciliaciones bancarias</t>
        </is>
      </c>
      <c r="D189" s="3" t="inlineStr">
        <is>
          <t>PONTIFICIA UNIVERSID</t>
        </is>
      </c>
      <c r="E189" s="7" t="n">
        <v>0.58</v>
      </c>
      <c r="F189" s="2" t="inlineStr">
        <is>
          <t>Remoto</t>
        </is>
      </c>
      <c r="G189" s="5">
        <f>HYPERLINK("https://www.elempleo.com/co/ofertas-trabajo/auxiliar-i-conciliaciones-bancarias-1886774371", "Ver Vacante")</f>
        <v/>
      </c>
      <c r="H189" s="6" t="inlineStr"/>
      <c r="I189" s="3" t="inlineStr">
        <is>
          <t>[Afinidad: 58/100 - Afinidad Moderada] Afinidad moderada en áreas técnicas del cargo (Auxiliar Administrativo / Asistente Virtual). Modalidad: 100% Remoto en Colombia confirmado.</t>
        </is>
      </c>
      <c r="J189" s="2" t="inlineStr">
        <is>
          <t>Nueva</t>
        </is>
      </c>
      <c r="K189" s="3" t="inlineStr"/>
    </row>
    <row r="190" ht="22" customHeight="1">
      <c r="A190" s="2" t="inlineStr">
        <is>
          <t>bcabe86161d0fafa</t>
        </is>
      </c>
      <c r="B190" s="2" t="inlineStr">
        <is>
          <t>2026-10-08 17:54</t>
        </is>
      </c>
      <c r="C190" s="3" t="inlineStr">
        <is>
          <t>Auxiliar administrativo contable</t>
        </is>
      </c>
      <c r="D190" s="3" t="inlineStr">
        <is>
          <t>Neuroactivo - Rodsal</t>
        </is>
      </c>
      <c r="E190" s="7" t="n">
        <v>0.58</v>
      </c>
      <c r="F190" s="2" t="inlineStr">
        <is>
          <t>Remoto</t>
        </is>
      </c>
      <c r="G190" s="5">
        <f>HYPERLINK("https://co.linkedin.com/jobs/view/auxiliar-administrativo-contable-at-neuroactivo-rodsal-4476940406", "Ver Vacante")</f>
        <v/>
      </c>
      <c r="H190" s="6" t="inlineStr"/>
      <c r="I190" s="3" t="inlineStr">
        <is>
          <t>[Afinidad: 58/100 - Afinidad Moderada] Afinidad moderada en áreas técnicas del cargo (Auxiliar Administrativo / Asistente Virtual). Modalidad: 100% Remoto en Colombia confirmado.</t>
        </is>
      </c>
      <c r="J190" s="2" t="inlineStr">
        <is>
          <t>Nueva</t>
        </is>
      </c>
      <c r="K190" s="3" t="inlineStr"/>
    </row>
    <row r="191" ht="22" customHeight="1">
      <c r="A191" s="2" t="inlineStr">
        <is>
          <t>c44dcea756fe7627</t>
        </is>
      </c>
      <c r="B191" s="2" t="inlineStr">
        <is>
          <t>2026-10-08 17:54</t>
        </is>
      </c>
      <c r="C191" s="3" t="inlineStr">
        <is>
          <t>Young Professional – Data Entry - Remote Work</t>
        </is>
      </c>
      <c r="D191" s="3" t="inlineStr">
        <is>
          <t>BairesDev</t>
        </is>
      </c>
      <c r="E191" s="7" t="n">
        <v>0.58</v>
      </c>
      <c r="F191" s="2" t="inlineStr">
        <is>
          <t>Remoto</t>
        </is>
      </c>
      <c r="G191" s="5">
        <f>HYPERLINK("https://co.linkedin.com/jobs/view/young-professional-%E2%80%93-data-entry-remote-work-at-bairesdev-4475962498", "Ver Vacante")</f>
        <v/>
      </c>
      <c r="H191" s="6" t="inlineStr"/>
      <c r="I191" s="3" t="inlineStr">
        <is>
          <t>[Afinidad: 58/100 - Afinidad Moderada] Afinidad moderada en áreas técnicas del cargo (Auxiliar Administrativo / Asistente Virtual). Modalidad: 100% Remoto en Colombia confirmado.</t>
        </is>
      </c>
      <c r="J191" s="2" t="inlineStr">
        <is>
          <t>Nueva</t>
        </is>
      </c>
      <c r="K191" s="3" t="inlineStr"/>
    </row>
    <row r="192" ht="22" customHeight="1">
      <c r="A192" s="2" t="inlineStr">
        <is>
          <t>c6719253a68b0b7b</t>
        </is>
      </c>
      <c r="B192" s="2" t="inlineStr">
        <is>
          <t>2026-10-09 17:30</t>
        </is>
      </c>
      <c r="C192" s="3" t="inlineStr">
        <is>
          <t>Asistente Virtual Bilingüe Remoto con Inglés Avanzado</t>
        </is>
      </c>
      <c r="D192" s="3" t="inlineStr">
        <is>
          <t>Assistiq</t>
        </is>
      </c>
      <c r="E192" s="7" t="n">
        <v>0.58</v>
      </c>
      <c r="F192" s="2" t="inlineStr">
        <is>
          <t>Remoto</t>
        </is>
      </c>
      <c r="G192" s="5">
        <f>HYPERLINK("https://co.computrabajo.com/ofertas-de-trabajo/oferta-de-trabajo-de-asistente-virtual-bilingue-remoto-con-ingles-avanzado-en-bogota-dc-648B6753680D9B9E61373E686DCF3405", "Ver Vacante")</f>
        <v/>
      </c>
      <c r="H192" s="6" t="inlineStr">
        <is>
          <t>Remoto</t>
        </is>
      </c>
      <c r="I192" s="3" t="inlineStr">
        <is>
          <t>[Afinidad: 58/100 - Afinidad Moderada] Afinidad moderada en áreas técnicas del cargo (Auxiliar Administrativo / Asistente Virtual). Modalidad: 100% Remoto en Colombia confirmado.</t>
        </is>
      </c>
      <c r="J192" s="2" t="inlineStr">
        <is>
          <t>Nueva</t>
        </is>
      </c>
      <c r="K192" s="3" t="inlineStr"/>
    </row>
    <row r="193" ht="22" customHeight="1">
      <c r="A193" s="2" t="inlineStr">
        <is>
          <t>fed139d0477046bd</t>
        </is>
      </c>
      <c r="B193" s="2" t="inlineStr">
        <is>
          <t>2026-10-10 16:18</t>
        </is>
      </c>
      <c r="C193" s="3" t="inlineStr">
        <is>
          <t>Auxiliar administrativo bilingüe en barranquilla</t>
        </is>
      </c>
      <c r="D193" s="3" t="inlineStr">
        <is>
          <t>MANPOWER</t>
        </is>
      </c>
      <c r="E193" s="7" t="n">
        <v>0.58</v>
      </c>
      <c r="F193" s="2" t="inlineStr">
        <is>
          <t>Remoto</t>
        </is>
      </c>
      <c r="G193" s="5">
        <f>HYPERLINK("https://www.elempleo.com/co/ofertas-trabajo/auxiliar-administrativo-bilingue-en-barranquilla-1886773896", "Ver Vacante")</f>
        <v/>
      </c>
      <c r="H193" s="6" t="inlineStr"/>
      <c r="I193" s="3" t="inlineStr">
        <is>
          <t>[Afinidad: 58/100 - Afinidad Moderada] Afinidad moderada en áreas técnicas del cargo (Auxiliar Administrativo / Asistente Virtual). Modalidad: 100% Remoto en Colombia confirmado.</t>
        </is>
      </c>
      <c r="J193" s="2" t="inlineStr">
        <is>
          <t>Nueva</t>
        </is>
      </c>
      <c r="K193" s="3" t="inlineStr"/>
    </row>
    <row r="194" ht="22" customHeight="1">
      <c r="A194" s="2" t="inlineStr">
        <is>
          <t>0b790b67038f3a2c</t>
        </is>
      </c>
      <c r="B194" s="2" t="inlineStr">
        <is>
          <t>2026-10-12 20:20</t>
        </is>
      </c>
      <c r="C194" s="3" t="inlineStr">
        <is>
          <t>Product Data Entry Agent</t>
        </is>
      </c>
      <c r="D194" s="3" t="inlineStr">
        <is>
          <t>Overseas Network</t>
        </is>
      </c>
      <c r="E194" s="7" t="n">
        <v>0.58</v>
      </c>
      <c r="F194" s="2" t="inlineStr">
        <is>
          <t>Remoto</t>
        </is>
      </c>
      <c r="G194" s="5">
        <f>HYPERLINK("https://co.linkedin.com/jobs/view/product-data-entry-agent-at-overseas-network-4477903916", "Ver Vacante")</f>
        <v/>
      </c>
      <c r="H194" s="6" t="inlineStr"/>
      <c r="I194" s="3" t="inlineStr">
        <is>
          <t>[Afinidad: 58/100 - Afinidad Moderada] Afinidad moderada en áreas técnicas del cargo (Auxiliar Administrativo / Asistente Virtual). Modalidad: 100% Remoto en Colombia confirmado.</t>
        </is>
      </c>
      <c r="J194" s="2" t="inlineStr">
        <is>
          <t>Nueva</t>
        </is>
      </c>
      <c r="K194" s="3" t="inlineStr"/>
    </row>
    <row r="195" ht="22" customHeight="1">
      <c r="A195" s="2" t="inlineStr">
        <is>
          <t>ccdbe7000f52da42</t>
        </is>
      </c>
      <c r="B195" s="2" t="inlineStr">
        <is>
          <t>2026-10-13 18:11</t>
        </is>
      </c>
      <c r="C195" s="3" t="inlineStr">
        <is>
          <t>Licensing and Compliance Data Entry Support Representative, HOA</t>
        </is>
      </c>
      <c r="D195" s="3" t="inlineStr">
        <is>
          <t>Porch Group</t>
        </is>
      </c>
      <c r="E195" s="7" t="n">
        <v>0.58</v>
      </c>
      <c r="F195" s="2" t="inlineStr">
        <is>
          <t>Remoto</t>
        </is>
      </c>
      <c r="G195" s="5">
        <f>HYPERLINK("https://co.linkedin.com/jobs/view/licensing-and-compliance-data-entry-support-representative-hoa-at-porch-group-4478728820", "Ver Vacante")</f>
        <v/>
      </c>
      <c r="H195" s="6" t="inlineStr"/>
      <c r="I195" s="3" t="inlineStr">
        <is>
          <t>[Afinidad: 58/100 - Afinidad Moderada] Afinidad moderada en áreas técnicas del cargo (Auxiliar Administrativo / Asistente Virtual). Modalidad: 100% Remoto en Colombia confirmado.</t>
        </is>
      </c>
      <c r="J195" s="2" t="inlineStr">
        <is>
          <t>Nueva</t>
        </is>
      </c>
      <c r="K195" s="3" t="inlineStr"/>
    </row>
    <row r="196" ht="22" customHeight="1">
      <c r="A196" s="2" t="inlineStr">
        <is>
          <t>c717da5c95d7d03e</t>
        </is>
      </c>
      <c r="B196" s="2" t="inlineStr">
        <is>
          <t>2026-10-14 15:54</t>
        </is>
      </c>
      <c r="C196" s="3" t="inlineStr">
        <is>
          <t>Bogota - auxiliar administrativo y logística de eventos</t>
        </is>
      </c>
      <c r="D196" s="3" t="inlineStr">
        <is>
          <t>Confidencial</t>
        </is>
      </c>
      <c r="E196" s="7" t="n">
        <v>0.58</v>
      </c>
      <c r="F196" s="2" t="inlineStr">
        <is>
          <t>Remoto</t>
        </is>
      </c>
      <c r="G196" s="5">
        <f>HYPERLINK("https://www.elempleo.com/co/ofertas-trabajo/bogota-auxiliar-administrativo-y-logistica-de-eventos-1886765837", "Ver Vacante")</f>
        <v/>
      </c>
      <c r="H196" s="6" t="inlineStr"/>
      <c r="I196" s="3" t="inlineStr">
        <is>
          <t>[Afinidad: 58/100 - Afinidad Moderada] Afinidad moderada en áreas técnicas del cargo (Auxiliar Administrativo / Asistente Virtual). Modalidad: 100% Remoto en Colombia confirmado.</t>
        </is>
      </c>
      <c r="J196" s="2" t="inlineStr">
        <is>
          <t>Nueva</t>
        </is>
      </c>
      <c r="K196" s="3" t="inlineStr"/>
    </row>
    <row r="197" ht="22" customHeight="1">
      <c r="A197" s="2" t="inlineStr">
        <is>
          <t>7ec5dd7dc0dda675</t>
        </is>
      </c>
      <c r="B197" s="2" t="inlineStr">
        <is>
          <t>2026-10-14 15:54</t>
        </is>
      </c>
      <c r="C197" s="3" t="inlineStr">
        <is>
          <t>Data Entry - Remote Work</t>
        </is>
      </c>
      <c r="D197" s="3" t="inlineStr">
        <is>
          <t>INDI Staffing Services</t>
        </is>
      </c>
      <c r="E197" s="7" t="n">
        <v>0.58</v>
      </c>
      <c r="F197" s="2" t="inlineStr">
        <is>
          <t>Remoto</t>
        </is>
      </c>
      <c r="G197" s="5">
        <f>HYPERLINK("https://co.linkedin.com/jobs/view/data-entry-remote-work-at-indi-staffing-services-4479514857", "Ver Vacante")</f>
        <v/>
      </c>
      <c r="H197" s="6" t="inlineStr"/>
      <c r="I197" s="3" t="inlineStr">
        <is>
          <t>[Afinidad: 58/100 - Afinidad Moderada] Afinidad moderada en áreas técnicas del cargo (Auxiliar Administrativo / Asistente Virtual). Modalidad: 100% Remoto en Colombia confirmado.</t>
        </is>
      </c>
      <c r="J197" s="2" t="inlineStr">
        <is>
          <t>Nueva</t>
        </is>
      </c>
      <c r="K197" s="3" t="inlineStr"/>
    </row>
    <row r="198" ht="22" customHeight="1">
      <c r="A198" s="2" t="inlineStr">
        <is>
          <t>d73788010c0fb4b1</t>
        </is>
      </c>
      <c r="B198" s="2" t="inlineStr">
        <is>
          <t>2026-10-14 15:54</t>
        </is>
      </c>
      <c r="C198" s="3" t="inlineStr">
        <is>
          <t>Auxiliar administrativo/a Sede Caucasia</t>
        </is>
      </c>
      <c r="D198" s="3" t="inlineStr">
        <is>
          <t>Uniremington</t>
        </is>
      </c>
      <c r="E198" s="7" t="n">
        <v>0.58</v>
      </c>
      <c r="F198" s="2" t="inlineStr">
        <is>
          <t>Remoto</t>
        </is>
      </c>
      <c r="G198" s="5">
        <f>HYPERLINK("https://co.linkedin.com/jobs/view/auxiliar-administrativo-a-sede-caucasia-at-uniremington-4479234300", "Ver Vacante")</f>
        <v/>
      </c>
      <c r="H198" s="6" t="inlineStr"/>
      <c r="I198" s="3" t="inlineStr">
        <is>
          <t>[Afinidad: 58/100 - Afinidad Moderada] Afinidad moderada en áreas técnicas del cargo (Auxiliar Administrativo / Asistente Virtual). Modalidad: 100% Remoto en Colombia confirmado.</t>
        </is>
      </c>
      <c r="J198" s="2" t="inlineStr">
        <is>
          <t>Nueva</t>
        </is>
      </c>
      <c r="K198" s="3" t="inlineStr"/>
    </row>
    <row r="199" ht="22" customHeight="1">
      <c r="A199" s="2" t="inlineStr">
        <is>
          <t>1e615b73642574ca</t>
        </is>
      </c>
      <c r="B199" s="2" t="inlineStr">
        <is>
          <t>2026-10-15 15:43</t>
        </is>
      </c>
      <c r="C199" s="3" t="inlineStr">
        <is>
          <t>Digitador / Auxiliar de Datos Remoto</t>
        </is>
      </c>
      <c r="D199" s="3" t="inlineStr">
        <is>
          <t>MÁS QUE PIZZA</t>
        </is>
      </c>
      <c r="E199" s="7" t="n">
        <v>0.58</v>
      </c>
      <c r="F199" s="2" t="inlineStr">
        <is>
          <t>Remoto</t>
        </is>
      </c>
      <c r="G199" s="5">
        <f>HYPERLINK("https://co.computrabajo.com/ofertas-de-trabajo/oferta-de-trabajo-de-digitador-auxiliar-de-datos-remoto-sin-experiencia-manejo-basico-de-excel-en-bogota-dc-CA495496FFC84E1761373E686DCF3405", "Ver Vacante")</f>
        <v/>
      </c>
      <c r="H199" s="6" t="inlineStr">
        <is>
          <t>$ 1.440.000,00 (Mensual)</t>
        </is>
      </c>
      <c r="I199" s="3" t="inlineStr">
        <is>
          <t>[Afinidad: 58/100 - Afinidad Moderada] Afinidad moderada en áreas técnicas del cargo (Auxiliar Administrativo / Asistente Virtual). Modalidad: 100% Remoto en Colombia confirmado.</t>
        </is>
      </c>
      <c r="J199" s="2" t="inlineStr">
        <is>
          <t>Nueva</t>
        </is>
      </c>
      <c r="K199" s="3" t="inlineStr"/>
    </row>
    <row r="200" ht="22" customHeight="1">
      <c r="A200" s="2" t="inlineStr">
        <is>
          <t>bab8c57875b70054</t>
        </is>
      </c>
      <c r="B200" s="2" t="inlineStr">
        <is>
          <t>2026-09-24 16:07</t>
        </is>
      </c>
      <c r="C200" s="3" t="inlineStr">
        <is>
          <t>Analista de Servicio al Cliente Digital / Personal con Discapacidad</t>
        </is>
      </c>
      <c r="D200" s="3" t="inlineStr">
        <is>
          <t>HOME BURGERS</t>
        </is>
      </c>
      <c r="E200" s="7" t="n">
        <v>0.53</v>
      </c>
      <c r="F200" s="2" t="inlineStr">
        <is>
          <t>Remoto</t>
        </is>
      </c>
      <c r="G200" s="5">
        <f>HYPERLINK("https://co.computrabajo.com/ofertas-de-trabajo/oferta-de-trabajo-de-analista-de-servicio-al-cliente-digital-personal-con-discapacidad-en-bogota-dc-11CE94961396D4CF61373E686DCF3405", "Ver Vacante")</f>
        <v/>
      </c>
      <c r="H200" s="6" t="inlineStr">
        <is>
          <t>$ 1.750.000,00 (Mensual)</t>
        </is>
      </c>
      <c r="I200" s="3" t="inlineStr">
        <is>
          <t>[Afinidad: 53/100 - Afinidad Moderada] Afinidad moderada en áreas técnicas del cargo (Auxiliar Administrativo / Asistente Virtual). Modalidad: 100% Remoto en Colombia confirmado.</t>
        </is>
      </c>
      <c r="J200" s="2" t="inlineStr">
        <is>
          <t>Nueva</t>
        </is>
      </c>
      <c r="K200" s="3" t="inlineStr"/>
    </row>
    <row r="201" ht="22" customHeight="1">
      <c r="A201" s="2" t="inlineStr">
        <is>
          <t>e4553a32da3edf6d</t>
        </is>
      </c>
      <c r="B201" s="2" t="inlineStr">
        <is>
          <t>2026-09-24 16:07</t>
        </is>
      </c>
      <c r="C201" s="3" t="inlineStr">
        <is>
          <t>Asesor de Servicio al Cliente / Remoto</t>
        </is>
      </c>
      <c r="D201" s="3" t="inlineStr">
        <is>
          <t>SIIGO S.A.S</t>
        </is>
      </c>
      <c r="E201" s="7" t="n">
        <v>0.53</v>
      </c>
      <c r="F201" s="2" t="inlineStr">
        <is>
          <t>Remoto</t>
        </is>
      </c>
      <c r="G201" s="5">
        <f>HYPERLINK("https://co.computrabajo.com/ofertas-de-trabajo/oferta-de-trabajo-de-asesor-de-servicio-al-cliente-remoto-en-bogota-dc-00C206C9966382F961373E686DCF3405", "Ver Vacante")</f>
        <v/>
      </c>
      <c r="H201" s="6" t="inlineStr">
        <is>
          <t>$ 1.750.905,00 (Mensual)</t>
        </is>
      </c>
      <c r="I201" s="3" t="inlineStr">
        <is>
          <t>[Afinidad: 53/100 - Afinidad Moderada] Afinidad moderada en áreas técnicas del cargo (Auxiliar Administrativo / Asistente Virtual). Modalidad: 100% Remoto en Colombia confirmado.</t>
        </is>
      </c>
      <c r="J201" s="2" t="inlineStr">
        <is>
          <t>Nueva</t>
        </is>
      </c>
      <c r="K201" s="3" t="inlineStr"/>
    </row>
    <row r="202" ht="22" customHeight="1">
      <c r="A202" s="2" t="inlineStr">
        <is>
          <t>838f39602895a4e7</t>
        </is>
      </c>
      <c r="B202" s="2" t="inlineStr">
        <is>
          <t>2026-10-03 15:14</t>
        </is>
      </c>
      <c r="C202" s="3" t="inlineStr">
        <is>
          <t>Analista de facturación (billing analyst)/ inglés b2 /híbrido</t>
        </is>
      </c>
      <c r="D202" s="3" t="inlineStr">
        <is>
          <t>MANPOWER</t>
        </is>
      </c>
      <c r="E202" s="7" t="n">
        <v>0.53</v>
      </c>
      <c r="F202" s="2" t="inlineStr">
        <is>
          <t>Hibrido</t>
        </is>
      </c>
      <c r="G202" s="5">
        <f>HYPERLINK("https://www.elempleo.com/co/ofertas-trabajo/analista-de-facturacion-billing-analyst-ingles-b2-hibrido-1886773841", "Ver Vacante")</f>
        <v/>
      </c>
      <c r="H202" s="6" t="inlineStr"/>
      <c r="I202" s="3" t="inlineStr">
        <is>
          <t>[Afinidad: 53/100 - Afinidad Moderada] Alta coincidencia técnica en Herramientas Ofimáticas, Excel y Soporte Contable / Facturación. Modalidad: Modalidad híbrida / parcial. Alerta: Modalidad híbrida puede requerir presencia ocasional.</t>
        </is>
      </c>
      <c r="J202" s="2" t="inlineStr">
        <is>
          <t>Nueva</t>
        </is>
      </c>
      <c r="K202" s="3" t="inlineStr"/>
    </row>
    <row r="203" ht="22" customHeight="1">
      <c r="A203" s="2" t="inlineStr">
        <is>
          <t>c2dea1f07ef53647</t>
        </is>
      </c>
      <c r="B203" s="2" t="inlineStr">
        <is>
          <t>2026-10-06 17:14</t>
        </is>
      </c>
      <c r="C203" s="3" t="inlineStr">
        <is>
          <t>Consultor sap fi-gl / fi-aa s/4hana - remoto colombia</t>
        </is>
      </c>
      <c r="D203" s="3" t="inlineStr">
        <is>
          <t>TALYCAP GLOBAL SAS</t>
        </is>
      </c>
      <c r="E203" s="7" t="n">
        <v>0.53</v>
      </c>
      <c r="F203" s="2" t="inlineStr">
        <is>
          <t>Remoto</t>
        </is>
      </c>
      <c r="G203" s="5">
        <f>HYPERLINK("https://www.elempleo.com/co/ofertas-trabajo/consultor-sap-figl-fiaa-s-4hana-remoto-colombia-1886776900", "Ver Vacante")</f>
        <v/>
      </c>
      <c r="H203" s="6" t="inlineStr"/>
      <c r="I203" s="3" t="inlineStr">
        <is>
          <t>[Afinidad: 53/100 - Afinidad Moderada] Afinidad moderada en áreas técnicas del cargo (Auxiliar Administrativo / Asistente Virtual). Modalidad: 100% Remoto en Colombia confirmado.</t>
        </is>
      </c>
      <c r="J203" s="2" t="inlineStr">
        <is>
          <t>Nueva</t>
        </is>
      </c>
      <c r="K203" s="3" t="inlineStr"/>
    </row>
    <row r="204" ht="22" customHeight="1">
      <c r="A204" s="2" t="inlineStr">
        <is>
          <t>d55c5bcc13a598dc</t>
        </is>
      </c>
      <c r="B204" s="2" t="inlineStr">
        <is>
          <t>2026-10-07 17:52</t>
        </is>
      </c>
      <c r="C204" s="3" t="inlineStr">
        <is>
          <t>Asesor(a) de servicio al cliente bilingüe</t>
        </is>
      </c>
      <c r="D204" s="3" t="inlineStr">
        <is>
          <t>Empresa en expansión</t>
        </is>
      </c>
      <c r="E204" s="7" t="n">
        <v>0.53</v>
      </c>
      <c r="F204" s="2" t="inlineStr">
        <is>
          <t>Remoto</t>
        </is>
      </c>
      <c r="G204" s="5">
        <f>HYPERLINK("https://co.computrabajo.com/ofertas-de-trabajo/oferta-de-trabajo-de-asesora-de-servicio-al-cliente-bilingue-home-office-ingles-c1-con-experiencia-en-estados-unidos-D522AAAB4F954B8061373E686DCF3405", "Ver Vacante")</f>
        <v/>
      </c>
      <c r="H204" s="6" t="inlineStr">
        <is>
          <t>$ 3.500.000,00 (Mensual)</t>
        </is>
      </c>
      <c r="I204" s="3" t="inlineStr">
        <is>
          <t>[Afinidad: 53/100 - Afinidad Moderada] Afinidad moderada en áreas técnicas del cargo (Auxiliar Administrativo / Asistente Virtual). Modalidad: 100% Remoto en Colombia confirmado.</t>
        </is>
      </c>
      <c r="J204" s="2" t="inlineStr">
        <is>
          <t>Nueva</t>
        </is>
      </c>
      <c r="K204" s="3" t="inlineStr"/>
    </row>
    <row r="205" ht="22" customHeight="1">
      <c r="A205" s="2" t="inlineStr">
        <is>
          <t>08504d61be6d0f7f</t>
        </is>
      </c>
      <c r="B205" s="2" t="inlineStr">
        <is>
          <t>2026-10-14 15:54</t>
        </is>
      </c>
      <c r="C205" s="3" t="inlineStr">
        <is>
          <t>Consultor sap datasphere - remoto</t>
        </is>
      </c>
      <c r="D205" s="3" t="inlineStr">
        <is>
          <t>Cinte Colombia SAS</t>
        </is>
      </c>
      <c r="E205" s="7" t="n">
        <v>0.53</v>
      </c>
      <c r="F205" s="2" t="inlineStr">
        <is>
          <t>Remoto</t>
        </is>
      </c>
      <c r="G205" s="5">
        <f>HYPERLINK("https://www.elempleo.com/co/ofertas-trabajo/consultor-sap-datasphere-remoto-1886759862", "Ver Vacante")</f>
        <v/>
      </c>
      <c r="H205" s="6" t="inlineStr"/>
      <c r="I205" s="3" t="inlineStr">
        <is>
          <t>[Afinidad: 53/100 - Afinidad Moderada] Afinidad moderada en áreas técnicas del cargo (Auxiliar Administrativo / Asistente Virtual). Modalidad: 100% Remoto en Colombia confirmado.</t>
        </is>
      </c>
      <c r="J205" s="2" t="inlineStr">
        <is>
          <t>Nueva</t>
        </is>
      </c>
      <c r="K205" s="3" t="inlineStr"/>
    </row>
    <row r="206" ht="22" customHeight="1">
      <c r="A206" s="2" t="inlineStr">
        <is>
          <t>cd1036bcf66024dc</t>
        </is>
      </c>
      <c r="B206" s="2" t="inlineStr">
        <is>
          <t>2026-09-26 15:05</t>
        </is>
      </c>
      <c r="C206" s="3" t="inlineStr">
        <is>
          <t>Aprendiz practicante administrativo</t>
        </is>
      </c>
      <c r="D206" s="3" t="inlineStr">
        <is>
          <t>Bold.co</t>
        </is>
      </c>
      <c r="E206" s="7" t="n">
        <v>0.5</v>
      </c>
      <c r="F206" s="2" t="inlineStr">
        <is>
          <t>Remoto</t>
        </is>
      </c>
      <c r="G206" s="5">
        <f>HYPERLINK("https://co.linkedin.com/jobs/view/aprendiz-practicante-administrativo-etapa-productiva-at-bold-4457032181", "Ver Vacante")</f>
        <v/>
      </c>
      <c r="H206" s="6" t="inlineStr"/>
      <c r="I206" s="3" t="inlineStr">
        <is>
          <t>[Afinidad: 50/100 - Afinidad Moderada] Afinidad en rol base (Auxiliar Administrativo / Asistente Virtual). Modalidad: 100% Remoto en Colombia confirmado.</t>
        </is>
      </c>
      <c r="J206" s="2" t="inlineStr">
        <is>
          <t>Nueva</t>
        </is>
      </c>
      <c r="K206" s="3" t="inlineStr"/>
    </row>
    <row r="207" ht="22" customHeight="1">
      <c r="A207" s="2" t="inlineStr">
        <is>
          <t>dbdce1eb16060a6a</t>
        </is>
      </c>
      <c r="B207" s="2" t="inlineStr">
        <is>
          <t>2026-09-28 18:38</t>
        </is>
      </c>
      <c r="C207" s="3" t="inlineStr">
        <is>
          <t>Auxiliar contable jr</t>
        </is>
      </c>
      <c r="D207" s="3" t="inlineStr">
        <is>
          <t>Confidencial</t>
        </is>
      </c>
      <c r="E207" s="7" t="n">
        <v>0.5</v>
      </c>
      <c r="F207" s="2" t="inlineStr">
        <is>
          <t>Remoto</t>
        </is>
      </c>
      <c r="G207" s="5">
        <f>HYPERLINK("https://www.elempleo.com/co/ofertas-trabajo/auxiliar-contable-jr-1886767584", "Ver Vacante")</f>
        <v/>
      </c>
      <c r="H207" s="6" t="inlineStr"/>
      <c r="I207" s="3" t="inlineStr">
        <is>
          <t>[Afinidad: 50/100 - Afinidad Moderada] Afinidad en rol base (Auxiliar Administrativo / Asistente Virtual). Modalidad: 100% Remoto en Colombia confirmado.</t>
        </is>
      </c>
      <c r="J207" s="2" t="inlineStr">
        <is>
          <t>Nueva</t>
        </is>
      </c>
      <c r="K207" s="3" t="inlineStr"/>
    </row>
    <row r="208" ht="22" customHeight="1">
      <c r="A208" s="2" t="inlineStr">
        <is>
          <t>550ad8afea6faf9b</t>
        </is>
      </c>
      <c r="B208" s="2" t="inlineStr">
        <is>
          <t>2026-09-28 18:38</t>
        </is>
      </c>
      <c r="C208" s="3" t="inlineStr">
        <is>
          <t>Auxiliar Contable Junior</t>
        </is>
      </c>
      <c r="D208" s="3" t="inlineStr">
        <is>
          <t>Ariadna Communications Group</t>
        </is>
      </c>
      <c r="E208" s="7" t="n">
        <v>0.5</v>
      </c>
      <c r="F208" s="2" t="inlineStr">
        <is>
          <t>Remoto</t>
        </is>
      </c>
      <c r="G208" s="5">
        <f>HYPERLINK("https://co.linkedin.com/jobs/view/auxiliar-contable-junior-at-ariadna-communications-group-4472764062", "Ver Vacante")</f>
        <v/>
      </c>
      <c r="H208" s="6" t="inlineStr"/>
      <c r="I208" s="3" t="inlineStr">
        <is>
          <t>[Afinidad: 50/100 - Afinidad Moderada] Afinidad en rol base (Auxiliar Administrativo / Asistente Virtual). Modalidad: 100% Remoto en Colombia confirmado.</t>
        </is>
      </c>
      <c r="J208" s="2" t="inlineStr">
        <is>
          <t>Nueva</t>
        </is>
      </c>
      <c r="K208" s="3" t="inlineStr"/>
    </row>
    <row r="209" ht="22" customHeight="1">
      <c r="A209" s="2" t="inlineStr">
        <is>
          <t>e8956f3876a2127b</t>
        </is>
      </c>
      <c r="B209" s="2" t="inlineStr">
        <is>
          <t>2026-10-15 15:43</t>
        </is>
      </c>
      <c r="C209" s="3" t="inlineStr">
        <is>
          <t>Auxiliar Contable Junior</t>
        </is>
      </c>
      <c r="D209" s="3" t="inlineStr">
        <is>
          <t>Empresa Privada</t>
        </is>
      </c>
      <c r="E209" s="7" t="n">
        <v>0.5</v>
      </c>
      <c r="F209" s="2" t="inlineStr">
        <is>
          <t>Remoto</t>
        </is>
      </c>
      <c r="G209" s="5">
        <f>HYPERLINK("https://co.linkedin.com/jobs/view/auxiliar-contable-junior-at-private-company-4479719285", "Ver Vacante")</f>
        <v/>
      </c>
      <c r="H209" s="6" t="inlineStr"/>
      <c r="I209" s="3" t="inlineStr">
        <is>
          <t>[Afinidad: 50/100 - Afinidad Moderada] Afinidad en rol base (Auxiliar Administrativo / Asistente Virtual). Modalidad: 100% Remoto en Colombia confirmado.</t>
        </is>
      </c>
      <c r="J209" s="2" t="inlineStr">
        <is>
          <t>Nueva</t>
        </is>
      </c>
      <c r="K209" s="3" t="inlineStr"/>
    </row>
  </sheetData>
  <dataValidations count="1">
    <dataValidation sqref="J2:J500" showDropDown="0" showInputMessage="0" showErrorMessage="0" allowBlank="1" type="list">
      <formula1>"Nueva,Por revisar,Postulado,Descartado,Entrevista"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2026-10-15T15:43:08Z</dcterms:created>
  <dcterms:modified xmlns:dcterms="http://purl.org/dc/terms/" xmlns:xsi="http://www.w3.org/2001/XMLSchema-instance" xsi:type="dcterms:W3CDTF">2026-10-15T15:43:08Z</dcterms:modified>
</cp:coreProperties>
</file>