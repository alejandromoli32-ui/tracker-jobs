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dd7d5a6b3f426320</t>
        </is>
      </c>
      <c r="B74" s="2" t="inlineStr">
        <is>
          <t>2026-10-21 16:01</t>
        </is>
      </c>
      <c r="C74" s="3" t="inlineStr">
        <is>
          <t>Asistente de facturación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HYPERLINK("https://www.elempleo.com/co/ofertas-trabajo/asistente-de-facturacion-1886782300", "Ver Vacante")</f>
        <v/>
      </c>
      <c r="H74" s="6" t="inlineStr"/>
      <c r="I74" s="3" t="inlineStr">
        <is>
          <t>[Afinidad: 73/100 -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f050702ee73abc25</t>
        </is>
      </c>
      <c r="B75" s="2" t="inlineStr">
        <is>
          <t>2026-10-21 16:01</t>
        </is>
      </c>
      <c r="C75" s="3" t="inlineStr">
        <is>
          <t>Auxiliar de planificación y facturación distribución</t>
        </is>
      </c>
      <c r="D75" s="3" t="inlineStr">
        <is>
          <t>SUMMAR PRODUCTIVIDAD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HYPERLINK("https://www.elempleo.com/co/ofertas-trabajo/auxiliar-de-planificacion-y-facturacion-distribucion-1886782716", "Ver Vacante")</f>
        <v/>
      </c>
      <c r="H75" s="6" t="inlineStr"/>
      <c r="I75" s="3" t="inlineStr">
        <is>
          <t>[Afinidad: 73/100 - Alta Afinidad]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c7c0a1c616c78080</t>
        </is>
      </c>
      <c r="B76" s="2" t="inlineStr">
        <is>
          <t>2026-10-22 15:59</t>
        </is>
      </c>
      <c r="C76" s="3" t="inlineStr">
        <is>
          <t>Auxiliar administrativo y contable - barranquilla</t>
        </is>
      </c>
      <c r="D76" s="3" t="inlineStr">
        <is>
          <t>ADECCO COLOMBIA S A</t>
        </is>
      </c>
      <c r="E76" s="4" t="n">
        <v>0.73</v>
      </c>
      <c r="F76" s="2" t="inlineStr">
        <is>
          <t>Remoto</t>
        </is>
      </c>
      <c r="G76" s="5">
        <f>HYPERLINK("https://www.elempleo.com/co/ofertas-trabajo/auxiliar-administrativo-y-contable-barranquilla-1886783764", "Ver Vacante")</f>
        <v/>
      </c>
      <c r="H76" s="6" t="inlineStr"/>
      <c r="I76" s="3" t="inlineStr">
        <is>
          <t>[Afinidad: 73/100 - Alta Afinidad] Alta coincidencia técnica en Gestión Administrativa, Documental y Archivo.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715f7faf01d970b3</t>
        </is>
      </c>
      <c r="B77" s="2" t="inlineStr">
        <is>
          <t>2026-10-23 15:50</t>
        </is>
      </c>
      <c r="C77" s="3" t="inlineStr">
        <is>
          <t>Auxiliar de Facturación Teletrabajo</t>
        </is>
      </c>
      <c r="D77" s="3" t="inlineStr">
        <is>
          <t>FN Servicios</t>
        </is>
      </c>
      <c r="E77" s="4" t="n">
        <v>0.73</v>
      </c>
      <c r="F77" s="2" t="inlineStr">
        <is>
          <t>Remoto</t>
        </is>
      </c>
      <c r="G77" s="5">
        <f>HYPERLINK("https://co.computrabajo.com/ofertas-de-trabajo/oferta-de-trabajo-de-auxiliar-de-facturacion-teletrabajo---oferta-inclusiva-en-cali-CA735F22B4FCB37961373E686DCF3405", "Ver Vacante")</f>
        <v/>
      </c>
      <c r="H77" s="6" t="inlineStr">
        <is>
          <t>Remoto</t>
        </is>
      </c>
      <c r="I77" s="3" t="inlineStr">
        <is>
          <t>[Afinidad: 73/100 - Alta Afinidad]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1ad65f5067e47af4</t>
        </is>
      </c>
      <c r="B78" s="2" t="inlineStr">
        <is>
          <t>2026-10-24 14:29</t>
        </is>
      </c>
      <c r="C78" s="3" t="inlineStr">
        <is>
          <t>Auxiliar de facturación</t>
        </is>
      </c>
      <c r="D78" s="3" t="inlineStr">
        <is>
          <t>CIREC</t>
        </is>
      </c>
      <c r="E78" s="4" t="n">
        <v>0.73</v>
      </c>
      <c r="F78" s="2" t="inlineStr">
        <is>
          <t>Remoto</t>
        </is>
      </c>
      <c r="G78" s="5">
        <f>HYPERLINK("https://www.elempleo.com/co/ofertas-trabajo/auxiliar-de-facturacion-1886784918", "Ver Vacante")</f>
        <v/>
      </c>
      <c r="H78" s="6" t="inlineStr"/>
      <c r="I78" s="3" t="inlineStr">
        <is>
          <t>[Afinidad: 73/100 - Alta Afinidad]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667540fb30a99d6b</t>
        </is>
      </c>
      <c r="B79" s="2" t="inlineStr">
        <is>
          <t>2026-10-24 14:29</t>
        </is>
      </c>
      <c r="C79" s="3" t="inlineStr">
        <is>
          <t>Asistente de facturación de clientes</t>
        </is>
      </c>
      <c r="D79" s="3" t="inlineStr">
        <is>
          <t>Confidencial</t>
        </is>
      </c>
      <c r="E79" s="4" t="n">
        <v>0.73</v>
      </c>
      <c r="F79" s="2" t="inlineStr">
        <is>
          <t>Remoto</t>
        </is>
      </c>
      <c r="G79" s="5">
        <f>HYPERLINK("https://www.elempleo.com/co/ofertas-trabajo/asistente-de-facturacion-de-clientes-1886784630", "Ver Vacante")</f>
        <v/>
      </c>
      <c r="H79" s="6" t="inlineStr"/>
      <c r="I79" s="3" t="inlineStr">
        <is>
          <t>[Afinidad: 73/100 - Alta Afinidad]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1d31a570a6911359</t>
        </is>
      </c>
      <c r="B80" s="2" t="inlineStr">
        <is>
          <t>2026-10-27 16:24</t>
        </is>
      </c>
      <c r="C80" s="3" t="inlineStr">
        <is>
          <t>Auxiliar de facturación - bogota</t>
        </is>
      </c>
      <c r="D80" s="3" t="inlineStr">
        <is>
          <t>TRANSPORTES VIGIA S.A.S.</t>
        </is>
      </c>
      <c r="E80" s="4" t="n">
        <v>0.73</v>
      </c>
      <c r="F80" s="2" t="inlineStr">
        <is>
          <t>Remoto</t>
        </is>
      </c>
      <c r="G80" s="5">
        <f>HYPERLINK("https://www.elempleo.com/co/ofertas-trabajo/auxiliar-de-facturacion-bogota-1886776476", "Ver Vacante")</f>
        <v/>
      </c>
      <c r="H80" s="6" t="inlineStr"/>
      <c r="I80" s="3" t="inlineStr">
        <is>
          <t>[Afinidad: 73/100 - Alta Afinidad]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79e5d47401709384</t>
        </is>
      </c>
      <c r="B81" s="2" t="inlineStr">
        <is>
          <t>2026-10-29 17:31</t>
        </is>
      </c>
      <c r="C81" s="3" t="inlineStr">
        <is>
          <t>Auxiliar de facturación - consulta externa</t>
        </is>
      </c>
      <c r="D81" s="3" t="inlineStr">
        <is>
          <t>CIREC</t>
        </is>
      </c>
      <c r="E81" s="4" t="n">
        <v>0.73</v>
      </c>
      <c r="F81" s="2" t="inlineStr">
        <is>
          <t>Remoto</t>
        </is>
      </c>
      <c r="G81" s="5">
        <f>HYPERLINK("https://www.elempleo.com/co/ofertas-trabajo/auxiliar-de-facturacion-consulta-externa-1886786931", "Ver Vacante")</f>
        <v/>
      </c>
      <c r="H81" s="6" t="inlineStr"/>
      <c r="I81" s="3" t="inlineStr">
        <is>
          <t>[Afinidad: 73/100 - Alta Afinidad]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235711f6d3c69a33</t>
        </is>
      </c>
      <c r="B82" s="2" t="inlineStr">
        <is>
          <t>2026-10-29 17:31</t>
        </is>
      </c>
      <c r="C82" s="3" t="inlineStr">
        <is>
          <t>Auxiliar de facturacion</t>
        </is>
      </c>
      <c r="D82" s="3" t="inlineStr">
        <is>
          <t>SyD Colombia S.A</t>
        </is>
      </c>
      <c r="E82" s="4" t="n">
        <v>0.73</v>
      </c>
      <c r="F82" s="2" t="inlineStr">
        <is>
          <t>Remoto</t>
        </is>
      </c>
      <c r="G82" s="5">
        <f>HYPERLINK("https://www.elempleo.com/co/ofertas-trabajo/auxiliar-de-facturacion-1886786581", "Ver Vacante")</f>
        <v/>
      </c>
      <c r="H82" s="6" t="inlineStr"/>
      <c r="I82" s="3" t="inlineStr">
        <is>
          <t>[Afinidad: 73/100 - Alta Afinidad]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d7b10cded83b71f2</t>
        </is>
      </c>
      <c r="B83" s="2" t="inlineStr">
        <is>
          <t>2026-09-24 16:07</t>
        </is>
      </c>
      <c r="C83" s="3" t="inlineStr">
        <is>
          <t>Analista junior de facturación y telecomunicaciones</t>
        </is>
      </c>
      <c r="D83" s="3" t="inlineStr">
        <is>
          <t>TP COLOMBIA</t>
        </is>
      </c>
      <c r="E83" s="4" t="n">
        <v>0.7</v>
      </c>
      <c r="F83" s="2" t="inlineStr">
        <is>
          <t>Remoto</t>
        </is>
      </c>
      <c r="G83" s="5">
        <f>HYPERLINK("https://www.elempleo.com/co/ofertas-trabajo/analista-junior-de-facturacion-y-telecomunicaciones-1886758607", "Ver Vacante")</f>
        <v/>
      </c>
      <c r="H83" s="6" t="inlineStr"/>
      <c r="I83" s="3" t="inlineStr">
        <is>
          <t>[Afinidad: 70/100 - Alta Afinidad]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7c8e4b63802fbfdd</t>
        </is>
      </c>
      <c r="B84" s="2" t="inlineStr">
        <is>
          <t>2026-09-24 16:07</t>
        </is>
      </c>
      <c r="C84" s="3" t="inlineStr">
        <is>
          <t>Analista de facturacion - mocoa</t>
        </is>
      </c>
      <c r="D84" s="3" t="inlineStr">
        <is>
          <t>Clínica Medilaser S.A.S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HYPERLINK("https://www.elempleo.com/co/ofertas-trabajo/analista-de-facturacion-mocoa-1886758704",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6a1a399dbe055821</t>
        </is>
      </c>
      <c r="B85" s="2" t="inlineStr">
        <is>
          <t>2026-09-24 16:07</t>
        </is>
      </c>
      <c r="C85" s="3" t="inlineStr">
        <is>
          <t>Analista de facturación</t>
        </is>
      </c>
      <c r="D85" s="3" t="inlineStr">
        <is>
          <t>CONTINAUTOS S.A.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HYPERLINK("https://www.elempleo.com/co/ofertas-trabajo/analista-de-facturacion-1886758032",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8d104e6e0596782f</t>
        </is>
      </c>
      <c r="B86" s="2" t="inlineStr">
        <is>
          <t>2026-09-24 16:07</t>
        </is>
      </c>
      <c r="C86" s="3" t="inlineStr">
        <is>
          <t>Analista de facturación - zipaquira</t>
        </is>
      </c>
      <c r="D86" s="3" t="inlineStr">
        <is>
          <t>Confidencial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HYPERLINK("https://www.elempleo.com/co/ofertas-trabajo/analista-de-facturacion-zipaquira-1886769380",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30c981b787bd9e84</t>
        </is>
      </c>
      <c r="B87" s="2" t="inlineStr">
        <is>
          <t>2026-09-24 16:07</t>
        </is>
      </c>
      <c r="C87" s="3" t="inlineStr">
        <is>
          <t>Analista de facturación</t>
        </is>
      </c>
      <c r="D87" s="3" t="inlineStr">
        <is>
          <t>IMPULSO TEMPORAL SAS</t>
        </is>
      </c>
      <c r="E87" s="7" t="n">
        <v>0.68</v>
      </c>
      <c r="F87" s="2" t="inlineStr">
        <is>
          <t>Remoto</t>
        </is>
      </c>
      <c r="G87" s="5">
        <f>HYPERLINK("https://www.elempleo.com/co/ofertas-trabajo/analista-de-facturacion-1886751641",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6ba85335e71be4cc</t>
        </is>
      </c>
      <c r="B88" s="2" t="inlineStr">
        <is>
          <t>2026-09-24 16:07</t>
        </is>
      </c>
      <c r="C88" s="3" t="inlineStr">
        <is>
          <t>Analista de Facturacion</t>
        </is>
      </c>
      <c r="D88" s="3" t="inlineStr">
        <is>
          <t>Experian Spanish Latam</t>
        </is>
      </c>
      <c r="E88" s="7" t="n">
        <v>0.68</v>
      </c>
      <c r="F88" s="2" t="inlineStr">
        <is>
          <t>Remoto</t>
        </is>
      </c>
      <c r="G88" s="5">
        <f>HYPERLINK("https://co.linkedin.com/jobs/view/analista-de-facturacion-at-experian-spanish-latam-4462035775",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0ba2c0ed565928ee</t>
        </is>
      </c>
      <c r="B89" s="2" t="inlineStr">
        <is>
          <t>2026-09-24 16:07</t>
        </is>
      </c>
      <c r="C89" s="3" t="inlineStr">
        <is>
          <t>Analista de facturación y gasto</t>
        </is>
      </c>
      <c r="D89" s="3" t="inlineStr">
        <is>
          <t>AXA Partners</t>
        </is>
      </c>
      <c r="E89" s="7" t="n">
        <v>0.68</v>
      </c>
      <c r="F89" s="2" t="inlineStr">
        <is>
          <t>Remoto</t>
        </is>
      </c>
      <c r="G89" s="5">
        <f>HYPERLINK("https://co.linkedin.com/jobs/view/analista-de-facturaci%C3%B3n-y-gasto-at-axa-partners-4468296274",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2adbc58cb85c19c7</t>
        </is>
      </c>
      <c r="B90" s="2" t="inlineStr">
        <is>
          <t>2026-09-24 16:07</t>
        </is>
      </c>
      <c r="C90" s="3" t="inlineStr">
        <is>
          <t>Analista de Facturación de servicios</t>
        </is>
      </c>
      <c r="D90" s="3" t="inlineStr">
        <is>
          <t>Américas BPS</t>
        </is>
      </c>
      <c r="E90" s="7" t="n">
        <v>0.68</v>
      </c>
      <c r="F90" s="2" t="inlineStr">
        <is>
          <t>Remoto</t>
        </is>
      </c>
      <c r="G90" s="5">
        <f>HYPERLINK("https://co.linkedin.com/jobs/view/analista-de-facturaci%C3%B3n-de-servicios-at-am%C3%A9ricas-bps-4464891719",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a831855f10d17417</t>
        </is>
      </c>
      <c r="B91" s="2" t="inlineStr">
        <is>
          <t>2026-09-25 15:56</t>
        </is>
      </c>
      <c r="C91" s="3" t="inlineStr">
        <is>
          <t>Analista de facturación</t>
        </is>
      </c>
      <c r="D91" s="3" t="inlineStr">
        <is>
          <t>Confidencial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HYPERLINK("https://www.elempleo.com/co/ofertas-trabajo/analista-de-facturacion-1886756696",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d59df408fc52566d</t>
        </is>
      </c>
      <c r="B92" s="2" t="inlineStr">
        <is>
          <t>2026-09-25 15:56</t>
        </is>
      </c>
      <c r="C92" s="3" t="inlineStr">
        <is>
          <t>Analista de facturación- manejo de sap -</t>
        </is>
      </c>
      <c r="D92" s="3" t="inlineStr">
        <is>
          <t>Confidencial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HYPERLINK("https://www.elempleo.com/co/ofertas-trabajo/analista-de-facturacion-manejo-de-sap-1886756806",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a1b8ba55f8922e99</t>
        </is>
      </c>
      <c r="B93" s="2" t="inlineStr">
        <is>
          <t>2026-09-25 15:56</t>
        </is>
      </c>
      <c r="C93" s="3" t="inlineStr">
        <is>
          <t>Analista de cartera y facturación</t>
        </is>
      </c>
      <c r="D93" s="3" t="inlineStr">
        <is>
          <t>MENTORHUB COLOMBIA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HYPERLINK("https://www.elempleo.com/co/ofertas-trabajo/analista-de-cartera-y-facturacion-1886741299", "Ver Vacante")</f>
        <v/>
      </c>
      <c r="H93" s="6" t="inlineStr"/>
      <c r="I93" s="3" t="inlineStr">
        <is>
          <t>[Afinidad: 68/100 -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62e18b4bd9d42926</t>
        </is>
      </c>
      <c r="B94" s="2" t="inlineStr">
        <is>
          <t>2026-09-26 15:05</t>
        </is>
      </c>
      <c r="C94" s="3" t="inlineStr">
        <is>
          <t>Analista de control operativo y facturación aduanera</t>
        </is>
      </c>
      <c r="D94" s="3" t="inlineStr">
        <is>
          <t>crane ww logistics</t>
        </is>
      </c>
      <c r="E94" s="7" t="n">
        <v>0.68</v>
      </c>
      <c r="F94" s="2" t="inlineStr">
        <is>
          <t>Remoto</t>
        </is>
      </c>
      <c r="G94" s="5">
        <f>HYPERLINK("https://www.elempleo.com/co/ofertas-trabajo/analista-de-control-operativo-y-facturacion-aduanera-1886771256", "Ver Vacante")</f>
        <v/>
      </c>
      <c r="H94" s="6" t="inlineStr"/>
      <c r="I94" s="3" t="inlineStr">
        <is>
          <t>[Afinidad: 68/100 - Afinidad Moderada] Alta coincidencia técnica en Herramientas Ofimáticas, Excel y Soporte Contable / Facturación.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62ab67e660127864</t>
        </is>
      </c>
      <c r="B95" s="2" t="inlineStr">
        <is>
          <t>2026-09-28 18:38</t>
        </is>
      </c>
      <c r="C95" s="3" t="inlineStr">
        <is>
          <t>Analista de facturación y cartera</t>
        </is>
      </c>
      <c r="D95" s="3" t="inlineStr">
        <is>
          <t>DON MAKINON</t>
        </is>
      </c>
      <c r="E95" s="7" t="n">
        <v>0.68</v>
      </c>
      <c r="F95" s="2" t="inlineStr">
        <is>
          <t>Remoto</t>
        </is>
      </c>
      <c r="G95" s="5">
        <f>HYPERLINK("https://www.elempleo.com/co/ofertas-trabajo/analista-de-facturacion-y-cartera-1886773105", "Ver Vacante")</f>
        <v/>
      </c>
      <c r="H95" s="6" t="inlineStr"/>
      <c r="I95" s="3" t="inlineStr">
        <is>
          <t>[Afinidad: 68/100 - Afinidad Moderada] Alta coincidencia técnica en Herramientas Ofimáticas, Excel y Soporte Contable / Facturación.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39bf6fcb2b2ffb07</t>
        </is>
      </c>
      <c r="B96" s="2" t="inlineStr">
        <is>
          <t>2026-09-30 16:51</t>
        </is>
      </c>
      <c r="C96" s="3" t="inlineStr">
        <is>
          <t>Analista de facturación - medellín</t>
        </is>
      </c>
      <c r="D96" s="3" t="inlineStr">
        <is>
          <t>SERVICIOS DE AUDITORIA Y CONSULTORIA DE NEGOCIOS SAS</t>
        </is>
      </c>
      <c r="E96" s="7" t="n">
        <v>0.68</v>
      </c>
      <c r="F96" s="2" t="inlineStr">
        <is>
          <t>Remoto</t>
        </is>
      </c>
      <c r="G96" s="5">
        <f>HYPERLINK("https://www.elempleo.com/co/ofertas-trabajo/analista-de-facturacion-medellin-1886754458", "Ver Vacante")</f>
        <v/>
      </c>
      <c r="H96" s="6" t="inlineStr"/>
      <c r="I96" s="3" t="inlineStr">
        <is>
          <t>[Afinidad: 68/100 - Afinidad Moderada] Alta coincidencia técnica en Herramientas Ofimáticas, Excel y Soporte Contable / Facturación.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65f969075798969c</t>
        </is>
      </c>
      <c r="B97" s="2" t="inlineStr">
        <is>
          <t>2026-10-06 17:14</t>
        </is>
      </c>
      <c r="C97" s="3" t="inlineStr">
        <is>
          <t>Analista de facturación en salud</t>
        </is>
      </c>
      <c r="D97" s="3" t="inlineStr">
        <is>
          <t>Confidencial</t>
        </is>
      </c>
      <c r="E97" s="7" t="n">
        <v>0.68</v>
      </c>
      <c r="F97" s="2" t="inlineStr">
        <is>
          <t>Remoto</t>
        </is>
      </c>
      <c r="G97" s="5">
        <f>HYPERLINK("https://www.elempleo.com/co/ofertas-trabajo/analista-de-facturacion-en-salud-1886772546", "Ver Vacante")</f>
        <v/>
      </c>
      <c r="H97" s="6" t="inlineStr"/>
      <c r="I97" s="3" t="inlineStr">
        <is>
          <t>[Afinidad: 68/100 - Afinidad Moderada] Alta coincidencia técnica en Herramientas Ofimáticas, Excel y Soporte Contable / Facturación.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d9914a231367448b</t>
        </is>
      </c>
      <c r="B98" s="2" t="inlineStr">
        <is>
          <t>2026-10-11 16:45</t>
        </is>
      </c>
      <c r="C98" s="3" t="inlineStr">
        <is>
          <t>Analista de facturación en salud</t>
        </is>
      </c>
      <c r="D98" s="3" t="inlineStr">
        <is>
          <t>Confidencial</t>
        </is>
      </c>
      <c r="E98" s="7" t="n">
        <v>0.68</v>
      </c>
      <c r="F98" s="2" t="inlineStr">
        <is>
          <t>Remoto</t>
        </is>
      </c>
      <c r="G98" s="5">
        <f>HYPERLINK("https://www.elempleo.com/co/ofertas-trabajo/analista-de-facturacion-en-salud-1886772545", "Ver Vacante")</f>
        <v/>
      </c>
      <c r="H98" s="6" t="inlineStr"/>
      <c r="I98" s="3" t="inlineStr">
        <is>
          <t>[Afinidad: 68/100 - Afinidad Moderada] Alta coincidencia técnica en Herramientas Ofimáticas, Excel y Soporte Contable / Facturación.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4af7e52faa9f8409</t>
        </is>
      </c>
      <c r="B99" s="2" t="inlineStr">
        <is>
          <t>2026-10-12 20:20</t>
        </is>
      </c>
      <c r="C99" s="3" t="inlineStr">
        <is>
          <t>Analista de facturación hospitalario</t>
        </is>
      </c>
      <c r="D99" s="3" t="inlineStr">
        <is>
          <t>INSTITUTO ROOSEVELT</t>
        </is>
      </c>
      <c r="E99" s="7" t="n">
        <v>0.68</v>
      </c>
      <c r="F99" s="2" t="inlineStr">
        <is>
          <t>Remoto</t>
        </is>
      </c>
      <c r="G99" s="5">
        <f>HYPERLINK("https://www.elempleo.com/co/ofertas-trabajo/analista-de-facturacion-hospitalario-1886773997", "Ver Vacante")</f>
        <v/>
      </c>
      <c r="H99" s="6" t="inlineStr"/>
      <c r="I99" s="3" t="inlineStr">
        <is>
          <t>[Afinidad: 68/100 - Afinidad Moderada] Alta coincidencia técnica en Herramientas Ofimáticas, Excel y Soporte Contable / Facturación.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b208b09ef2cd03c6</t>
        </is>
      </c>
      <c r="B100" s="2" t="inlineStr">
        <is>
          <t>2026-10-12 20:20</t>
        </is>
      </c>
      <c r="C100" s="3" t="inlineStr">
        <is>
          <t>Analista de facturacion hospitalaria</t>
        </is>
      </c>
      <c r="D100" s="3" t="inlineStr">
        <is>
          <t>CLINICA SHAIO</t>
        </is>
      </c>
      <c r="E100" s="7" t="n">
        <v>0.68</v>
      </c>
      <c r="F100" s="2" t="inlineStr">
        <is>
          <t>Remoto</t>
        </is>
      </c>
      <c r="G100" s="5">
        <f>HYPERLINK("https://www.elempleo.com/co/ofertas-trabajo/analista-de-facturacion-hospitalaria-1886771961", "Ver Vacante")</f>
        <v/>
      </c>
      <c r="H100" s="6" t="inlineStr"/>
      <c r="I100" s="3" t="inlineStr">
        <is>
          <t>[Afinidad: 68/100 - Afinidad Moderada] Alta coincidencia técnica en Herramientas Ofimáticas, Excel y Soporte Contable / Facturación.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ce912c6817a7c4c6</t>
        </is>
      </c>
      <c r="B101" s="2" t="inlineStr">
        <is>
          <t>2026-10-17 14:17</t>
        </is>
      </c>
      <c r="C101" s="3" t="inlineStr">
        <is>
          <t>Analista de facturación</t>
        </is>
      </c>
      <c r="D101" s="3" t="inlineStr">
        <is>
          <t>Pro TALENTI</t>
        </is>
      </c>
      <c r="E101" s="7" t="n">
        <v>0.68</v>
      </c>
      <c r="F101" s="2" t="inlineStr">
        <is>
          <t>Remoto</t>
        </is>
      </c>
      <c r="G101" s="5">
        <f>HYPERLINK("https://www.elempleo.com/co/ofertas-trabajo/analista-de-facturacion-1886690944", "Ver Vacante")</f>
        <v/>
      </c>
      <c r="H101" s="6" t="inlineStr"/>
      <c r="I101" s="3" t="inlineStr">
        <is>
          <t>[Afinidad: 68/100 - Afinidad Moderada] Alta coincidencia técnica en Herramientas Ofimáticas, Excel y Soporte Contable / Facturación.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fe14d64420345f3d</t>
        </is>
      </c>
      <c r="B102" s="2" t="inlineStr">
        <is>
          <t>2026-10-21 16:01</t>
        </is>
      </c>
      <c r="C102" s="3" t="inlineStr">
        <is>
          <t>Analista de facturación en salud</t>
        </is>
      </c>
      <c r="D102" s="3" t="inlineStr">
        <is>
          <t>Confidencial</t>
        </is>
      </c>
      <c r="E102" s="7" t="n">
        <v>0.68</v>
      </c>
      <c r="F102" s="2" t="inlineStr">
        <is>
          <t>Remoto</t>
        </is>
      </c>
      <c r="G102" s="5">
        <f>HYPERLINK("https://www.elempleo.com/co/ofertas-trabajo/analista-de-facturacion-en-salud-1886782162", "Ver Vacante")</f>
        <v/>
      </c>
      <c r="H102" s="6" t="inlineStr"/>
      <c r="I102" s="3" t="inlineStr">
        <is>
          <t>[Afinidad: 68/100 - Afinidad Moderada] Alta coincidencia técnica en Herramientas Ofimáticas, Excel y Soporte Contable / Facturación.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406263fa5885a11e</t>
        </is>
      </c>
      <c r="B103" s="2" t="inlineStr">
        <is>
          <t>2026-10-21 16:01</t>
        </is>
      </c>
      <c r="C103" s="3" t="inlineStr">
        <is>
          <t>Analista de facturación</t>
        </is>
      </c>
      <c r="D103" s="3" t="inlineStr">
        <is>
          <t>Confidencial</t>
        </is>
      </c>
      <c r="E103" s="7" t="n">
        <v>0.68</v>
      </c>
      <c r="F103" s="2" t="inlineStr">
        <is>
          <t>Remoto</t>
        </is>
      </c>
      <c r="G103" s="5">
        <f>HYPERLINK("https://www.elempleo.com/co/ofertas-trabajo/analista-de-facturacion-1886777179", "Ver Vacante")</f>
        <v/>
      </c>
      <c r="H103" s="6" t="inlineStr"/>
      <c r="I103" s="3" t="inlineStr">
        <is>
          <t>[Afinidad: 68/100 - Afinidad Moderada] Alta coincidencia técnica en Herramientas Ofimáticas, Excel y Soporte Contable / Facturación.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a26c2772a6b15c45</t>
        </is>
      </c>
      <c r="B104" s="2" t="inlineStr">
        <is>
          <t>2026-10-26 17:22</t>
        </is>
      </c>
      <c r="C104" s="3" t="inlineStr">
        <is>
          <t>Analista de facturación</t>
        </is>
      </c>
      <c r="D104" s="3" t="inlineStr">
        <is>
          <t>AGENCIA DE EMPLEO CAFAM</t>
        </is>
      </c>
      <c r="E104" s="7" t="n">
        <v>0.68</v>
      </c>
      <c r="F104" s="2" t="inlineStr">
        <is>
          <t>Remoto</t>
        </is>
      </c>
      <c r="G104" s="5">
        <f>HYPERLINK("https://www.elempleo.com/co/ofertas-trabajo/analista-de-facturacion-1886785209", "Ver Vacante")</f>
        <v/>
      </c>
      <c r="H104" s="6" t="inlineStr"/>
      <c r="I104" s="3" t="inlineStr">
        <is>
          <t>[Afinidad: 68/100 - Afinidad Moderada] Alta coincidencia técnica en Herramientas Ofimáticas, Excel y Soporte Contable / Facturación.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8ea64e48a843110e</t>
        </is>
      </c>
      <c r="B105" s="2" t="inlineStr">
        <is>
          <t>2026-09-24 16:07</t>
        </is>
      </c>
      <c r="C105" s="3" t="inlineStr">
        <is>
          <t>Auxiliar de Digitación y Validación de Información</t>
        </is>
      </c>
      <c r="D105" s="3" t="inlineStr">
        <is>
          <t>Hy Cite</t>
        </is>
      </c>
      <c r="E105" s="7" t="n">
        <v>0.66</v>
      </c>
      <c r="F105" s="2" t="inlineStr">
        <is>
          <t>Remoto</t>
        </is>
      </c>
      <c r="G105" s="5">
        <f>HYPERLINK("https://co.linkedin.com/jobs/view/auxiliar-de-digitaci%C3%B3n-y-validaci%C3%B3n-de-informaci%C3%B3n-at-hy-cite-4444163970", "Ver Vacante")</f>
        <v/>
      </c>
      <c r="H105" s="6" t="inlineStr"/>
      <c r="I105" s="3" t="inlineStr">
        <is>
          <t>[Afinidad: 66/100 - Afinidad Moderada] Alta coincidencia técnica en Gestión Administrativa, Documental y Archivo.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0810fb157c23918e</t>
        </is>
      </c>
      <c r="B106" s="2" t="inlineStr">
        <is>
          <t>2026-09-24 16:07</t>
        </is>
      </c>
      <c r="C106" s="3" t="inlineStr">
        <is>
          <t>Junior Tax Accountant / Data entry</t>
        </is>
      </c>
      <c r="D106" s="3" t="inlineStr">
        <is>
          <t>George Dimov, CPA</t>
        </is>
      </c>
      <c r="E106" s="7" t="n">
        <v>0.6</v>
      </c>
      <c r="F106" s="2" t="inlineStr">
        <is>
          <t>Remoto</t>
        </is>
      </c>
      <c r="G106" s="5">
        <f>HYPERLINK("https://co.linkedin.com/jobs/view/junior-tax-accountant-data-entry-remote-at-george-dimov-cpa-4468922588", "Ver Vacante")</f>
        <v/>
      </c>
      <c r="H106" s="6" t="inlineStr"/>
      <c r="I106" s="3" t="inlineStr">
        <is>
          <t>[Afinidad: 60/100 -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e9f0dba8da234b07</t>
        </is>
      </c>
      <c r="B107" s="2" t="inlineStr">
        <is>
          <t>2026-10-15 15:43</t>
        </is>
      </c>
      <c r="C107" s="3" t="inlineStr">
        <is>
          <t>Data Entry Jr.</t>
        </is>
      </c>
      <c r="D107" s="3" t="inlineStr">
        <is>
          <t>VIP Universal Medical Insurance Group (VUMI)</t>
        </is>
      </c>
      <c r="E107" s="7" t="n">
        <v>0.6</v>
      </c>
      <c r="F107" s="2" t="inlineStr">
        <is>
          <t>Remoto</t>
        </is>
      </c>
      <c r="G107" s="5">
        <f>HYPERLINK("https://co.linkedin.com/jobs/view/data-entry-jr-at-vip-universal-medical-insurance-group-vumi-4476487517", "Ver Vacante")</f>
        <v/>
      </c>
      <c r="H107" s="6" t="inlineStr"/>
      <c r="I107" s="3" t="inlineStr">
        <is>
          <t>[Afinidad: 60/100 -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b9e81da0bd12d416</t>
        </is>
      </c>
      <c r="B108" s="2" t="inlineStr">
        <is>
          <t>2026-09-24 16:07</t>
        </is>
      </c>
      <c r="C108" s="3" t="inlineStr">
        <is>
          <t>Auxiliar administrativo</t>
        </is>
      </c>
      <c r="D108" s="3" t="inlineStr">
        <is>
          <t>VR RISK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HYPERLINK("https://co.computrabajo.com/ofertas-de-trabajo/oferta-de-trabajo-de-auxiliar-administrativo-remoto-en-bogota-dc-08C32BD16679929A61373E686DCF3405", "Ver Vacante")</f>
        <v/>
      </c>
      <c r="H108" s="6" t="inlineStr">
        <is>
          <t>$ 2.000.000,00 (Mensual)</t>
        </is>
      </c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60a767236cb83e2b</t>
        </is>
      </c>
      <c r="B109" s="2" t="inlineStr">
        <is>
          <t>2026-09-24 16:07</t>
        </is>
      </c>
      <c r="C109" s="3" t="inlineStr">
        <is>
          <t>Asistente Administrativo y de Operaciones</t>
        </is>
      </c>
      <c r="D109" s="3" t="inlineStr">
        <is>
          <t>Direct Home Solutions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HYPERLINK("https://co.computrabajo.com/ofertas-de-trabajo/oferta-de-trabajo-de-asistente-administrativo-y-de-operaciones-remoto-en-pereira-737F61DE07AA2E7F61373E686DCF3405", "Ver Vacante")</f>
        <v/>
      </c>
      <c r="H109" s="6" t="inlineStr">
        <is>
          <t>$ 2.600.000,00 (Mensual)</t>
        </is>
      </c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04855c966d018926</t>
        </is>
      </c>
      <c r="B110" s="2" t="inlineStr">
        <is>
          <t>2026-09-24 16:07</t>
        </is>
      </c>
      <c r="C110" s="3" t="inlineStr">
        <is>
          <t>Auxiliar administrativo/a Vacante Inclusiva para personas con Discapacidad</t>
        </is>
      </c>
      <c r="D110" s="3" t="inlineStr">
        <is>
          <t>CENTRO DE EMPLEO Y TALENTO COLSUBSIDIO</t>
        </is>
      </c>
      <c r="E110" s="7" t="n">
        <v>0.58</v>
      </c>
      <c r="F110" s="2" t="inlineStr">
        <is>
          <t>Remoto</t>
        </is>
      </c>
      <c r="G110" s="5">
        <f>HYPERLINK("https://co.computrabajo.com/ofertas-de-trabajo/oferta-de-trabajo-de-auxiliar-administrativoa-vacante-inclusiva-para-personas-con-discapacidad-en-bogota-dc-F5B96991A8C617B661373E686DCF3405", "Ver Vacante")</f>
        <v/>
      </c>
      <c r="H110" s="6" t="inlineStr">
        <is>
          <t>$ 2.000.000,00 (Mensual)</t>
        </is>
      </c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a30e3afa7b66502b</t>
        </is>
      </c>
      <c r="B111" s="2" t="inlineStr">
        <is>
          <t>2026-09-24 16:07</t>
        </is>
      </c>
      <c r="C111" s="3" t="inlineStr">
        <is>
          <t>auxiliar administrativo/a</t>
        </is>
      </c>
      <c r="D111" s="3" t="inlineStr">
        <is>
          <t>ELITE SKIN ITALY S.A.S</t>
        </is>
      </c>
      <c r="E111" s="7" t="n">
        <v>0.58</v>
      </c>
      <c r="F111" s="2" t="inlineStr">
        <is>
          <t>Remoto</t>
        </is>
      </c>
      <c r="G111" s="5">
        <f>HYPERLINK("https://co.computrabajo.com/ofertas-de-trabajo/oferta-de-trabajo-de-auxiliar-administrativoa-virtual-remoto-con-o-sin-experiencia-en-bogota-dc-246C4633B2C1D28D61373E686DCF3405", "Ver Vacante")</f>
        <v/>
      </c>
      <c r="H111" s="6" t="inlineStr">
        <is>
          <t>$ 2.000.000,00 (Mensual)</t>
        </is>
      </c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899512a1b5af847f</t>
        </is>
      </c>
      <c r="B112" s="2" t="inlineStr">
        <is>
          <t>2026-09-24 16:07</t>
        </is>
      </c>
      <c r="C112" s="3" t="inlineStr">
        <is>
          <t>auxiliar contable y administrativo</t>
        </is>
      </c>
      <c r="D112" s="3" t="inlineStr">
        <is>
          <t>AZ LOGICA SAS</t>
        </is>
      </c>
      <c r="E112" s="7" t="n">
        <v>0.58</v>
      </c>
      <c r="F112" s="2" t="inlineStr">
        <is>
          <t>Remoto</t>
        </is>
      </c>
      <c r="G112" s="5">
        <f>HYPERLINK("https://co.computrabajo.com/ofertas-de-trabajo/oferta-de-trabajo-de-auxiliar-contable-y-administrativo-en-bogota-dc-E79FB52CC71B1AAF61373E686DCF3405", "Ver Vacante")</f>
        <v/>
      </c>
      <c r="H112" s="6" t="inlineStr">
        <is>
          <t>$ 2.000.000,00 (Mensual)</t>
        </is>
      </c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0048b5632ef5acf6</t>
        </is>
      </c>
      <c r="B113" s="2" t="inlineStr">
        <is>
          <t>2026-09-24 16:07</t>
        </is>
      </c>
      <c r="C113" s="3" t="inlineStr">
        <is>
          <t>Asistente Administrativo</t>
        </is>
      </c>
      <c r="D113" s="3" t="inlineStr">
        <is>
          <t>Naonsoft</t>
        </is>
      </c>
      <c r="E113" s="7" t="n">
        <v>0.58</v>
      </c>
      <c r="F113" s="2" t="inlineStr">
        <is>
          <t>Remoto</t>
        </is>
      </c>
      <c r="G113" s="5">
        <f>HYPERLINK("https://co.computrabajo.com/ofertas-de-trabajo/oferta-de-trabajo-de-asistente-administrativo-en-medellin-268B37E50FB0D28461373E686DCF3405", "Ver Vacante")</f>
        <v/>
      </c>
      <c r="H113" s="6" t="inlineStr">
        <is>
          <t>Remoto</t>
        </is>
      </c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062ee3244ed08bb4</t>
        </is>
      </c>
      <c r="B114" s="2" t="inlineStr">
        <is>
          <t>2026-09-24 16:07</t>
        </is>
      </c>
      <c r="C114" s="3" t="inlineStr">
        <is>
          <t>Asistente de Servicio al Cliente y Administrativo</t>
        </is>
      </c>
      <c r="D114" s="3" t="inlineStr">
        <is>
          <t>Health and Fitness</t>
        </is>
      </c>
      <c r="E114" s="7" t="n">
        <v>0.58</v>
      </c>
      <c r="F114" s="2" t="inlineStr">
        <is>
          <t>Remoto</t>
        </is>
      </c>
      <c r="G114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14" s="6" t="inlineStr">
        <is>
          <t>$ 2.500.000,00 (Mensual)</t>
        </is>
      </c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90d5245bdef0186a</t>
        </is>
      </c>
      <c r="B115" s="2" t="inlineStr">
        <is>
          <t>2026-09-24 16:07</t>
        </is>
      </c>
      <c r="C115" s="3" t="inlineStr">
        <is>
          <t>Asistente administrativo y financiero</t>
        </is>
      </c>
      <c r="D115" s="3" t="inlineStr">
        <is>
          <t>SOLVO S.A.S</t>
        </is>
      </c>
      <c r="E115" s="7" t="n">
        <v>0.58</v>
      </c>
      <c r="F115" s="2" t="inlineStr">
        <is>
          <t>Remoto</t>
        </is>
      </c>
      <c r="G115" s="5">
        <f>HYPERLINK("https://co.computrabajo.com/ofertas-de-trabajo/oferta-de-trabajo-de-asistente-administrativo-y-financiero-b2-en-bogota-dc-8B5C137D8309F1F661373E686DCF3405", "Ver Vacante")</f>
        <v/>
      </c>
      <c r="H115" s="6" t="inlineStr">
        <is>
          <t>Remoto</t>
        </is>
      </c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760f13e3724f6b31</t>
        </is>
      </c>
      <c r="B116" s="2" t="inlineStr">
        <is>
          <t>2026-09-24 16:07</t>
        </is>
      </c>
      <c r="C116" s="3" t="inlineStr">
        <is>
          <t>Asistente administrativo y financiero</t>
        </is>
      </c>
      <c r="D116" s="3" t="inlineStr">
        <is>
          <t>SOLVO S.A.S</t>
        </is>
      </c>
      <c r="E116" s="7" t="n">
        <v>0.58</v>
      </c>
      <c r="F116" s="2" t="inlineStr">
        <is>
          <t>Remoto</t>
        </is>
      </c>
      <c r="G116" s="5">
        <f>HYPERLINK("https://co.computrabajo.com/ofertas-de-trabajo/oferta-de-trabajo-de-asistente-administrativo-y-financiero-b2-en-medellin-837774FFD1C514D261373E686DCF3405", "Ver Vacante")</f>
        <v/>
      </c>
      <c r="H116" s="6" t="inlineStr">
        <is>
          <t>Remoto</t>
        </is>
      </c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2d0d5c2d341e3d17</t>
        </is>
      </c>
      <c r="B117" s="2" t="inlineStr">
        <is>
          <t>2026-09-24 16:07</t>
        </is>
      </c>
      <c r="C117" s="3" t="inlineStr">
        <is>
          <t>Asistente administrativo y financiero</t>
        </is>
      </c>
      <c r="D117" s="3" t="inlineStr">
        <is>
          <t>SOLVO S.A.S</t>
        </is>
      </c>
      <c r="E117" s="7" t="n">
        <v>0.58</v>
      </c>
      <c r="F117" s="2" t="inlineStr">
        <is>
          <t>Remoto</t>
        </is>
      </c>
      <c r="G117" s="5">
        <f>HYPERLINK("https://co.computrabajo.com/ofertas-de-trabajo/oferta-de-trabajo-de-asistente-administrativo-y-financiero-b2-en-barranquilla-08F31F737CD14CED61373E686DCF3405", "Ver Vacante")</f>
        <v/>
      </c>
      <c r="H117" s="6" t="inlineStr">
        <is>
          <t>Remoto</t>
        </is>
      </c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63592c52663ab0e0</t>
        </is>
      </c>
      <c r="B118" s="2" t="inlineStr">
        <is>
          <t>2026-09-24 16:07</t>
        </is>
      </c>
      <c r="C118" s="3" t="inlineStr">
        <is>
          <t>Auxiliar administrativo horario flexible remoto</t>
        </is>
      </c>
      <c r="D118" s="3" t="inlineStr">
        <is>
          <t>Empire Co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HYPERLINK("https://www.elempleo.com/co/ofertas-trabajo/auxiliar-administrativo-horario-flexible-remoto-1886769479",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729fb015086632d9</t>
        </is>
      </c>
      <c r="B119" s="2" t="inlineStr">
        <is>
          <t>2026-09-24 16:07</t>
        </is>
      </c>
      <c r="C119" s="3" t="inlineStr">
        <is>
          <t>Asistente de cuentas por pagar o tesoreria -remoto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HYPERLINK("https://www.elempleo.com/co/ofertas-trabajo/asistente-de-cuentas-por-pagar-o-tesoreria-remoto-1886744484",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e4a3b83ad6ab6438</t>
        </is>
      </c>
      <c r="B120" s="2" t="inlineStr">
        <is>
          <t>2026-09-24 16:07</t>
        </is>
      </c>
      <c r="C120" s="3" t="inlineStr">
        <is>
          <t>Auxiliar administrativo(a) - licencia</t>
        </is>
      </c>
      <c r="D120" s="3" t="inlineStr">
        <is>
          <t>FUCS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HYPERLINK("https://www.elempleo.com/co/ofertas-trabajo/auxiliar-administrativoa-licencia-1886759487",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2b1aa0caccddf7e4</t>
        </is>
      </c>
      <c r="B121" s="2" t="inlineStr">
        <is>
          <t>2026-09-24 16:07</t>
        </is>
      </c>
      <c r="C121" s="3" t="inlineStr">
        <is>
          <t>Auxiliar administrativo</t>
        </is>
      </c>
      <c r="D121" s="3" t="inlineStr">
        <is>
          <t>Cruz Roja Colombiana Seccional Cundinamarca y Bogotá.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HYPERLINK("https://www.elempleo.com/co/ofertas-trabajo/auxiliar-administrativo-1886753336",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f864b0373b9419ab</t>
        </is>
      </c>
      <c r="B122" s="2" t="inlineStr">
        <is>
          <t>2026-09-24 16:07</t>
        </is>
      </c>
      <c r="C122" s="3" t="inlineStr">
        <is>
          <t>Auxiliar administrativo -ciencias basicas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HYPERLINK("https://www.elempleo.com/co/ofertas-trabajo/auxiliar-administrativo-ciencias-basicas-1886759929",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00a48d615f284d91</t>
        </is>
      </c>
      <c r="B123" s="2" t="inlineStr">
        <is>
          <t>2026-09-24 16:07</t>
        </is>
      </c>
      <c r="C123" s="3" t="inlineStr">
        <is>
          <t>Auxiliar administrativo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HYPERLINK("https://www.elempleo.com/co/ofertas-trabajo/auxiliar-administrativo-bienestar-universitario-1886744996",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0544391db42d3941</t>
        </is>
      </c>
      <c r="B124" s="2" t="inlineStr">
        <is>
          <t>2026-09-24 16:07</t>
        </is>
      </c>
      <c r="C124" s="3" t="inlineStr">
        <is>
          <t>Auxiliar administrativo</t>
        </is>
      </c>
      <c r="D124" s="3" t="inlineStr">
        <is>
          <t>FUCS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HYPERLINK("https://www.elempleo.com/co/ofertas-trabajo/auxiliar-administrativoa-1886769676",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e4338d6723631384</t>
        </is>
      </c>
      <c r="B125" s="2" t="inlineStr">
        <is>
          <t>2026-09-24 16:07</t>
        </is>
      </c>
      <c r="C125" s="3" t="inlineStr">
        <is>
          <t>Auxiliar administrativo y de logística corporativa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HYPERLINK("https://www.elempleo.com/co/ofertas-trabajo/auxiliar-administrativo-y-de-logistica-corporativa-1886765843",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54d4c3f98f954a41</t>
        </is>
      </c>
      <c r="B126" s="2" t="inlineStr">
        <is>
          <t>2026-09-24 16:07</t>
        </is>
      </c>
      <c r="C126" s="3" t="inlineStr">
        <is>
          <t>Auxiliar administrativo educación continua</t>
        </is>
      </c>
      <c r="D126" s="3" t="inlineStr">
        <is>
          <t>Fundación Santa Fe de Bogotá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HYPERLINK("https://www.elempleo.com/co/ofertas-trabajo/auxiliar-administrativo-educacion-continua-1886750214",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e824af898bf9a932</t>
        </is>
      </c>
      <c r="B127" s="2" t="inlineStr">
        <is>
          <t>2026-09-24 16:07</t>
        </is>
      </c>
      <c r="C127" s="3" t="inlineStr">
        <is>
          <t>Auxiliar administrativo y financiero</t>
        </is>
      </c>
      <c r="D127" s="3" t="inlineStr">
        <is>
          <t>Confidencial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HYPERLINK("https://www.elempleo.com/co/ofertas-trabajo/auxiliar-administrativo-y-financiero-1886753619",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54c86d8a0d796617</t>
        </is>
      </c>
      <c r="B128" s="2" t="inlineStr">
        <is>
          <t>2026-09-24 16:07</t>
        </is>
      </c>
      <c r="C128" s="3" t="inlineStr">
        <is>
          <t>Auxiliar administrativa</t>
        </is>
      </c>
      <c r="D128" s="3" t="inlineStr">
        <is>
          <t>ASISTALENTO SAS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HYPERLINK("https://www.elempleo.com/co/ofertas-trabajo/auxiliar-administrativa-1886767177",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372b28276b98282f</t>
        </is>
      </c>
      <c r="B129" s="2" t="inlineStr">
        <is>
          <t>2026-09-24 16:07</t>
        </is>
      </c>
      <c r="C129" s="3" t="inlineStr">
        <is>
          <t>Secretaria administrativa</t>
        </is>
      </c>
      <c r="D129" s="3" t="inlineStr">
        <is>
          <t>FUNDACIÓN ANDES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HYPERLINK("https://www.elempleo.com/co/ofertas-trabajo/secretaria-administrativa-1886756322",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cee8b3db11750755</t>
        </is>
      </c>
      <c r="B130" s="2" t="inlineStr">
        <is>
          <t>2026-09-24 16:07</t>
        </is>
      </c>
      <c r="C130" s="3" t="inlineStr">
        <is>
          <t>Auxiliar administrativo de obra</t>
        </is>
      </c>
      <c r="D130" s="3" t="inlineStr">
        <is>
          <t>GRUPO AR S.A.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HYPERLINK("https://www.elempleo.com/co/ofertas-trabajo/auxiliar-administrativo-de-obra-1886747241",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f86d411dd7ab31c0</t>
        </is>
      </c>
      <c r="B131" s="2" t="inlineStr">
        <is>
          <t>2026-09-24 16:07</t>
        </is>
      </c>
      <c r="C131" s="3" t="inlineStr">
        <is>
          <t>Asistente administrativa supernumeraria</t>
        </is>
      </c>
      <c r="D131" s="3" t="inlineStr">
        <is>
          <t>Grupo Good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HYPERLINK("https://www.elempleo.com/co/ofertas-trabajo/asistente-administrativa-supernumeraria-1886762173",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02d246dd2c1d19fd</t>
        </is>
      </c>
      <c r="B132" s="2" t="inlineStr">
        <is>
          <t>2026-09-24 16:07</t>
        </is>
      </c>
      <c r="C132" s="3" t="inlineStr">
        <is>
          <t>Asistente ejecutiva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HYPERLINK("https://www.elempleo.com/co/ofertas-trabajo/asistente-ejecutiva-1886745926",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b56bb36e9fc82e1e</t>
        </is>
      </c>
      <c r="B133" s="2" t="inlineStr">
        <is>
          <t>2026-09-24 16:07</t>
        </is>
      </c>
      <c r="C133" s="3" t="inlineStr">
        <is>
          <t>Asistente administrativo/a</t>
        </is>
      </c>
      <c r="D133" s="3" t="inlineStr">
        <is>
          <t>MEDICALL TALENTO HUMANO S.A.S.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HYPERLINK("https://www.elempleo.com/co/ofertas-trabajo/asistente-administrativo-a-1886747464",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58fe156c45c49fc4</t>
        </is>
      </c>
      <c r="B134" s="2" t="inlineStr">
        <is>
          <t>2026-09-24 16:07</t>
        </is>
      </c>
      <c r="C134" s="3" t="inlineStr">
        <is>
          <t>Asistente ejecutiva y personal de presidencia</t>
        </is>
      </c>
      <c r="D134" s="3" t="inlineStr">
        <is>
          <t>ADECCO COLOMBIA S A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HYPERLINK("https://www.elempleo.com/co/ofertas-trabajo/asistente-ejecutiva-y-personal-de-presidencia-1886765043",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c68c842aec0507f5</t>
        </is>
      </c>
      <c r="B135" s="2" t="inlineStr">
        <is>
          <t>2026-09-24 16:07</t>
        </is>
      </c>
      <c r="C135" s="3" t="inlineStr">
        <is>
          <t>Asistente administrativo y operativo</t>
        </is>
      </c>
      <c r="D135" s="3" t="inlineStr">
        <is>
          <t>ALIANZA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HYPERLINK("https://www.elempleo.com/co/ofertas-trabajo/asistente-administrativo-y-operativo-1886769341",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e55c41f8f35d0d12</t>
        </is>
      </c>
      <c r="B136" s="2" t="inlineStr">
        <is>
          <t>2026-09-24 16:07</t>
        </is>
      </c>
      <c r="C136" s="3" t="inlineStr">
        <is>
          <t>Asistente administrativa y comercial pereira</t>
        </is>
      </c>
      <c r="D136" s="3" t="inlineStr">
        <is>
          <t>EDITORIAL LA REPÚBLICA S.A.S.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HYPERLINK("https://www.elempleo.com/co/ofertas-trabajo/asistente-administrativa-y-comercial-pereira-1886746894",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0504d9833ad54912</t>
        </is>
      </c>
      <c r="B137" s="2" t="inlineStr">
        <is>
          <t>2026-09-24 16:07</t>
        </is>
      </c>
      <c r="C137" s="3" t="inlineStr">
        <is>
          <t>Asistente administrativo(a) at | bogotá</t>
        </is>
      </c>
      <c r="D137" s="3" t="inlineStr">
        <is>
          <t>Confidencial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HYPERLINK("https://www.elempleo.com/co/ofertas-trabajo/asistente-administrativoa-at-bogota-1886765770",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bacc38002882c624</t>
        </is>
      </c>
      <c r="B138" s="2" t="inlineStr">
        <is>
          <t>2026-09-24 16:07</t>
        </is>
      </c>
      <c r="C138" s="3" t="inlineStr">
        <is>
          <t>Asistente administrativo</t>
        </is>
      </c>
      <c r="D138" s="3" t="inlineStr">
        <is>
          <t>POSSE HERRERA Y RUIZ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HYPERLINK("https://www.elempleo.com/co/ofertas-trabajo/asistente-administrativo-1886757128",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115c420d4e627838</t>
        </is>
      </c>
      <c r="B139" s="2" t="inlineStr">
        <is>
          <t>2026-09-24 16:07</t>
        </is>
      </c>
      <c r="C139" s="3" t="inlineStr">
        <is>
          <t>Recepcionista y asistente administrativa</t>
        </is>
      </c>
      <c r="D139" s="3" t="inlineStr">
        <is>
          <t>Colliers International Colombia S.A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HYPERLINK("https://www.elempleo.com/co/ofertas-trabajo/recepcionista-y-asistente-administrativa-1886769882",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0eafe890d09dc027</t>
        </is>
      </c>
      <c r="B140" s="2" t="inlineStr">
        <is>
          <t>2026-09-24 16:07</t>
        </is>
      </c>
      <c r="C140" s="3" t="inlineStr">
        <is>
          <t>Asistente administrativa y contable - chía | ref. 1626544466-1</t>
        </is>
      </c>
      <c r="D140" s="3" t="inlineStr">
        <is>
          <t>AGENCIA DE EMPLEO Y FOMENTO EMPRESARIAL COMPENSAR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HYPERLINK("https://www.elempleo.com/co/ofertas-trabajo/asistente-administrativa-y-contable-chia-ref-16265444661-1886766808",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7fdb3ec2bb49ce90</t>
        </is>
      </c>
      <c r="B141" s="2" t="inlineStr">
        <is>
          <t>2026-09-24 16:07</t>
        </is>
      </c>
      <c r="C141" s="3" t="inlineStr">
        <is>
          <t>Asistente administrativa y contable</t>
        </is>
      </c>
      <c r="D141" s="3" t="inlineStr">
        <is>
          <t>ASESORES FINANCIEROS Y TRIBUTARIOS GR SAS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HYPERLINK("https://www.elempleo.com/co/ofertas-trabajo/asistente-administrativa-y-contable-1886758421",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08014f384f124ec4</t>
        </is>
      </c>
      <c r="B142" s="2" t="inlineStr">
        <is>
          <t>2026-09-24 16:07</t>
        </is>
      </c>
      <c r="C142" s="3" t="inlineStr">
        <is>
          <t>Asistente administrativo y contable - villeta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HYPERLINK("https://www.elempleo.com/co/ofertas-trabajo/asistente-administrativo-y-contable-villeta-1886759076",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c62a542387886bca</t>
        </is>
      </c>
      <c r="B143" s="2" t="inlineStr">
        <is>
          <t>2026-09-24 16:07</t>
        </is>
      </c>
      <c r="C143" s="3" t="inlineStr">
        <is>
          <t>Asistente administrativo y contable - villeta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HYPERLINK("https://www.elempleo.com/co/ofertas-trabajo/asistente-administrativo-y-contable-villeta-1886758361",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fec983a79bc46288</t>
        </is>
      </c>
      <c r="B144" s="2" t="inlineStr">
        <is>
          <t>2026-09-24 16:07</t>
        </is>
      </c>
      <c r="C144" s="3" t="inlineStr">
        <is>
          <t>Asistente administrativo y contable</t>
        </is>
      </c>
      <c r="D144" s="3" t="inlineStr">
        <is>
          <t>iLingo Integrated Solutions in Languages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HYPERLINK("https://www.elempleo.com/co/ofertas-trabajo/asistente-administrativo-y-contable-1886747606",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1871e0c68a13d38e</t>
        </is>
      </c>
      <c r="B145" s="2" t="inlineStr">
        <is>
          <t>2026-09-24 16:07</t>
        </is>
      </c>
      <c r="C145" s="3" t="inlineStr">
        <is>
          <t>Auxiliar contable - sap - bogota</t>
        </is>
      </c>
      <c r="D145" s="3" t="inlineStr">
        <is>
          <t>ADECCO COLOMBIA S A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HYPERLINK("https://www.elempleo.com/co/ofertas-trabajo/auxiliar-contable-sap-bogota-1886767163",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6367348e3671a1aa</t>
        </is>
      </c>
      <c r="B146" s="2" t="inlineStr">
        <is>
          <t>2026-09-24 16:07</t>
        </is>
      </c>
      <c r="C146" s="3" t="inlineStr">
        <is>
          <t>Asistente contable y administrativo con experiencia contable en sap, cartera y tesoreria</t>
        </is>
      </c>
      <c r="D146" s="3" t="inlineStr">
        <is>
          <t>Confidencial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HYPERLINK("https://www.elempleo.com/co/ofertas-trabajo/asistente-contable-y-administrativo-con-experiencia-contable-en-sap-cartera-y-tesoreria-1886760656",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fa85204cef58799f</t>
        </is>
      </c>
      <c r="B147" s="2" t="inlineStr">
        <is>
          <t>2026-09-24 16:07</t>
        </is>
      </c>
      <c r="C147" s="3" t="inlineStr">
        <is>
          <t>Asistente contable y administrativo con experiencia contable en sap - cartera y tesoreria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HYPERLINK("https://www.elempleo.com/co/ofertas-trabajo/asistente-contable-y-administrativo-con-experiencia-contable-en-sap-cartera-y-tesoreria-1886766820",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d8062d850cbf46a1</t>
        </is>
      </c>
      <c r="B148" s="2" t="inlineStr">
        <is>
          <t>2026-09-24 16:07</t>
        </is>
      </c>
      <c r="C148" s="3" t="inlineStr">
        <is>
          <t>Digitador - 353703-113642</t>
        </is>
      </c>
      <c r="D148" s="3" t="inlineStr">
        <is>
          <t>AGENCIA DE EMPLEO Y FOMENTO EMPRESARIAL COMPENSAR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HYPERLINK("https://www.elempleo.com/co/ofertas-trabajo/digitador-353703113642-1886769566",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2f520ba083e2847f</t>
        </is>
      </c>
      <c r="B149" s="2" t="inlineStr">
        <is>
          <t>2026-09-24 16:07</t>
        </is>
      </c>
      <c r="C149" s="3" t="inlineStr">
        <is>
          <t>Digitador en planta de producción</t>
        </is>
      </c>
      <c r="D149" s="3" t="inlineStr">
        <is>
          <t>Prysmian Group - Procables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HYPERLINK("https://www.elempleo.com/co/ofertas-trabajo/digitador-en-planta-de-produccion-1886722751",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475f3966c5302ff0</t>
        </is>
      </c>
      <c r="B150" s="2" t="inlineStr">
        <is>
          <t>2026-09-24 16:07</t>
        </is>
      </c>
      <c r="C150" s="3" t="inlineStr">
        <is>
          <t>Analista de aduana - digitador opencomex</t>
        </is>
      </c>
      <c r="D150" s="3" t="inlineStr">
        <is>
          <t>Confidencial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HYPERLINK("https://www.elempleo.com/co/ofertas-trabajo/analista-de-aduana-digitador-opencomex-1886762323",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107d0765b8dfce86</t>
        </is>
      </c>
      <c r="B151" s="2" t="inlineStr">
        <is>
          <t>2026-09-24 16:07</t>
        </is>
      </c>
      <c r="C151" s="3" t="inlineStr">
        <is>
          <t>Auxiliar digitador(a) de contabilidad</t>
        </is>
      </c>
      <c r="D151" s="3" t="inlineStr">
        <is>
          <t>Confidencial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HYPERLINK("https://www.elempleo.com/co/ofertas-trabajo/auxiliar-digitadora-de-contabilidad-1886770758",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b1591783dbbcb1f9</t>
        </is>
      </c>
      <c r="B152" s="2" t="inlineStr">
        <is>
          <t>2026-09-24 16:07</t>
        </is>
      </c>
      <c r="C152" s="3" t="inlineStr">
        <is>
          <t>Analista de aduana - digitador opencomex</t>
        </is>
      </c>
      <c r="D152" s="3" t="inlineStr">
        <is>
          <t>Confidencial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HYPERLINK("https://www.elempleo.com/co/ofertas-trabajo/analista-de-aduana-digitador-opencomex-1886763468",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cfe8b8276b28373b</t>
        </is>
      </c>
      <c r="B153" s="2" t="inlineStr">
        <is>
          <t>2026-09-24 16:07</t>
        </is>
      </c>
      <c r="C153" s="3" t="inlineStr">
        <is>
          <t>Analista de aduana - digitador opencomex - santa marta</t>
        </is>
      </c>
      <c r="D153" s="3" t="inlineStr">
        <is>
          <t>Confidencial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HYPERLINK("https://www.elempleo.com/co/ofertas-trabajo/analista-de-aduana-digitador-opencomex-santa-marta-1886762869",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01c7ac97b62a3626</t>
        </is>
      </c>
      <c r="B154" s="2" t="inlineStr">
        <is>
          <t>2026-09-24 16:07</t>
        </is>
      </c>
      <c r="C154" s="3" t="inlineStr">
        <is>
          <t>Auxiliar digitador(a) de contabilidad</t>
        </is>
      </c>
      <c r="D154" s="3" t="inlineStr">
        <is>
          <t>Confidencial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HYPERLINK("https://www.elempleo.com/co/ofertas-trabajo/auxiliar-digitadora-de-contabilidad-1886761791",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2fc59d447ad455e1</t>
        </is>
      </c>
      <c r="B155" s="2" t="inlineStr">
        <is>
          <t>2026-09-24 16:07</t>
        </is>
      </c>
      <c r="C155" s="3" t="inlineStr">
        <is>
          <t>Digitador comercial interno</t>
        </is>
      </c>
      <c r="D155" s="3" t="inlineStr">
        <is>
          <t>TEMPORIZAR SERVICIOS TEMPORALES SAS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HYPERLINK("https://www.elempleo.com/co/ofertas-trabajo/digitador-comercial-interno-1886746080",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e58059d4e095bd7a</t>
        </is>
      </c>
      <c r="B156" s="2" t="inlineStr">
        <is>
          <t>2026-09-24 16:07</t>
        </is>
      </c>
      <c r="C156" s="3" t="inlineStr">
        <is>
          <t>Apoyo facturación - palmira</t>
        </is>
      </c>
      <c r="D156" s="3" t="inlineStr">
        <is>
          <t>ALQUERIA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HYPERLINK("https://www.elempleo.com/co/ofertas-trabajo/apoyo-facturacion-palmira-1886758686", "Ver Vacante")</f>
        <v/>
      </c>
      <c r="H156" s="6" t="inlineStr"/>
      <c r="I156" s="3" t="inlineStr">
        <is>
          <t>[Afinidad: 58/100 - Afinidad Moderada] Alta coincidencia técnica en Herramientas Ofimáticas, Excel y Soporte Contable / Facturación.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62e7c31c63a388da</t>
        </is>
      </c>
      <c r="B157" s="2" t="inlineStr">
        <is>
          <t>2026-09-24 16:07</t>
        </is>
      </c>
      <c r="C157" s="3" t="inlineStr">
        <is>
          <t>Recepcion y facturacion de laboratorio clínico</t>
        </is>
      </c>
      <c r="D157" s="3" t="inlineStr">
        <is>
          <t>Fundación Santa Fe de Bogotá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HYPERLINK("https://www.elempleo.com/co/ofertas-trabajo/recepcion-y-facturacion-de-laboratorio-clinico-1886761193", "Ver Vacante")</f>
        <v/>
      </c>
      <c r="H157" s="6" t="inlineStr"/>
      <c r="I157" s="3" t="inlineStr">
        <is>
          <t>[Afinidad: 58/100 - Afinidad Moderada] Alta coincidencia técnica en Herramientas Ofimáticas, Excel y Soporte Contable / Facturación.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6eafefaa9d4e76e6</t>
        </is>
      </c>
      <c r="B158" s="2" t="inlineStr">
        <is>
          <t>2026-09-24 16:07</t>
        </is>
      </c>
      <c r="C158" s="3" t="inlineStr">
        <is>
          <t>Recepcionista facturación en laboratorio clínico</t>
        </is>
      </c>
      <c r="D158" s="3" t="inlineStr">
        <is>
          <t>Fundación Santa Fe de Bogotá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HYPERLINK("https://www.elempleo.com/co/ofertas-trabajo/recepcionista-facturacion-en-laboratorio-clinico-1886753959", "Ver Vacante")</f>
        <v/>
      </c>
      <c r="H158" s="6" t="inlineStr"/>
      <c r="I158" s="3" t="inlineStr">
        <is>
          <t>[Afinidad: 58/100 - Afinidad Moderada] Alta coincidencia técnica en Herramientas Ofimáticas, Excel y Soporte Contable / Facturación.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1ac2af8aa1b80d19</t>
        </is>
      </c>
      <c r="B159" s="2" t="inlineStr">
        <is>
          <t>2026-09-24 16:07</t>
        </is>
      </c>
      <c r="C159" s="3" t="inlineStr">
        <is>
          <t>Recepcionista facturación en laboratorio clínico</t>
        </is>
      </c>
      <c r="D159" s="3" t="inlineStr">
        <is>
          <t>Fundación Santa Fe de Bogotá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HYPERLINK("https://www.elempleo.com/co/ofertas-trabajo/recepcionista-facturacion-en-laboratorio-clinico-1886746927", "Ver Vacante")</f>
        <v/>
      </c>
      <c r="H159" s="6" t="inlineStr"/>
      <c r="I159" s="3" t="inlineStr">
        <is>
          <t>[Afinidad: 58/100 - Afinidad Moderada] Alta coincidencia técnica en Herramientas Ofimáticas, Excel y Soporte Contable / Facturación.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5fb21eaeba4e417d</t>
        </is>
      </c>
      <c r="B160" s="2" t="inlineStr">
        <is>
          <t>2026-09-24 16:07</t>
        </is>
      </c>
      <c r="C160" s="3" t="inlineStr">
        <is>
          <t>Gestor de Facturación e Ingresos // Remoto</t>
        </is>
      </c>
      <c r="D160" s="3" t="inlineStr">
        <is>
          <t>Siigo</t>
        </is>
      </c>
      <c r="E160" s="7" t="n">
        <v>0.58</v>
      </c>
      <c r="F160" s="2" t="inlineStr">
        <is>
          <t>Remoto</t>
        </is>
      </c>
      <c r="G160" s="5">
        <f>HYPERLINK("https://co.linkedin.com/jobs/view/gestor-de-facturaci%C3%B3n-e-ingresos-remoto-pcd-at-siigo-4463333674", "Ver Vacante")</f>
        <v/>
      </c>
      <c r="H160" s="6" t="inlineStr"/>
      <c r="I160" s="3" t="inlineStr">
        <is>
          <t>[Afinidad: 58/100 - Afinidad Moderada] Alta coincidencia técnica en Herramientas Ofimáticas, Excel y Soporte Contable / Facturación.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acc279cbcc202e8c</t>
        </is>
      </c>
      <c r="B161" s="2" t="inlineStr">
        <is>
          <t>2026-09-24 16:07</t>
        </is>
      </c>
      <c r="C161" s="3" t="inlineStr">
        <is>
          <t>Data Entry Clerk</t>
        </is>
      </c>
      <c r="D161" s="3" t="inlineStr">
        <is>
          <t>Hired</t>
        </is>
      </c>
      <c r="E161" s="7" t="n">
        <v>0.58</v>
      </c>
      <c r="F161" s="2" t="inlineStr">
        <is>
          <t>Remoto</t>
        </is>
      </c>
      <c r="G161" s="5">
        <f>HYPERLINK("https://co.linkedin.com/jobs/view/data-entry-clerk-remote-at-hired-4466319108",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c9df64f69713d9c3</t>
        </is>
      </c>
      <c r="B162" s="2" t="inlineStr">
        <is>
          <t>2026-09-24 16:07</t>
        </is>
      </c>
      <c r="C162" s="3" t="inlineStr">
        <is>
          <t>Client Intake and Data Entry Specialist</t>
        </is>
      </c>
      <c r="D162" s="3" t="inlineStr">
        <is>
          <t>Job Duck</t>
        </is>
      </c>
      <c r="E162" s="7" t="n">
        <v>0.58</v>
      </c>
      <c r="F162" s="2" t="inlineStr">
        <is>
          <t>Remoto</t>
        </is>
      </c>
      <c r="G162" s="5">
        <f>HYPERLINK("https://co.linkedin.com/jobs/view/client-intake-and-data-entry-specialist-at-job-duck-4469179215",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bfd4f2e4c8eb51d6</t>
        </is>
      </c>
      <c r="B163" s="2" t="inlineStr">
        <is>
          <t>2026-09-24 16:07</t>
        </is>
      </c>
      <c r="C163" s="3" t="inlineStr">
        <is>
          <t>Data Entry Specialist - Remote Work | REF#169097</t>
        </is>
      </c>
      <c r="D163" s="3" t="inlineStr">
        <is>
          <t>BairesDev</t>
        </is>
      </c>
      <c r="E163" s="7" t="n">
        <v>0.58</v>
      </c>
      <c r="F163" s="2" t="inlineStr">
        <is>
          <t>Remoto</t>
        </is>
      </c>
      <c r="G163" s="5">
        <f>HYPERLINK("https://co.linkedin.com/jobs/view/data-entry-specialist-remote-work-ref%23169097-at-bairesdev-4140196697",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f71b85e853980a5b</t>
        </is>
      </c>
      <c r="B164" s="2" t="inlineStr">
        <is>
          <t>2026-09-24 16:07</t>
        </is>
      </c>
      <c r="C164" s="3" t="inlineStr">
        <is>
          <t>Data Entry Specialist</t>
        </is>
      </c>
      <c r="D164" s="3" t="inlineStr">
        <is>
          <t>Booth</t>
        </is>
      </c>
      <c r="E164" s="7" t="n">
        <v>0.58</v>
      </c>
      <c r="F164" s="2" t="inlineStr">
        <is>
          <t>Remoto</t>
        </is>
      </c>
      <c r="G164" s="5">
        <f>HYPERLINK("https://co.linkedin.com/jobs/view/data-entry-specialist-at-booth-4468950013",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b124540f32e77f79</t>
        </is>
      </c>
      <c r="B165" s="2" t="inlineStr">
        <is>
          <t>2026-09-24 16:07</t>
        </is>
      </c>
      <c r="C165" s="3" t="inlineStr">
        <is>
          <t>Digitador</t>
        </is>
      </c>
      <c r="D165" s="3" t="inlineStr">
        <is>
          <t>Iron Mountain</t>
        </is>
      </c>
      <c r="E165" s="7" t="n">
        <v>0.58</v>
      </c>
      <c r="F165" s="2" t="inlineStr">
        <is>
          <t>Remoto</t>
        </is>
      </c>
      <c r="G165" s="5">
        <f>HYPERLINK("https://co.linkedin.com/jobs/view/digitador-at-iron-mountain-4468884742",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648f264595161cd7</t>
        </is>
      </c>
      <c r="B166" s="2" t="inlineStr">
        <is>
          <t>2026-09-24 16:07</t>
        </is>
      </c>
      <c r="C166" s="3" t="inlineStr">
        <is>
          <t>Auxiliar Administrativa de Vicepresidencia Bilingüe</t>
        </is>
      </c>
      <c r="D166" s="3" t="inlineStr">
        <is>
          <t>Adecco</t>
        </is>
      </c>
      <c r="E166" s="7" t="n">
        <v>0.58</v>
      </c>
      <c r="F166" s="2" t="inlineStr">
        <is>
          <t>Remoto</t>
        </is>
      </c>
      <c r="G166" s="5">
        <f>HYPERLINK("https://co.linkedin.com/jobs/view/auxiliar-administrativa-de-vicepresidencia-biling%C3%BCe-at-adecco-4469224990",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eb90ed56020b1176</t>
        </is>
      </c>
      <c r="B167" s="2" t="inlineStr">
        <is>
          <t>2026-09-24 16:07</t>
        </is>
      </c>
      <c r="C167" s="3" t="inlineStr">
        <is>
          <t>Inside Sales Contractor</t>
        </is>
      </c>
      <c r="D167" s="3" t="inlineStr">
        <is>
          <t>Credit Wellness, LLC</t>
        </is>
      </c>
      <c r="E167" s="7" t="n">
        <v>0.58</v>
      </c>
      <c r="F167" s="2" t="inlineStr">
        <is>
          <t>Remoto</t>
        </is>
      </c>
      <c r="G167" s="5">
        <f>HYPERLINK("https://remotive.com/remote-jobs/sales/inside-sales-contractor-2086540", "Ver Vacante")</f>
        <v/>
      </c>
      <c r="H167" s="6" t="inlineStr">
        <is>
          <t>OTE $25k - $35k</t>
        </is>
      </c>
      <c r="I167" s="3" t="inlineStr">
        <is>
          <t>[Afinidad: 58/100 - Afinidad Moderada] Alta coincidencia técnica en Herramientas Ofimáticas, Excel y Soporte Contable / Facturación.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ebabcd51596d0d3b</t>
        </is>
      </c>
      <c r="B168" s="2" t="inlineStr">
        <is>
          <t>2026-09-25 15:56</t>
        </is>
      </c>
      <c r="C168" s="3" t="inlineStr">
        <is>
          <t>Auxiliar contable y administrativo</t>
        </is>
      </c>
      <c r="D168" s="3" t="inlineStr">
        <is>
          <t>ACTIVE ACCOUNTING GROUP</t>
        </is>
      </c>
      <c r="E168" s="7" t="n">
        <v>0.58</v>
      </c>
      <c r="F168" s="2" t="inlineStr">
        <is>
          <t>Remoto</t>
        </is>
      </c>
      <c r="G168" s="5">
        <f>HYPERLINK("https://co.computrabajo.com/ofertas-de-trabajo/oferta-de-trabajo-de-auxiliar-contable-y-administrativo-con-experiencia-en-el-santuario-C71D6812AE6D474061373E686DCF3405", "Ver Vacante")</f>
        <v/>
      </c>
      <c r="H168" s="6" t="inlineStr">
        <is>
          <t>$ 1.750.905,00 (Mensual)</t>
        </is>
      </c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e12bdf1aa280de03</t>
        </is>
      </c>
      <c r="B169" s="2" t="inlineStr">
        <is>
          <t>2026-09-25 15:56</t>
        </is>
      </c>
      <c r="C169" s="3" t="inlineStr">
        <is>
          <t>Auxiliar administrativo</t>
        </is>
      </c>
      <c r="D169" s="3" t="inlineStr">
        <is>
          <t>Confidencial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HYPERLINK("https://www.elempleo.com/co/ofertas-trabajo/auxiliar-administrativoa-1886768459",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b1fccbf6d15bddc2</t>
        </is>
      </c>
      <c r="B170" s="2" t="inlineStr">
        <is>
          <t>2026-09-25 15:56</t>
        </is>
      </c>
      <c r="C170" s="3" t="inlineStr">
        <is>
          <t>Asistente administrativa</t>
        </is>
      </c>
      <c r="D170" s="3" t="inlineStr">
        <is>
          <t>Dra Lina Bedoya Odontologia Estetica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HYPERLINK("https://www.elempleo.com/co/ofertas-trabajo/asistente-administrativa-1886766293",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db6a52513ae159ab</t>
        </is>
      </c>
      <c r="B171" s="2" t="inlineStr">
        <is>
          <t>2026-09-25 15:56</t>
        </is>
      </c>
      <c r="C171" s="3" t="inlineStr">
        <is>
          <t>Auxiliar contable - sap - bogota</t>
        </is>
      </c>
      <c r="D171" s="3" t="inlineStr">
        <is>
          <t>ADECCO COLOMBIA S A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HYPERLINK("https://www.elempleo.com/co/ofertas-trabajo/auxiliar-contable-sap-bogota-1886767591",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ae9358eb43bb2f5b</t>
        </is>
      </c>
      <c r="B172" s="2" t="inlineStr">
        <is>
          <t>2026-09-25 15:56</t>
        </is>
      </c>
      <c r="C172" s="3" t="inlineStr">
        <is>
          <t>Auxiliar contable - sap - bogota</t>
        </is>
      </c>
      <c r="D172" s="3" t="inlineStr">
        <is>
          <t>ADECCO COLOMBIA S A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HYPERLINK("https://www.elempleo.com/co/ofertas-trabajo/auxiliar-contable-sap-bogota-1886767165",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daa8b5315dfb38c2</t>
        </is>
      </c>
      <c r="B173" s="2" t="inlineStr">
        <is>
          <t>2026-09-25 15:56</t>
        </is>
      </c>
      <c r="C173" s="3" t="inlineStr">
        <is>
          <t>Auxiliar contable - sap - bogota</t>
        </is>
      </c>
      <c r="D173" s="3" t="inlineStr">
        <is>
          <t>ADECCO COLOMBIA S A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HYPERLINK("https://www.elempleo.com/co/ofertas-trabajo/auxiliar-contable-sap-bogota-1886767164",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2d35aa26ef7d8409</t>
        </is>
      </c>
      <c r="B174" s="2" t="inlineStr">
        <is>
          <t>2026-09-25 15:56</t>
        </is>
      </c>
      <c r="C174" s="3" t="inlineStr">
        <is>
          <t>Almacenista digitador</t>
        </is>
      </c>
      <c r="D174" s="3" t="inlineStr">
        <is>
          <t>Confidencial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HYPERLINK("https://www.elempleo.com/co/ofertas-trabajo/almacenista-digitador-1886754273",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a36cc8c2293d75bb</t>
        </is>
      </c>
      <c r="B175" s="2" t="inlineStr">
        <is>
          <t>2026-09-25 15:56</t>
        </is>
      </c>
      <c r="C175" s="3" t="inlineStr">
        <is>
          <t>Aux de facturacion - personas con discapacidad - bogota</t>
        </is>
      </c>
      <c r="D175" s="3" t="inlineStr">
        <is>
          <t>Quirón Prevención Colombia S.A.S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HYPERLINK("https://www.elempleo.com/co/ofertas-trabajo/aux-de-facturacion-personas-con-discapacidad-bogota-1886768842", "Ver Vacante")</f>
        <v/>
      </c>
      <c r="H175" s="6" t="inlineStr"/>
      <c r="I175" s="3" t="inlineStr">
        <is>
          <t>[Afinidad: 58/100 - Afinidad Moderada] Alta coincidencia técnica en Herramientas Ofimáticas, Excel y Soporte Contable / Facturación.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e482852a389226cd</t>
        </is>
      </c>
      <c r="B176" s="2" t="inlineStr">
        <is>
          <t>2026-09-25 15:56</t>
        </is>
      </c>
      <c r="C176" s="3" t="inlineStr">
        <is>
          <t>Ejecutivo de cuenta / facturación electrónica</t>
        </is>
      </c>
      <c r="D176" s="3" t="inlineStr">
        <is>
          <t>Confidencial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HYPERLINK("https://www.elempleo.com/co/ofertas-trabajo/ejecutivo-de-cuenta-facturacion-electronica-1886754585", "Ver Vacante")</f>
        <v/>
      </c>
      <c r="H176" s="6" t="inlineStr"/>
      <c r="I176" s="3" t="inlineStr">
        <is>
          <t>[Afinidad: 58/100 - Afinidad Moderada] Alta coincidencia técnica en Herramientas Ofimáticas, Excel y Soporte Contable / Facturación.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0dfab7dcd9959d45</t>
        </is>
      </c>
      <c r="B177" s="2" t="inlineStr">
        <is>
          <t>2026-09-25 15:56</t>
        </is>
      </c>
      <c r="C177" s="3" t="inlineStr">
        <is>
          <t>Recepcion y facturacion de laboratorio clínico</t>
        </is>
      </c>
      <c r="D177" s="3" t="inlineStr">
        <is>
          <t>Fundación Santa Fe de Bogotá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HYPERLINK("https://www.elempleo.com/co/ofertas-trabajo/recepcion-y-facturacion-de-laboratorio-clinico-1886771931", "Ver Vacante")</f>
        <v/>
      </c>
      <c r="H177" s="6" t="inlineStr"/>
      <c r="I177" s="3" t="inlineStr">
        <is>
          <t>[Afinidad: 58/100 - Afinidad Moderada] Alta coincidencia técnica en Herramientas Ofimáticas, Excel y Soporte Contable / Facturación.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f89540ec077787b1</t>
        </is>
      </c>
      <c r="B178" s="2" t="inlineStr">
        <is>
          <t>2026-09-26 15:05</t>
        </is>
      </c>
      <c r="C178" s="3" t="inlineStr">
        <is>
          <t>Auxiliar administrativo</t>
        </is>
      </c>
      <c r="D178" s="3" t="inlineStr">
        <is>
          <t>FUCS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HYPERLINK("https://www.elempleo.com/co/ofertas-trabajo/auxiliar-administrativoa-1886772558",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abffa88133eaa978</t>
        </is>
      </c>
      <c r="B179" s="2" t="inlineStr">
        <is>
          <t>2026-09-26 15:05</t>
        </is>
      </c>
      <c r="C179" s="3" t="inlineStr">
        <is>
          <t>Almacenista digitador</t>
        </is>
      </c>
      <c r="D179" s="3" t="inlineStr">
        <is>
          <t>Confidencial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HYPERLINK("https://www.elempleo.com/co/ofertas-trabajo/almacenista-digitador-1886749637",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e4ad43c355211b6e</t>
        </is>
      </c>
      <c r="B180" s="2" t="inlineStr">
        <is>
          <t>2026-09-26 15:05</t>
        </is>
      </c>
      <c r="C180" s="3" t="inlineStr">
        <is>
          <t>Aux de facturacion - personas con discapacidad - bogota</t>
        </is>
      </c>
      <c r="D180" s="3" t="inlineStr">
        <is>
          <t>Quirón Prevención Colombia S.A.S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HYPERLINK("https://www.elempleo.com/co/ofertas-trabajo/aux-de-facturacion-personas-con-discapacidad-bogota-1886772337", "Ver Vacante")</f>
        <v/>
      </c>
      <c r="H180" s="6" t="inlineStr"/>
      <c r="I180" s="3" t="inlineStr">
        <is>
          <t>[Afinidad: 58/100 - Afinidad Moderada] Alta coincidencia técnica en Herramientas Ofimáticas, Excel y Soporte Contable / Facturación.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ebfb9e3d2b3f916c</t>
        </is>
      </c>
      <c r="B181" s="2" t="inlineStr">
        <is>
          <t>2026-09-26 15:05</t>
        </is>
      </c>
      <c r="C181" s="3" t="inlineStr">
        <is>
          <t>Recepcion y facturacion de laboratorio clínico</t>
        </is>
      </c>
      <c r="D181" s="3" t="inlineStr">
        <is>
          <t>Fundación Santa Fe de Bogotá</t>
        </is>
      </c>
      <c r="E181" s="7" t="n">
        <v>0.58</v>
      </c>
      <c r="F181" s="2" t="inlineStr">
        <is>
          <t>Remoto</t>
        </is>
      </c>
      <c r="G181" s="5">
        <f>HYPERLINK("https://www.elempleo.com/co/ofertas-trabajo/recepcion-y-facturacion-de-laboratorio-clinico-1886767371", "Ver Vacante")</f>
        <v/>
      </c>
      <c r="H181" s="6" t="inlineStr"/>
      <c r="I181" s="3" t="inlineStr">
        <is>
          <t>[Afinidad: 58/100 - Afinidad Moderada] Alta coincidencia técnica en Herramientas Ofimáticas, Excel y Soporte Contable / Facturación.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8478e893d783ed5e</t>
        </is>
      </c>
      <c r="B182" s="2" t="inlineStr">
        <is>
          <t>2026-09-26 15:05</t>
        </is>
      </c>
      <c r="C182" s="3" t="inlineStr">
        <is>
          <t>Recepcion y facturacion de laboratorio clinico</t>
        </is>
      </c>
      <c r="D182" s="3" t="inlineStr">
        <is>
          <t>Fundación Santa Fe de Bogotá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HYPERLINK("https://www.elempleo.com/co/ofertas-trabajo/recepcion-y-facturacion-de-laboratorio-clinico-1886760903", "Ver Vacante")</f>
        <v/>
      </c>
      <c r="H182" s="6" t="inlineStr"/>
      <c r="I182" s="3" t="inlineStr">
        <is>
          <t>[Afinidad: 58/100 - Afinidad Moderada] Alta coincidencia técnica en Herramientas Ofimáticas, Excel y Soporte Contable / Facturación.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d45621f8599206ec</t>
        </is>
      </c>
      <c r="B183" s="2" t="inlineStr">
        <is>
          <t>2026-09-26 15:05</t>
        </is>
      </c>
      <c r="C183" s="3" t="inlineStr">
        <is>
          <t>Data Entry Specialist</t>
        </is>
      </c>
      <c r="D183" s="3" t="inlineStr">
        <is>
          <t>ZEISS Group</t>
        </is>
      </c>
      <c r="E183" s="7" t="n">
        <v>0.58</v>
      </c>
      <c r="F183" s="2" t="inlineStr">
        <is>
          <t>Remoto</t>
        </is>
      </c>
      <c r="G183" s="5">
        <f>HYPERLINK("https://co.linkedin.com/jobs/view/data-entry-specialist-at-zeiss-group-4467880077",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6051bd21daa83566</t>
        </is>
      </c>
      <c r="B184" s="2" t="inlineStr">
        <is>
          <t>2026-09-28 18:38</t>
        </is>
      </c>
      <c r="C184" s="3" t="inlineStr">
        <is>
          <t>Auxiliar contable y administrativo</t>
        </is>
      </c>
      <c r="D184" s="3" t="inlineStr">
        <is>
          <t>distrigomez seguros</t>
        </is>
      </c>
      <c r="E184" s="7" t="n">
        <v>0.58</v>
      </c>
      <c r="F184" s="2" t="inlineStr">
        <is>
          <t>Remoto</t>
        </is>
      </c>
      <c r="G184" s="5">
        <f>HYPERLINK("https://co.computrabajo.com/ofertas-de-trabajo/oferta-de-trabajo-de-auxiliar-contable-y-administrativo-trabajo-desde-casa-en-pereira-3EEDFFC0D2447F8B61373E686DCF3405", "Ver Vacante")</f>
        <v/>
      </c>
      <c r="H184" s="6" t="inlineStr">
        <is>
          <t>$ 1.750.905,00 (Mensual)</t>
        </is>
      </c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1a7a81ed9e2a4160</t>
        </is>
      </c>
      <c r="B185" s="2" t="inlineStr">
        <is>
          <t>2026-09-28 18:38</t>
        </is>
      </c>
      <c r="C185" s="3" t="inlineStr">
        <is>
          <t>Auxiliar administrativo(a) - campus neiva</t>
        </is>
      </c>
      <c r="D185" s="3" t="inlineStr">
        <is>
          <t>Universidad Cooperativa de Colombia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HYPERLINK("https://www.elempleo.com/co/ofertas-trabajo/auxiliar-administrativoa-campus-neiva-1886773020",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a81375d5a4201305</t>
        </is>
      </c>
      <c r="B186" s="2" t="inlineStr">
        <is>
          <t>2026-09-28 18:38</t>
        </is>
      </c>
      <c r="C186" s="3" t="inlineStr">
        <is>
          <t>Digitador - bogotá</t>
        </is>
      </c>
      <c r="D186" s="3" t="inlineStr">
        <is>
          <t>BUREAU VERITAS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HYPERLINK("https://www.elempleo.com/co/ofertas-trabajo/digitador-bogota-1886762709",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9164fad20028594e</t>
        </is>
      </c>
      <c r="B187" s="2" t="inlineStr">
        <is>
          <t>2026-09-29 17:03</t>
        </is>
      </c>
      <c r="C187" s="3" t="inlineStr">
        <is>
          <t>Digitador(a) de nómina</t>
        </is>
      </c>
      <c r="D187" s="3" t="inlineStr">
        <is>
          <t>Confidencial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HYPERLINK("https://www.elempleo.com/co/ofertas-trabajo/digitadora-de-nomina-1886773344",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eb9248ba68f06027</t>
        </is>
      </c>
      <c r="B188" s="2" t="inlineStr">
        <is>
          <t>2026-09-29 17:03</t>
        </is>
      </c>
      <c r="C188" s="3" t="inlineStr">
        <is>
          <t>Young Professional – Data Entry - Remote Work</t>
        </is>
      </c>
      <c r="D188" s="3" t="inlineStr">
        <is>
          <t>BairesDev</t>
        </is>
      </c>
      <c r="E188" s="7" t="n">
        <v>0.58</v>
      </c>
      <c r="F188" s="2" t="inlineStr">
        <is>
          <t>Remoto</t>
        </is>
      </c>
      <c r="G188" s="5">
        <f>HYPERLINK("https://co.linkedin.com/jobs/view/young-professional-%E2%80%93-data-entry-remote-work-at-bairesdev-4471917951",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ab0015399fb0fd5a</t>
        </is>
      </c>
      <c r="B189" s="2" t="inlineStr">
        <is>
          <t>2026-09-30 16:51</t>
        </is>
      </c>
      <c r="C189" s="3" t="inlineStr">
        <is>
          <t>Cali- asistente administrativo y contable</t>
        </is>
      </c>
      <c r="D189" s="3" t="inlineStr">
        <is>
          <t>GERENCIA SELECTA SAS</t>
        </is>
      </c>
      <c r="E189" s="7" t="n">
        <v>0.58</v>
      </c>
      <c r="F189" s="2" t="inlineStr">
        <is>
          <t>Remoto</t>
        </is>
      </c>
      <c r="G189" s="5">
        <f>HYPERLINK("https://www.elempleo.com/co/ofertas-trabajo/cali-asistente-administrativo-y-contable-1886774199",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f151a5101fd2098d</t>
        </is>
      </c>
      <c r="B190" s="2" t="inlineStr">
        <is>
          <t>2026-09-30 16:51</t>
        </is>
      </c>
      <c r="C190" s="3" t="inlineStr">
        <is>
          <t>Auxiliar contable y administrativo 212747-148845</t>
        </is>
      </c>
      <c r="D190" s="3" t="inlineStr">
        <is>
          <t>AGENCIA DE EMPLEO Y FOMENTO EMPRESARIAL COMPENSAR</t>
        </is>
      </c>
      <c r="E190" s="7" t="n">
        <v>0.58</v>
      </c>
      <c r="F190" s="2" t="inlineStr">
        <is>
          <t>Remoto</t>
        </is>
      </c>
      <c r="G190" s="5">
        <f>HYPERLINK("https://www.elempleo.com/co/ofertas-trabajo/auxiliar-contable-y-administrativo-212747148845-1886774053",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2ad924abc5b01201</t>
        </is>
      </c>
      <c r="B191" s="2" t="inlineStr">
        <is>
          <t>2026-09-30 16:51</t>
        </is>
      </c>
      <c r="C191" s="3" t="inlineStr">
        <is>
          <t>Auxiliar administrativa y contable- mosquera- 1626546205-1</t>
        </is>
      </c>
      <c r="D191" s="3" t="inlineStr">
        <is>
          <t>AGENCIA DE EMPLEO Y FOMENTO EMPRESARIAL COMPENSAR</t>
        </is>
      </c>
      <c r="E191" s="7" t="n">
        <v>0.58</v>
      </c>
      <c r="F191" s="2" t="inlineStr">
        <is>
          <t>Remoto</t>
        </is>
      </c>
      <c r="G191" s="5">
        <f>HYPERLINK("https://www.elempleo.com/co/ofertas-trabajo/auxiliar-administrativa-y-contable-mosquera-16265462051-1886773852",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cb0d1367aba57052</t>
        </is>
      </c>
      <c r="B192" s="2" t="inlineStr">
        <is>
          <t>2026-09-30 16:51</t>
        </is>
      </c>
      <c r="C192" s="3" t="inlineStr">
        <is>
          <t>Client Intake and Data Entry Specialist</t>
        </is>
      </c>
      <c r="D192" s="3" t="inlineStr">
        <is>
          <t>Job Duck</t>
        </is>
      </c>
      <c r="E192" s="7" t="n">
        <v>0.58</v>
      </c>
      <c r="F192" s="2" t="inlineStr">
        <is>
          <t>Remoto</t>
        </is>
      </c>
      <c r="G192" s="5">
        <f>HYPERLINK("https://co.linkedin.com/jobs/view/client-intake-and-data-entry-specialist-at-job-duck-4473785617",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aa2ff4b012a2356b</t>
        </is>
      </c>
      <c r="B193" s="2" t="inlineStr">
        <is>
          <t>2026-09-30 16:51</t>
        </is>
      </c>
      <c r="C193" s="3" t="inlineStr">
        <is>
          <t>Data entry specialist</t>
        </is>
      </c>
      <c r="D193" s="3" t="inlineStr">
        <is>
          <t>Naur Talent</t>
        </is>
      </c>
      <c r="E193" s="7" t="n">
        <v>0.58</v>
      </c>
      <c r="F193" s="2" t="inlineStr">
        <is>
          <t>Remoto</t>
        </is>
      </c>
      <c r="G193" s="5">
        <f>HYPERLINK("https://co.linkedin.com/jobs/view/data-entry-specialist-at-naur-talent-4473907227",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0fb7813f6ca58c19</t>
        </is>
      </c>
      <c r="B194" s="2" t="inlineStr">
        <is>
          <t>2026-10-01 17:28</t>
        </is>
      </c>
      <c r="C194" s="3" t="inlineStr">
        <is>
          <t>Data Entry Assistant</t>
        </is>
      </c>
      <c r="D194" s="3" t="inlineStr">
        <is>
          <t>NEO - New Estate Only</t>
        </is>
      </c>
      <c r="E194" s="7" t="n">
        <v>0.58</v>
      </c>
      <c r="F194" s="2" t="inlineStr">
        <is>
          <t>Remoto</t>
        </is>
      </c>
      <c r="G194" s="5">
        <f>HYPERLINK("https://co.linkedin.com/jobs/view/data-entry-assistant-at-neo-new-estate-only-4474342064",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e03aa4c6959d3eb4</t>
        </is>
      </c>
      <c r="B195" s="2" t="inlineStr">
        <is>
          <t>2026-10-03 15:14</t>
        </is>
      </c>
      <c r="C195" s="3" t="inlineStr">
        <is>
          <t>Auxiliar administrativo/a Vacante Inclusiva para personas con Discapacidad</t>
        </is>
      </c>
      <c r="D195" s="3" t="inlineStr">
        <is>
          <t>CENTRO DE EMPLEO Y TALENTO COLSUBSIDIO</t>
        </is>
      </c>
      <c r="E195" s="7" t="n">
        <v>0.58</v>
      </c>
      <c r="F195" s="2" t="inlineStr">
        <is>
          <t>Remoto</t>
        </is>
      </c>
      <c r="G195" s="5">
        <f>HYPERLINK("https://co.computrabajo.com/ofertas-de-trabajo/oferta-de-trabajo-de-auxiliar-administrativoa-vacante-inclusiva-para-personas-con-discapacidad-en-bogota-dc-C48470AF94C2CBCC61373E686DCF3405", "Ver Vacante")</f>
        <v/>
      </c>
      <c r="H195" s="6" t="inlineStr">
        <is>
          <t>Remoto</t>
        </is>
      </c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1a638820869677f4</t>
        </is>
      </c>
      <c r="B196" s="2" t="inlineStr">
        <is>
          <t>2026-10-03 15:14</t>
        </is>
      </c>
      <c r="C196" s="3" t="inlineStr">
        <is>
          <t>Asistente administrativa</t>
        </is>
      </c>
      <c r="D196" s="3" t="inlineStr">
        <is>
          <t>Valgroup Realty LLC</t>
        </is>
      </c>
      <c r="E196" s="7" t="n">
        <v>0.58</v>
      </c>
      <c r="F196" s="2" t="inlineStr">
        <is>
          <t>Remoto</t>
        </is>
      </c>
      <c r="G196" s="5">
        <f>HYPERLINK("https://co.computrabajo.com/ofertas-de-trabajo/oferta-de-trabajo-de-asistente-administrativa-con-conocimiento-del-idioma-ingles-en-bucaramanga-E109D498CC2B20FD61373E686DCF3405", "Ver Vacante")</f>
        <v/>
      </c>
      <c r="H196" s="6" t="inlineStr">
        <is>
          <t>Remoto</t>
        </is>
      </c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d310964f2dc8e97e</t>
        </is>
      </c>
      <c r="B197" s="2" t="inlineStr">
        <is>
          <t>2026-10-05 19:48</t>
        </is>
      </c>
      <c r="C197" s="3" t="inlineStr">
        <is>
          <t>Aprendiz sena - auxiliar de servicio al cliente y ventas digitales remoto</t>
        </is>
      </c>
      <c r="D197" s="3" t="inlineStr">
        <is>
          <t>M&amp;S VITAMINS SAS</t>
        </is>
      </c>
      <c r="E197" s="7" t="n">
        <v>0.58</v>
      </c>
      <c r="F197" s="2" t="inlineStr">
        <is>
          <t>Remoto</t>
        </is>
      </c>
      <c r="G197" s="5">
        <f>HYPERLINK("https://www.elempleo.com/co/ofertas-trabajo/aprendiz-sena-auxiliar-de-servicio-al-cliente-y-ventas-digitales-remoto-1886776017",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feadb7d6306993cf</t>
        </is>
      </c>
      <c r="B198" s="2" t="inlineStr">
        <is>
          <t>2026-10-05 19:48</t>
        </is>
      </c>
      <c r="C198" s="3" t="inlineStr">
        <is>
          <t>Asistente administrativa</t>
        </is>
      </c>
      <c r="D198" s="3" t="inlineStr">
        <is>
          <t>MENTORHUB COLOMBIA</t>
        </is>
      </c>
      <c r="E198" s="7" t="n">
        <v>0.58</v>
      </c>
      <c r="F198" s="2" t="inlineStr">
        <is>
          <t>Remoto</t>
        </is>
      </c>
      <c r="G198" s="5">
        <f>HYPERLINK("https://www.elempleo.com/co/ofertas-trabajo/asistente-administrativa-1886776241",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6dae76f41229d9ff</t>
        </is>
      </c>
      <c r="B199" s="2" t="inlineStr">
        <is>
          <t>2026-10-06 17:14</t>
        </is>
      </c>
      <c r="C199" s="3" t="inlineStr">
        <is>
          <t>Auxiliar Administrativo desde casa</t>
        </is>
      </c>
      <c r="D199" s="3" t="inlineStr">
        <is>
          <t>POLITÉCNICO INTERNACIONAL DE OCCIDENTE</t>
        </is>
      </c>
      <c r="E199" s="7" t="n">
        <v>0.58</v>
      </c>
      <c r="F199" s="2" t="inlineStr">
        <is>
          <t>Remoto</t>
        </is>
      </c>
      <c r="G199" s="5">
        <f>HYPERLINK("https://co.computrabajo.com/ofertas-de-trabajo/oferta-de-trabajo-de-auxiliar-administrativo-desde-casa-personal-con-discapacidad-en-bogota-dc-5A794030AFDA0F8661373E686DCF3405", "Ver Vacante")</f>
        <v/>
      </c>
      <c r="H199" s="6" t="inlineStr">
        <is>
          <t>Remoto</t>
        </is>
      </c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d59b1a44f5bebbdc</t>
        </is>
      </c>
      <c r="B200" s="2" t="inlineStr">
        <is>
          <t>2026-10-06 17:14</t>
        </is>
      </c>
      <c r="C200" s="3" t="inlineStr">
        <is>
          <t>Auxiliar contable y administrativo</t>
        </is>
      </c>
      <c r="D200" s="3" t="inlineStr">
        <is>
          <t>TALENT SPEAKERS COLOMBIA SAS</t>
        </is>
      </c>
      <c r="E200" s="7" t="n">
        <v>0.58</v>
      </c>
      <c r="F200" s="2" t="inlineStr">
        <is>
          <t>Remoto</t>
        </is>
      </c>
      <c r="G200" s="5">
        <f>HYPERLINK("https://www.elempleo.com/co/ofertas-trabajo/auxiliar-contable-y-administrativo-1886775760",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594e79b4cd7df756</t>
        </is>
      </c>
      <c r="B201" s="2" t="inlineStr">
        <is>
          <t>2026-10-07 17:52</t>
        </is>
      </c>
      <c r="C201" s="3" t="inlineStr">
        <is>
          <t>Auxiliar administrativo - contable y operativo</t>
        </is>
      </c>
      <c r="D201" s="3" t="inlineStr">
        <is>
          <t>EFICACIA S.A.S</t>
        </is>
      </c>
      <c r="E201" s="7" t="n">
        <v>0.58</v>
      </c>
      <c r="F201" s="2" t="inlineStr">
        <is>
          <t>Remoto</t>
        </is>
      </c>
      <c r="G201" s="5">
        <f>HYPERLINK("https://www.elempleo.com/co/ofertas-trabajo/auxiliar-administrativo-contable-y-operativo-1886776165",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30c827aff6e8bff7</t>
        </is>
      </c>
      <c r="B202" s="2" t="inlineStr">
        <is>
          <t>2026-10-07 17:52</t>
        </is>
      </c>
      <c r="C202" s="3" t="inlineStr">
        <is>
          <t>Data Entry - Remote Work</t>
        </is>
      </c>
      <c r="D202" s="3" t="inlineStr">
        <is>
          <t>INDI Staffing Services</t>
        </is>
      </c>
      <c r="E202" s="7" t="n">
        <v>0.58</v>
      </c>
      <c r="F202" s="2" t="inlineStr">
        <is>
          <t>Remoto</t>
        </is>
      </c>
      <c r="G202" s="5">
        <f>HYPERLINK("https://co.linkedin.com/jobs/view/data-entry-remote-work-at-indi-staffing-services-4476714759",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3b42a1ea5ac16f07</t>
        </is>
      </c>
      <c r="B203" s="2" t="inlineStr">
        <is>
          <t>2026-10-08 17:54</t>
        </is>
      </c>
      <c r="C203" s="3" t="inlineStr">
        <is>
          <t>Atención al cliente</t>
        </is>
      </c>
      <c r="D203" s="3" t="inlineStr">
        <is>
          <t>CEO BUSSINES ADVICE SAS</t>
        </is>
      </c>
      <c r="E203" s="7" t="n">
        <v>0.58</v>
      </c>
      <c r="F203" s="2" t="inlineStr">
        <is>
          <t>Remoto</t>
        </is>
      </c>
      <c r="G203" s="5">
        <f>HYPERLINK("https://co.computrabajo.com/ofertas-de-trabajo/oferta-de-trabajo-de-atencion-al-cliente-en-bogota-dc-AC1B2F778774ED6561373E686DCF3405", "Ver Vacante")</f>
        <v/>
      </c>
      <c r="H203" s="6" t="inlineStr">
        <is>
          <t>Remoto</t>
        </is>
      </c>
      <c r="I203" s="3" t="inlineStr">
        <is>
          <t>[Afinidad: 58/100 - Afinidad Moderada] Alta coincidencia técnica en Gestión Administrativa, Documental y Archivo.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478e11adcb76b027</t>
        </is>
      </c>
      <c r="B204" s="2" t="inlineStr">
        <is>
          <t>2026-10-08 17:54</t>
        </is>
      </c>
      <c r="C204" s="3" t="inlineStr">
        <is>
          <t>Auxiliar administrativo almacen</t>
        </is>
      </c>
      <c r="D204" s="3" t="inlineStr">
        <is>
          <t>AVSA S.A</t>
        </is>
      </c>
      <c r="E204" s="7" t="n">
        <v>0.58</v>
      </c>
      <c r="F204" s="2" t="inlineStr">
        <is>
          <t>Remoto</t>
        </is>
      </c>
      <c r="G204" s="5">
        <f>HYPERLINK("https://www.elempleo.com/co/ofertas-trabajo/auxiliar-administrativo-almacen-1886777997",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0df6c8526a27b503</t>
        </is>
      </c>
      <c r="B205" s="2" t="inlineStr">
        <is>
          <t>2026-10-08 17:54</t>
        </is>
      </c>
      <c r="C205" s="3" t="inlineStr">
        <is>
          <t>Auxiliar contable y administrativo - norte de bogotá</t>
        </is>
      </c>
      <c r="D205" s="3" t="inlineStr">
        <is>
          <t>Confidencial</t>
        </is>
      </c>
      <c r="E205" s="7" t="n">
        <v>0.58</v>
      </c>
      <c r="F205" s="2" t="inlineStr">
        <is>
          <t>Remoto</t>
        </is>
      </c>
      <c r="G205" s="5">
        <f>HYPERLINK("https://www.elempleo.com/co/ofertas-trabajo/auxiliar-contable-y-administrativo-norte-de-bogota-1886766550",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2e347f9b8c0b4b27</t>
        </is>
      </c>
      <c r="B206" s="2" t="inlineStr">
        <is>
          <t>2026-10-08 17:54</t>
        </is>
      </c>
      <c r="C206" s="3" t="inlineStr">
        <is>
          <t>Digitador control de producción 634333</t>
        </is>
      </c>
      <c r="D206" s="3" t="inlineStr">
        <is>
          <t>JOBANDTALENT CO SAS</t>
        </is>
      </c>
      <c r="E206" s="7" t="n">
        <v>0.58</v>
      </c>
      <c r="F206" s="2" t="inlineStr">
        <is>
          <t>Remoto</t>
        </is>
      </c>
      <c r="G206" s="5">
        <f>HYPERLINK("https://www.elempleo.com/co/ofertas-trabajo/digitador-control-de-produccion-634333-1886777795",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1716d782af9a31c3</t>
        </is>
      </c>
      <c r="B207" s="2" t="inlineStr">
        <is>
          <t>2026-10-08 17:54</t>
        </is>
      </c>
      <c r="C207" s="3" t="inlineStr">
        <is>
          <t>Auxiliar i conciliaciones bancarias</t>
        </is>
      </c>
      <c r="D207" s="3" t="inlineStr">
        <is>
          <t>PONTIFICIA UNIVERSID</t>
        </is>
      </c>
      <c r="E207" s="7" t="n">
        <v>0.58</v>
      </c>
      <c r="F207" s="2" t="inlineStr">
        <is>
          <t>Remoto</t>
        </is>
      </c>
      <c r="G207" s="5">
        <f>HYPERLINK("https://www.elempleo.com/co/ofertas-trabajo/auxiliar-i-conciliaciones-bancarias-1886774371",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bcabe86161d0fafa</t>
        </is>
      </c>
      <c r="B208" s="2" t="inlineStr">
        <is>
          <t>2026-10-08 17:54</t>
        </is>
      </c>
      <c r="C208" s="3" t="inlineStr">
        <is>
          <t>Auxiliar administrativo contable</t>
        </is>
      </c>
      <c r="D208" s="3" t="inlineStr">
        <is>
          <t>Neuroactivo - Rodsal</t>
        </is>
      </c>
      <c r="E208" s="7" t="n">
        <v>0.58</v>
      </c>
      <c r="F208" s="2" t="inlineStr">
        <is>
          <t>Remoto</t>
        </is>
      </c>
      <c r="G208" s="5">
        <f>HYPERLINK("https://co.linkedin.com/jobs/view/auxiliar-administrativo-contable-at-neuroactivo-rodsal-4476940406", "Ver Vacante")</f>
        <v/>
      </c>
      <c r="H208" s="6" t="inlineStr"/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c44dcea756fe7627</t>
        </is>
      </c>
      <c r="B209" s="2" t="inlineStr">
        <is>
          <t>2026-10-08 17:54</t>
        </is>
      </c>
      <c r="C209" s="3" t="inlineStr">
        <is>
          <t>Young Professional – Data Entry - Remote Work</t>
        </is>
      </c>
      <c r="D209" s="3" t="inlineStr">
        <is>
          <t>BairesDev</t>
        </is>
      </c>
      <c r="E209" s="7" t="n">
        <v>0.58</v>
      </c>
      <c r="F209" s="2" t="inlineStr">
        <is>
          <t>Remoto</t>
        </is>
      </c>
      <c r="G209" s="5">
        <f>HYPERLINK("https://co.linkedin.com/jobs/view/young-professional-%E2%80%93-data-entry-remote-work-at-bairesdev-4475962498", "Ver Vacante")</f>
        <v/>
      </c>
      <c r="H209" s="6" t="inlineStr"/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c6719253a68b0b7b</t>
        </is>
      </c>
      <c r="B210" s="2" t="inlineStr">
        <is>
          <t>2026-10-09 17:30</t>
        </is>
      </c>
      <c r="C210" s="3" t="inlineStr">
        <is>
          <t>Asistente Virtual Bilingüe Remoto con Inglés Avanzado</t>
        </is>
      </c>
      <c r="D210" s="3" t="inlineStr">
        <is>
          <t>Assistiq</t>
        </is>
      </c>
      <c r="E210" s="7" t="n">
        <v>0.58</v>
      </c>
      <c r="F210" s="2" t="inlineStr">
        <is>
          <t>Remoto</t>
        </is>
      </c>
      <c r="G210" s="5">
        <f>HYPERLINK("https://co.computrabajo.com/ofertas-de-trabajo/oferta-de-trabajo-de-asistente-virtual-bilingue-remoto-con-ingles-avanzado-en-bogota-dc-648B6753680D9B9E61373E686DCF3405", "Ver Vacante")</f>
        <v/>
      </c>
      <c r="H210" s="6" t="inlineStr">
        <is>
          <t>Remoto</t>
        </is>
      </c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fed139d0477046bd</t>
        </is>
      </c>
      <c r="B211" s="2" t="inlineStr">
        <is>
          <t>2026-10-10 16:18</t>
        </is>
      </c>
      <c r="C211" s="3" t="inlineStr">
        <is>
          <t>Auxiliar administrativo bilingüe en barranquilla</t>
        </is>
      </c>
      <c r="D211" s="3" t="inlineStr">
        <is>
          <t>MANPOWER</t>
        </is>
      </c>
      <c r="E211" s="7" t="n">
        <v>0.58</v>
      </c>
      <c r="F211" s="2" t="inlineStr">
        <is>
          <t>Remoto</t>
        </is>
      </c>
      <c r="G211" s="5">
        <f>HYPERLINK("https://www.elempleo.com/co/ofertas-trabajo/auxiliar-administrativo-bilingue-en-barranquilla-1886773896", "Ver Vacante")</f>
        <v/>
      </c>
      <c r="H211" s="6" t="inlineStr"/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0b790b67038f3a2c</t>
        </is>
      </c>
      <c r="B212" s="2" t="inlineStr">
        <is>
          <t>2026-10-12 20:20</t>
        </is>
      </c>
      <c r="C212" s="3" t="inlineStr">
        <is>
          <t>Product Data Entry Agent</t>
        </is>
      </c>
      <c r="D212" s="3" t="inlineStr">
        <is>
          <t>Overseas Network</t>
        </is>
      </c>
      <c r="E212" s="7" t="n">
        <v>0.58</v>
      </c>
      <c r="F212" s="2" t="inlineStr">
        <is>
          <t>Remoto</t>
        </is>
      </c>
      <c r="G212" s="5">
        <f>HYPERLINK("https://co.linkedin.com/jobs/view/product-data-entry-agent-at-overseas-network-4477903916",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ccdbe7000f52da42</t>
        </is>
      </c>
      <c r="B213" s="2" t="inlineStr">
        <is>
          <t>2026-10-13 18:11</t>
        </is>
      </c>
      <c r="C213" s="3" t="inlineStr">
        <is>
          <t>Licensing and Compliance Data Entry Support Representative, HOA</t>
        </is>
      </c>
      <c r="D213" s="3" t="inlineStr">
        <is>
          <t>Porch Group</t>
        </is>
      </c>
      <c r="E213" s="7" t="n">
        <v>0.58</v>
      </c>
      <c r="F213" s="2" t="inlineStr">
        <is>
          <t>Remoto</t>
        </is>
      </c>
      <c r="G213" s="5">
        <f>HYPERLINK("https://co.linkedin.com/jobs/view/licensing-and-compliance-data-entry-support-representative-hoa-at-porch-group-4478728820", "Ver Vacante")</f>
        <v/>
      </c>
      <c r="H213" s="6" t="inlineStr"/>
      <c r="I213" s="3" t="inlineStr">
        <is>
          <t>[Afinidad: 58/100 -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c717da5c95d7d03e</t>
        </is>
      </c>
      <c r="B214" s="2" t="inlineStr">
        <is>
          <t>2026-10-14 15:54</t>
        </is>
      </c>
      <c r="C214" s="3" t="inlineStr">
        <is>
          <t>Bogota - auxiliar administrativo y logística de eventos</t>
        </is>
      </c>
      <c r="D214" s="3" t="inlineStr">
        <is>
          <t>Confidencial</t>
        </is>
      </c>
      <c r="E214" s="7" t="n">
        <v>0.58</v>
      </c>
      <c r="F214" s="2" t="inlineStr">
        <is>
          <t>Remoto</t>
        </is>
      </c>
      <c r="G214" s="5">
        <f>HYPERLINK("https://www.elempleo.com/co/ofertas-trabajo/bogota-auxiliar-administrativo-y-logistica-de-eventos-1886765837", "Ver Vacante")</f>
        <v/>
      </c>
      <c r="H214" s="6" t="inlineStr"/>
      <c r="I214" s="3" t="inlineStr">
        <is>
          <t>[Afinidad: 58/100 -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7ec5dd7dc0dda675</t>
        </is>
      </c>
      <c r="B215" s="2" t="inlineStr">
        <is>
          <t>2026-10-14 15:54</t>
        </is>
      </c>
      <c r="C215" s="3" t="inlineStr">
        <is>
          <t>Data Entry - Remote Work</t>
        </is>
      </c>
      <c r="D215" s="3" t="inlineStr">
        <is>
          <t>INDI Staffing Services</t>
        </is>
      </c>
      <c r="E215" s="7" t="n">
        <v>0.58</v>
      </c>
      <c r="F215" s="2" t="inlineStr">
        <is>
          <t>Remoto</t>
        </is>
      </c>
      <c r="G215" s="5">
        <f>HYPERLINK("https://co.linkedin.com/jobs/view/data-entry-remote-work-at-indi-staffing-services-4479514857", "Ver Vacante")</f>
        <v/>
      </c>
      <c r="H215" s="6" t="inlineStr"/>
      <c r="I215" s="3" t="inlineStr">
        <is>
          <t>[Afinidad: 58/100 -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d73788010c0fb4b1</t>
        </is>
      </c>
      <c r="B216" s="2" t="inlineStr">
        <is>
          <t>2026-10-14 15:54</t>
        </is>
      </c>
      <c r="C216" s="3" t="inlineStr">
        <is>
          <t>Auxiliar administrativo/a Sede Caucasia</t>
        </is>
      </c>
      <c r="D216" s="3" t="inlineStr">
        <is>
          <t>Uniremington</t>
        </is>
      </c>
      <c r="E216" s="7" t="n">
        <v>0.58</v>
      </c>
      <c r="F216" s="2" t="inlineStr">
        <is>
          <t>Remoto</t>
        </is>
      </c>
      <c r="G216" s="5">
        <f>HYPERLINK("https://co.linkedin.com/jobs/view/auxiliar-administrativo-a-sede-caucasia-at-uniremington-4479234300", "Ver Vacante")</f>
        <v/>
      </c>
      <c r="H216" s="6" t="inlineStr"/>
      <c r="I216" s="3" t="inlineStr">
        <is>
          <t>[Afinidad: 58/100 -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1e615b73642574ca</t>
        </is>
      </c>
      <c r="B217" s="2" t="inlineStr">
        <is>
          <t>2026-10-15 15:43</t>
        </is>
      </c>
      <c r="C217" s="3" t="inlineStr">
        <is>
          <t>Digitador / Auxiliar de Datos Remoto</t>
        </is>
      </c>
      <c r="D217" s="3" t="inlineStr">
        <is>
          <t>MÁS QUE PIZZA</t>
        </is>
      </c>
      <c r="E217" s="7" t="n">
        <v>0.58</v>
      </c>
      <c r="F217" s="2" t="inlineStr">
        <is>
          <t>Remoto</t>
        </is>
      </c>
      <c r="G217" s="5">
        <f>HYPERLINK("https://co.computrabajo.com/ofertas-de-trabajo/oferta-de-trabajo-de-digitador-auxiliar-de-datos-remoto-sin-experiencia-manejo-basico-de-excel-en-bogota-dc-CA495496FFC84E1761373E686DCF3405", "Ver Vacante")</f>
        <v/>
      </c>
      <c r="H217" s="6" t="inlineStr">
        <is>
          <t>$ 1.440.000,00 (Mensual)</t>
        </is>
      </c>
      <c r="I217" s="3" t="inlineStr">
        <is>
          <t>[Afinidad: 58/100 -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856586a382d7d861</t>
        </is>
      </c>
      <c r="B218" s="2" t="inlineStr">
        <is>
          <t>2026-10-16 15:24</t>
        </is>
      </c>
      <c r="C218" s="3" t="inlineStr">
        <is>
          <t>Asistente administrativo de admisiones _ puerto colombia</t>
        </is>
      </c>
      <c r="D218" s="3" t="inlineStr">
        <is>
          <t>Fundación Universitaria San Martin</t>
        </is>
      </c>
      <c r="E218" s="7" t="n">
        <v>0.58</v>
      </c>
      <c r="F218" s="2" t="inlineStr">
        <is>
          <t>Remoto</t>
        </is>
      </c>
      <c r="G218" s="5">
        <f>HYPERLINK("https://www.elempleo.com/co/ofertas-trabajo/asistente-administrativo-de-admisiones-puerto-colombia-1886780174", "Ver Vacante")</f>
        <v/>
      </c>
      <c r="H218" s="6" t="inlineStr"/>
      <c r="I218" s="3" t="inlineStr">
        <is>
          <t>[Afinidad: 58/100 -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8e556aeab870f0d3</t>
        </is>
      </c>
      <c r="B219" s="2" t="inlineStr">
        <is>
          <t>2026-10-17 14:17</t>
        </is>
      </c>
      <c r="C219" s="3" t="inlineStr">
        <is>
          <t>Young Professional – Data Entry - Remote Work</t>
        </is>
      </c>
      <c r="D219" s="3" t="inlineStr">
        <is>
          <t>BairesDev</t>
        </is>
      </c>
      <c r="E219" s="7" t="n">
        <v>0.58</v>
      </c>
      <c r="F219" s="2" t="inlineStr">
        <is>
          <t>Remoto</t>
        </is>
      </c>
      <c r="G219" s="5">
        <f>HYPERLINK("https://co.linkedin.com/jobs/view/young-professional-%E2%80%93-data-entry-remote-work-at-bairesdev-4479604004", "Ver Vacante")</f>
        <v/>
      </c>
      <c r="H219" s="6" t="inlineStr"/>
      <c r="I219" s="3" t="inlineStr">
        <is>
          <t>[Afinidad: 58/100 -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307a5d082ee6ef17</t>
        </is>
      </c>
      <c r="B220" s="2" t="inlineStr">
        <is>
          <t>2026-10-17 14:17</t>
        </is>
      </c>
      <c r="C220" s="3" t="inlineStr">
        <is>
          <t>Tax Data Entry &amp; Preparation Specialist - 65863452249</t>
        </is>
      </c>
      <c r="D220" s="3" t="inlineStr">
        <is>
          <t>Somewhere</t>
        </is>
      </c>
      <c r="E220" s="7" t="n">
        <v>0.58</v>
      </c>
      <c r="F220" s="2" t="inlineStr">
        <is>
          <t>Remoto</t>
        </is>
      </c>
      <c r="G220" s="5">
        <f>HYPERLINK("https://co.linkedin.com/jobs/view/tax-data-entry-preparation-specialist-65863452249-at-somewhere-4480534787", "Ver Vacante")</f>
        <v/>
      </c>
      <c r="H220" s="6" t="inlineStr"/>
      <c r="I220" s="3" t="inlineStr">
        <is>
          <t>[Afinidad: 58/100 -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a033e2534bb77521</t>
        </is>
      </c>
      <c r="B221" s="2" t="inlineStr">
        <is>
          <t>2026-10-19 17:33</t>
        </is>
      </c>
      <c r="C221" s="3" t="inlineStr">
        <is>
          <t>Auxiliar administrativo - mercadeo</t>
        </is>
      </c>
      <c r="D221" s="3" t="inlineStr">
        <is>
          <t>Confidencial</t>
        </is>
      </c>
      <c r="E221" s="7" t="n">
        <v>0.58</v>
      </c>
      <c r="F221" s="2" t="inlineStr">
        <is>
          <t>Remoto</t>
        </is>
      </c>
      <c r="G221" s="5">
        <f>HYPERLINK("https://www.elempleo.com/co/ofertas-trabajo/auxiliar-administrativo-mercadeo-1886781917", "Ver Vacante")</f>
        <v/>
      </c>
      <c r="H221" s="6" t="inlineStr"/>
      <c r="I221" s="3" t="inlineStr">
        <is>
          <t>[Afinidad: 58/100 - Afinidad Moderada] Afinidad moderada en áreas técnicas del cargo (Auxiliar Administrativo / Asistente Virtual).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b198abb4477fb8cd</t>
        </is>
      </c>
      <c r="B222" s="2" t="inlineStr">
        <is>
          <t>2026-10-20 15:46</t>
        </is>
      </c>
      <c r="C222" s="3" t="inlineStr">
        <is>
          <t>Asistente Virtual Bilingüe</t>
        </is>
      </c>
      <c r="D222" s="3" t="inlineStr">
        <is>
          <t>VICARS AUTOGLASS</t>
        </is>
      </c>
      <c r="E222" s="7" t="n">
        <v>0.58</v>
      </c>
      <c r="F222" s="2" t="inlineStr">
        <is>
          <t>Remoto</t>
        </is>
      </c>
      <c r="G222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22" s="6" t="inlineStr">
        <is>
          <t>$ 4.576.000,00 (Mensual)</t>
        </is>
      </c>
      <c r="I222" s="3" t="inlineStr">
        <is>
          <t>[Afinidad: 58/100 - Afinidad Moderada] Afinidad moderada en áreas técnicas del cargo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3110a1609a561be9</t>
        </is>
      </c>
      <c r="B223" s="2" t="inlineStr">
        <is>
          <t>2026-10-20 15:46</t>
        </is>
      </c>
      <c r="C223" s="3" t="inlineStr">
        <is>
          <t>Digitador/a</t>
        </is>
      </c>
      <c r="D223" s="3" t="inlineStr">
        <is>
          <t>HESEGO INGENIERÍA SAS</t>
        </is>
      </c>
      <c r="E223" s="7" t="n">
        <v>0.58</v>
      </c>
      <c r="F223" s="2" t="inlineStr">
        <is>
          <t>Remoto</t>
        </is>
      </c>
      <c r="G223" s="5">
        <f>HYPERLINK("https://co.linkedin.com/jobs/view/digitador-a-at-hesego-ingenier%C3%ADa-sas-4481288815", "Ver Vacante")</f>
        <v/>
      </c>
      <c r="H223" s="6" t="inlineStr"/>
      <c r="I223" s="3" t="inlineStr">
        <is>
          <t>[Afinidad: 58/100 - Afinidad Moderada] Afinidad moderada en áreas técnicas del cargo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45bbe193ea1c74b5</t>
        </is>
      </c>
      <c r="B224" s="2" t="inlineStr">
        <is>
          <t>2026-10-20 15:46</t>
        </is>
      </c>
      <c r="C224" s="3" t="inlineStr">
        <is>
          <t>Digitador/a</t>
        </is>
      </c>
      <c r="D224" s="3" t="inlineStr">
        <is>
          <t>SkyDrill Power Systems, LLC</t>
        </is>
      </c>
      <c r="E224" s="7" t="n">
        <v>0.58</v>
      </c>
      <c r="F224" s="2" t="inlineStr">
        <is>
          <t>Remoto</t>
        </is>
      </c>
      <c r="G224" s="5">
        <f>HYPERLINK("https://co.linkedin.com/jobs/view/digitador-a-at-skydrill-power-systems-llc-4481559733", "Ver Vacante")</f>
        <v/>
      </c>
      <c r="H224" s="6" t="inlineStr"/>
      <c r="I224" s="3" t="inlineStr">
        <is>
          <t>[Afinidad: 58/100 - Afinidad Moderada] Afinidad moderada en áreas técnicas del cargo (Auxiliar Administrativo / Asistente Virtual).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bf4383fedc19cb40</t>
        </is>
      </c>
      <c r="B225" s="2" t="inlineStr">
        <is>
          <t>2026-10-21 16:01</t>
        </is>
      </c>
      <c r="C225" s="3" t="inlineStr">
        <is>
          <t>Auxiliar administrativo</t>
        </is>
      </c>
      <c r="D225" s="3" t="inlineStr">
        <is>
          <t>Confidencial</t>
        </is>
      </c>
      <c r="E225" s="7" t="n">
        <v>0.58</v>
      </c>
      <c r="F225" s="2" t="inlineStr">
        <is>
          <t>Remoto</t>
        </is>
      </c>
      <c r="G225" s="5">
        <f>HYPERLINK("https://www.elempleo.com/co/ofertas-trabajo/auxiliar-administrativo-1886783284", "Ver Vacante")</f>
        <v/>
      </c>
      <c r="H225" s="6" t="inlineStr"/>
      <c r="I225" s="3" t="inlineStr">
        <is>
          <t>[Afinidad: 58/100 - Afinidad Moderada] Afinidad moderada en áreas técnicas del cargo (Auxiliar Administrativo / Asistente Virtual).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b6f7104aa5895853</t>
        </is>
      </c>
      <c r="B226" s="2" t="inlineStr">
        <is>
          <t>2026-10-21 16:01</t>
        </is>
      </c>
      <c r="C226" s="3" t="inlineStr">
        <is>
          <t>Auxiliar administrativo contable</t>
        </is>
      </c>
      <c r="D226" s="3" t="inlineStr">
        <is>
          <t>Efiempresa</t>
        </is>
      </c>
      <c r="E226" s="7" t="n">
        <v>0.58</v>
      </c>
      <c r="F226" s="2" t="inlineStr">
        <is>
          <t>Remoto</t>
        </is>
      </c>
      <c r="G226" s="5">
        <f>HYPERLINK("https://co.linkedin.com/jobs/view/auxiliar-administrativo-contable-at-efiempresa-4482080478", "Ver Vacante")</f>
        <v/>
      </c>
      <c r="H226" s="6" t="inlineStr"/>
      <c r="I226" s="3" t="inlineStr">
        <is>
          <t>[Afinidad: 58/100 - Afinidad Moderada] Afinidad moderada en áreas técnicas del cargo (Auxiliar Administrativo / Asistente Virtual).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3e356a366d082514</t>
        </is>
      </c>
      <c r="B227" s="2" t="inlineStr">
        <is>
          <t>2026-10-22 15:59</t>
        </is>
      </c>
      <c r="C227" s="3" t="inlineStr">
        <is>
          <t>Auxiliar digitador de contabilidad*</t>
        </is>
      </c>
      <c r="D227" s="3" t="inlineStr">
        <is>
          <t>Confidencial</t>
        </is>
      </c>
      <c r="E227" s="7" t="n">
        <v>0.58</v>
      </c>
      <c r="F227" s="2" t="inlineStr">
        <is>
          <t>Remoto</t>
        </is>
      </c>
      <c r="G227" s="5">
        <f>HYPERLINK("https://www.elempleo.com/co/ofertas-trabajo/auxiliar-digitador-de-contabilidad-1886783690", "Ver Vacante")</f>
        <v/>
      </c>
      <c r="H227" s="6" t="inlineStr"/>
      <c r="I227" s="3" t="inlineStr">
        <is>
          <t>[Afinidad: 58/100 - Afinidad Moderada] Afinidad moderada en áreas técnicas del cargo (Auxiliar Administrativo / Asistente Virtual).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46e40fe0d3bc478c</t>
        </is>
      </c>
      <c r="B228" s="2" t="inlineStr">
        <is>
          <t>2026-10-22 15:59</t>
        </is>
      </c>
      <c r="C228" s="3" t="inlineStr">
        <is>
          <t>Young Professional – Data Entry - Remote Work</t>
        </is>
      </c>
      <c r="D228" s="3" t="inlineStr">
        <is>
          <t>BairesDev</t>
        </is>
      </c>
      <c r="E228" s="7" t="n">
        <v>0.58</v>
      </c>
      <c r="F228" s="2" t="inlineStr">
        <is>
          <t>Remoto</t>
        </is>
      </c>
      <c r="G228" s="5">
        <f>HYPERLINK("https://co.linkedin.com/jobs/view/young-professional-%E2%80%93-data-entry-remote-work-at-bairesdev-4481125711", "Ver Vacante")</f>
        <v/>
      </c>
      <c r="H228" s="6" t="inlineStr"/>
      <c r="I228" s="3" t="inlineStr">
        <is>
          <t>[Afinidad: 58/100 - Afinidad Moderada] Afinidad moderada en áreas técnicas del cargo (Auxiliar Administrativo / Asistente Virtual).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5a6ddfb381a60d4f</t>
        </is>
      </c>
      <c r="B229" s="2" t="inlineStr">
        <is>
          <t>2026-10-23 15:50</t>
        </is>
      </c>
      <c r="C229" s="3" t="inlineStr">
        <is>
          <t>Auxiliar contable y administrativo - 212747-148862</t>
        </is>
      </c>
      <c r="D229" s="3" t="inlineStr">
        <is>
          <t>AGENCIA DE EMPLEO Y FOMENTO EMPRESARIAL COMPENSAR</t>
        </is>
      </c>
      <c r="E229" s="7" t="n">
        <v>0.58</v>
      </c>
      <c r="F229" s="2" t="inlineStr">
        <is>
          <t>Remoto</t>
        </is>
      </c>
      <c r="G229" s="5">
        <f>HYPERLINK("https://www.elempleo.com/co/ofertas-trabajo/auxiliar-contable-y-administrativo-212747148862-1886781932", "Ver Vacante")</f>
        <v/>
      </c>
      <c r="H229" s="6" t="inlineStr"/>
      <c r="I229" s="3" t="inlineStr">
        <is>
          <t>[Afinidad: 58/100 - Afinidad Moderada] Afinidad moderada en áreas técnicas del cargo (Auxiliar Administrativo / Asistente Virtual).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6d5ef9e04154e7ab</t>
        </is>
      </c>
      <c r="B230" s="2" t="inlineStr">
        <is>
          <t>2026-10-26 17:22</t>
        </is>
      </c>
      <c r="C230" s="3" t="inlineStr">
        <is>
          <t>Asistente administrativo y operativo - cali</t>
        </is>
      </c>
      <c r="D230" s="3" t="inlineStr">
        <is>
          <t>Pro TALENTI</t>
        </is>
      </c>
      <c r="E230" s="7" t="n">
        <v>0.58</v>
      </c>
      <c r="F230" s="2" t="inlineStr">
        <is>
          <t>Remoto</t>
        </is>
      </c>
      <c r="G230" s="5">
        <f>HYPERLINK("https://www.elempleo.com/co/ofertas-trabajo/asistente-administrativo-y-operativo-cali-1886760269", "Ver Vacante")</f>
        <v/>
      </c>
      <c r="H230" s="6" t="inlineStr"/>
      <c r="I230" s="3" t="inlineStr">
        <is>
          <t>[Afinidad: 58/100 - Afinidad Moderada] Afinidad moderada en áreas técnicas del cargo (Auxiliar Administrativo / Asistente Virtual).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be62f76f8be11c64</t>
        </is>
      </c>
      <c r="B231" s="2" t="inlineStr">
        <is>
          <t>2026-10-27 16:24</t>
        </is>
      </c>
      <c r="C231" s="3" t="inlineStr">
        <is>
          <t>Auxiliar administrativo sector salud</t>
        </is>
      </c>
      <c r="D231" s="3" t="inlineStr">
        <is>
          <t>ENFASO S.A.S</t>
        </is>
      </c>
      <c r="E231" s="7" t="n">
        <v>0.58</v>
      </c>
      <c r="F231" s="2" t="inlineStr">
        <is>
          <t>Remoto</t>
        </is>
      </c>
      <c r="G231" s="5">
        <f>HYPERLINK("https://www.elempleo.com/co/ofertas-trabajo/auxiliar-administrativo-sector-salud-1886776064", "Ver Vacante")</f>
        <v/>
      </c>
      <c r="H231" s="6" t="inlineStr"/>
      <c r="I231" s="3" t="inlineStr">
        <is>
          <t>[Afinidad: 58/100 - Afinidad Moderada] Afinidad moderada en áreas técnicas del cargo (Auxiliar Administrativo / Asistente Virtual).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f0fab996970f2ac6</t>
        </is>
      </c>
      <c r="B232" s="2" t="inlineStr">
        <is>
          <t>2026-10-27 16:24</t>
        </is>
      </c>
      <c r="C232" s="3" t="inlineStr">
        <is>
          <t>Analista de aduana-digitador</t>
        </is>
      </c>
      <c r="D232" s="3" t="inlineStr">
        <is>
          <t>Confidencial</t>
        </is>
      </c>
      <c r="E232" s="7" t="n">
        <v>0.58</v>
      </c>
      <c r="F232" s="2" t="inlineStr">
        <is>
          <t>Remoto</t>
        </is>
      </c>
      <c r="G232" s="5">
        <f>HYPERLINK("https://www.elempleo.com/co/ofertas-trabajo/analista-de-aduanadigitador-1886785694", "Ver Vacante")</f>
        <v/>
      </c>
      <c r="H232" s="6" t="inlineStr"/>
      <c r="I232" s="3" t="inlineStr">
        <is>
          <t>[Afinidad: 58/100 - Afinidad Moderada] Afinidad moderada en áreas técnicas del cargo (Auxiliar Administrativo / Asistente Virtual).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c4043ed895b4a8b9</t>
        </is>
      </c>
      <c r="B233" s="2" t="inlineStr">
        <is>
          <t>2026-10-27 16:24</t>
        </is>
      </c>
      <c r="C233" s="3" t="inlineStr">
        <is>
          <t>Analista de aduana-digitador</t>
        </is>
      </c>
      <c r="D233" s="3" t="inlineStr">
        <is>
          <t>Confidencial</t>
        </is>
      </c>
      <c r="E233" s="7" t="n">
        <v>0.58</v>
      </c>
      <c r="F233" s="2" t="inlineStr">
        <is>
          <t>Remoto</t>
        </is>
      </c>
      <c r="G233" s="5">
        <f>HYPERLINK("https://www.elempleo.com/co/ofertas-trabajo/analista-de-aduanadigitador-1886785700", "Ver Vacante")</f>
        <v/>
      </c>
      <c r="H233" s="6" t="inlineStr"/>
      <c r="I233" s="3" t="inlineStr">
        <is>
          <t>[Afinidad: 58/100 - Afinidad Moderada] Afinidad moderada en áreas técnicas del cargo (Auxiliar Administrativo / Asistente Virtual).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48e481891b4ddc0c</t>
        </is>
      </c>
      <c r="B234" s="2" t="inlineStr">
        <is>
          <t>2026-10-29 17:31</t>
        </is>
      </c>
      <c r="C234" s="3" t="inlineStr">
        <is>
          <t>Asistente Administrativo Remoto en Colombia</t>
        </is>
      </c>
      <c r="D234" s="3" t="inlineStr">
        <is>
          <t>Importante empresa del sector farmacéutico</t>
        </is>
      </c>
      <c r="E234" s="7" t="n">
        <v>0.58</v>
      </c>
      <c r="F234" s="2" t="inlineStr">
        <is>
          <t>Remoto</t>
        </is>
      </c>
      <c r="G234" s="5">
        <f>HYPERLINK("https://co.computrabajo.com/ofertas-de-trabajo/oferta-de-trabajo-de-asistente-administrativo-remoto-en-colombia-sector-farmaceutico-ingles-b2-en-cali-6A44B668B381F77161373E686DCF3405", "Ver Vacante")</f>
        <v/>
      </c>
      <c r="H234" s="6" t="inlineStr">
        <is>
          <t>$ 3.000.000,00 (Mensual)</t>
        </is>
      </c>
      <c r="I234" s="3" t="inlineStr">
        <is>
          <t>[Afinidad: 58/100 - Afinidad Moderada] Afinidad moderada en áreas técnicas del cargo (Auxiliar Administrativo / Asistente Virtual).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4a0636405defaf77</t>
        </is>
      </c>
      <c r="B235" s="2" t="inlineStr">
        <is>
          <t>2026-10-29 17:31</t>
        </is>
      </c>
      <c r="C235" s="3" t="inlineStr">
        <is>
          <t>Auxiliar contable digitadora</t>
        </is>
      </c>
      <c r="D235" s="3" t="inlineStr">
        <is>
          <t>SUMMAR PRODUCTIVIDAD S.A.S</t>
        </is>
      </c>
      <c r="E235" s="7" t="n">
        <v>0.58</v>
      </c>
      <c r="F235" s="2" t="inlineStr">
        <is>
          <t>Remoto</t>
        </is>
      </c>
      <c r="G235" s="5">
        <f>HYPERLINK("https://www.elempleo.com/co/ofertas-trabajo/auxiliar-contable-digitadora-1886786311", "Ver Vacante")</f>
        <v/>
      </c>
      <c r="H235" s="6" t="inlineStr"/>
      <c r="I235" s="3" t="inlineStr">
        <is>
          <t>[Afinidad: 58/100 - Afinidad Moderada] Afinidad moderada en áreas técnicas del cargo (Auxiliar Administrativo / Asistente Virtual).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35d921876427812e</t>
        </is>
      </c>
      <c r="B236" s="2" t="inlineStr">
        <is>
          <t>2026-10-29 17:31</t>
        </is>
      </c>
      <c r="C236" s="3" t="inlineStr">
        <is>
          <t>Asistente digitador contable</t>
        </is>
      </c>
      <c r="D236" s="3" t="inlineStr">
        <is>
          <t>Avellaneda Torres SAS</t>
        </is>
      </c>
      <c r="E236" s="7" t="n">
        <v>0.58</v>
      </c>
      <c r="F236" s="2" t="inlineStr">
        <is>
          <t>Remoto</t>
        </is>
      </c>
      <c r="G236" s="5">
        <f>HYPERLINK("https://www.elempleo.com/co/ofertas-trabajo/asistente-digitador-contable-1886787009", "Ver Vacante")</f>
        <v/>
      </c>
      <c r="H236" s="6" t="inlineStr"/>
      <c r="I236" s="3" t="inlineStr">
        <is>
          <t>[Afinidad: 58/100 - Afinidad Moderada] Afinidad moderada en áreas técnicas del cargo (Auxiliar Administrativo / Asistente Virtual).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edb9c7585e0b2379</t>
        </is>
      </c>
      <c r="B237" s="2" t="inlineStr">
        <is>
          <t>2026-10-29 17:31</t>
        </is>
      </c>
      <c r="C237" s="3" t="inlineStr">
        <is>
          <t>Young Professional – Data Entry - Remote Work</t>
        </is>
      </c>
      <c r="D237" s="3" t="inlineStr">
        <is>
          <t>BairesDev</t>
        </is>
      </c>
      <c r="E237" s="7" t="n">
        <v>0.58</v>
      </c>
      <c r="F237" s="2" t="inlineStr">
        <is>
          <t>Remoto</t>
        </is>
      </c>
      <c r="G237" s="5">
        <f>HYPERLINK("https://co.linkedin.com/jobs/view/young-professional-%E2%80%93-data-entry-remote-work-at-bairesdev-4483883485", "Ver Vacante")</f>
        <v/>
      </c>
      <c r="H237" s="6" t="inlineStr"/>
      <c r="I237" s="3" t="inlineStr">
        <is>
          <t>[Afinidad: 58/100 - Afinidad Moderada] Afinidad moderada en áreas técnicas del cargo (Auxiliar Administrativo / Asistente Virtual).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bab8c57875b70054</t>
        </is>
      </c>
      <c r="B238" s="2" t="inlineStr">
        <is>
          <t>2026-09-24 16:07</t>
        </is>
      </c>
      <c r="C238" s="3" t="inlineStr">
        <is>
          <t>Analista de Servicio al Cliente Digital / Personal con Discapacidad</t>
        </is>
      </c>
      <c r="D238" s="3" t="inlineStr">
        <is>
          <t>HOME BURGERS</t>
        </is>
      </c>
      <c r="E238" s="7" t="n">
        <v>0.53</v>
      </c>
      <c r="F238" s="2" t="inlineStr">
        <is>
          <t>Remoto</t>
        </is>
      </c>
      <c r="G238" s="5">
        <f>HYPERLINK("https://co.computrabajo.com/ofertas-de-trabajo/oferta-de-trabajo-de-analista-de-servicio-al-cliente-digital-personal-con-discapacidad-en-bogota-dc-11CE94961396D4CF61373E686DCF3405", "Ver Vacante")</f>
        <v/>
      </c>
      <c r="H238" s="6" t="inlineStr">
        <is>
          <t>$ 1.750.000,00 (Mensual)</t>
        </is>
      </c>
      <c r="I238" s="3" t="inlineStr">
        <is>
          <t>[Afinidad: 53/100 - Afinidad Moderada] Afinidad moderada en áreas técnicas del cargo (Auxiliar Administrativo / Asistente Virtual).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e4553a32da3edf6d</t>
        </is>
      </c>
      <c r="B239" s="2" t="inlineStr">
        <is>
          <t>2026-09-24 16:07</t>
        </is>
      </c>
      <c r="C239" s="3" t="inlineStr">
        <is>
          <t>Asesor de Servicio al Cliente / Remoto</t>
        </is>
      </c>
      <c r="D239" s="3" t="inlineStr">
        <is>
          <t>SIIGO S.A.S</t>
        </is>
      </c>
      <c r="E239" s="7" t="n">
        <v>0.53</v>
      </c>
      <c r="F239" s="2" t="inlineStr">
        <is>
          <t>Remoto</t>
        </is>
      </c>
      <c r="G239" s="5">
        <f>HYPERLINK("https://co.computrabajo.com/ofertas-de-trabajo/oferta-de-trabajo-de-asesor-de-servicio-al-cliente-remoto-en-bogota-dc-00C206C9966382F961373E686DCF3405", "Ver Vacante")</f>
        <v/>
      </c>
      <c r="H239" s="6" t="inlineStr">
        <is>
          <t>$ 1.750.905,00 (Mensual)</t>
        </is>
      </c>
      <c r="I239" s="3" t="inlineStr">
        <is>
          <t>[Afinidad: 53/100 - Afinidad Moderada] Afinidad moderada en áreas técnicas del cargo (Auxiliar Administrativo / Asistente Virtual).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838f39602895a4e7</t>
        </is>
      </c>
      <c r="B240" s="2" t="inlineStr">
        <is>
          <t>2026-10-03 15:14</t>
        </is>
      </c>
      <c r="C240" s="3" t="inlineStr">
        <is>
          <t>Analista de facturación (billing analyst)/ inglés b2 /híbrido</t>
        </is>
      </c>
      <c r="D240" s="3" t="inlineStr">
        <is>
          <t>MANPOWER</t>
        </is>
      </c>
      <c r="E240" s="7" t="n">
        <v>0.53</v>
      </c>
      <c r="F240" s="2" t="inlineStr">
        <is>
          <t>Hibrido</t>
        </is>
      </c>
      <c r="G240" s="5">
        <f>HYPERLINK("https://www.elempleo.com/co/ofertas-trabajo/analista-de-facturacion-billing-analyst-ingles-b2-hibrido-1886773841", "Ver Vacante")</f>
        <v/>
      </c>
      <c r="H240" s="6" t="inlineStr"/>
      <c r="I240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c2dea1f07ef53647</t>
        </is>
      </c>
      <c r="B241" s="2" t="inlineStr">
        <is>
          <t>2026-10-06 17:14</t>
        </is>
      </c>
      <c r="C241" s="3" t="inlineStr">
        <is>
          <t>Consultor sap fi-gl / fi-aa s/4hana - remoto colombia</t>
        </is>
      </c>
      <c r="D241" s="3" t="inlineStr">
        <is>
          <t>TALYCAP GLOBAL SAS</t>
        </is>
      </c>
      <c r="E241" s="7" t="n">
        <v>0.53</v>
      </c>
      <c r="F241" s="2" t="inlineStr">
        <is>
          <t>Remoto</t>
        </is>
      </c>
      <c r="G241" s="5">
        <f>HYPERLINK("https://www.elempleo.com/co/ofertas-trabajo/consultor-sap-figl-fiaa-s-4hana-remoto-colombia-1886776900", "Ver Vacante")</f>
        <v/>
      </c>
      <c r="H241" s="6" t="inlineStr"/>
      <c r="I241" s="3" t="inlineStr">
        <is>
          <t>[Afinidad: 53/100 - Afinidad Moderada] Afinidad moderada en áreas técnicas del cargo (Auxiliar Administrativo / Asistente Virtual).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d55c5bcc13a598dc</t>
        </is>
      </c>
      <c r="B242" s="2" t="inlineStr">
        <is>
          <t>2026-10-07 17:52</t>
        </is>
      </c>
      <c r="C242" s="3" t="inlineStr">
        <is>
          <t>Asesor(a) de servicio al cliente bilingüe</t>
        </is>
      </c>
      <c r="D242" s="3" t="inlineStr">
        <is>
          <t>Empresa en expansión</t>
        </is>
      </c>
      <c r="E242" s="7" t="n">
        <v>0.53</v>
      </c>
      <c r="F242" s="2" t="inlineStr">
        <is>
          <t>Remoto</t>
        </is>
      </c>
      <c r="G242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42" s="6" t="inlineStr">
        <is>
          <t>$ 3.500.000,00 (Mensual)</t>
        </is>
      </c>
      <c r="I242" s="3" t="inlineStr">
        <is>
          <t>[Afinidad: 53/100 - Afinidad Moderada] Afinidad moderada en áreas técnicas del cargo (Auxiliar Administrativo / Asistente Virtual).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08504d61be6d0f7f</t>
        </is>
      </c>
      <c r="B243" s="2" t="inlineStr">
        <is>
          <t>2026-10-14 15:54</t>
        </is>
      </c>
      <c r="C243" s="3" t="inlineStr">
        <is>
          <t>Consultor sap datasphere - remoto</t>
        </is>
      </c>
      <c r="D243" s="3" t="inlineStr">
        <is>
          <t>Cinte Colombia SAS</t>
        </is>
      </c>
      <c r="E243" s="7" t="n">
        <v>0.53</v>
      </c>
      <c r="F243" s="2" t="inlineStr">
        <is>
          <t>Remoto</t>
        </is>
      </c>
      <c r="G243" s="5">
        <f>HYPERLINK("https://www.elempleo.com/co/ofertas-trabajo/consultor-sap-datasphere-remoto-1886759862", "Ver Vacante")</f>
        <v/>
      </c>
      <c r="H243" s="6" t="inlineStr"/>
      <c r="I243" s="3" t="inlineStr">
        <is>
          <t>[Afinidad: 53/100 - Afinidad Moderada] Afinidad moderada en áreas técnicas del cargo (Auxiliar Administrativo / Asistente Virtual).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fd0cf1451b259786</t>
        </is>
      </c>
      <c r="B244" s="2" t="inlineStr">
        <is>
          <t>2026-10-16 15:24</t>
        </is>
      </c>
      <c r="C244" s="3" t="inlineStr">
        <is>
          <t>Asesor de Servicio al Cliente / Remoto</t>
        </is>
      </c>
      <c r="D244" s="3" t="inlineStr">
        <is>
          <t>SIIGO S.A.S</t>
        </is>
      </c>
      <c r="E244" s="7" t="n">
        <v>0.53</v>
      </c>
      <c r="F244" s="2" t="inlineStr">
        <is>
          <t>Remoto</t>
        </is>
      </c>
      <c r="G244" s="5">
        <f>HYPERLINK("https://co.computrabajo.com/ofertas-de-trabajo/oferta-de-trabajo-de-asesor-de-servicio-al-cliente-remoto-en-bogota-dc-0757873A03E0E43661373E686DCF3405", "Ver Vacante")</f>
        <v/>
      </c>
      <c r="H244" s="6" t="inlineStr">
        <is>
          <t>$ 1.750.905,00 (Mensual)</t>
        </is>
      </c>
      <c r="I244" s="3" t="inlineStr">
        <is>
          <t>[Afinidad: 53/100 - Afinidad Moderada] Afinidad moderada en áreas técnicas del cargo (Auxiliar Administrativo / Asistente Virtual).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f4f5539b99aa321c</t>
        </is>
      </c>
      <c r="B245" s="2" t="inlineStr">
        <is>
          <t>2026-10-17 14:17</t>
        </is>
      </c>
      <c r="C245" s="3" t="inlineStr">
        <is>
          <t>Analista de cartera y servicio al cliente</t>
        </is>
      </c>
      <c r="D245" s="3" t="inlineStr">
        <is>
          <t>AMANECER MEDICO SAS</t>
        </is>
      </c>
      <c r="E245" s="7" t="n">
        <v>0.53</v>
      </c>
      <c r="F245" s="2" t="inlineStr">
        <is>
          <t>Remoto</t>
        </is>
      </c>
      <c r="G245" s="5">
        <f>HYPERLINK("https://co.linkedin.com/jobs/view/analista-de-cartera-y-servicio-al-cliente-at-amanecer-medico-sas-4480538113", "Ver Vacante")</f>
        <v/>
      </c>
      <c r="H245" s="6" t="inlineStr"/>
      <c r="I245" s="3" t="inlineStr">
        <is>
          <t>[Afinidad: 53/100 - Afinidad Moderada] Afinidad moderada en áreas técnicas del cargo (Auxiliar Administrativo / Asistente Virtual).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5f6b837cd82a3734</t>
        </is>
      </c>
      <c r="B246" s="2" t="inlineStr">
        <is>
          <t>2026-10-29 17:31</t>
        </is>
      </c>
      <c r="C246" s="3" t="inlineStr">
        <is>
          <t>Asesor de Servicio al Cliente Trilingüe Ingles B1 , Frances B2</t>
        </is>
      </c>
      <c r="D246" s="3" t="inlineStr">
        <is>
          <t>Gi Group Colombia</t>
        </is>
      </c>
      <c r="E246" s="7" t="n">
        <v>0.53</v>
      </c>
      <c r="F246" s="2" t="inlineStr">
        <is>
          <t>Remoto</t>
        </is>
      </c>
      <c r="G246" s="5">
        <f>HYPERLINK("https://co.computrabajo.com/ofertas-de-trabajo/oferta-de-trabajo-de-asesor-de-servicio-al-cliente-trilingue-ingles-b1-frances-b2-en-bogota-dc-578A57277B8BC58561373E686DCF3405", "Ver Vacante")</f>
        <v/>
      </c>
      <c r="H246" s="6" t="inlineStr">
        <is>
          <t>$ 3.061.000,00 (Mensual)</t>
        </is>
      </c>
      <c r="I246" s="3" t="inlineStr">
        <is>
          <t>[Afinidad: 53/100 - Afinidad Moderada] Afinidad moderada en áreas técnicas del cargo (Auxiliar Administrativo / Asistente Virtual).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cd1036bcf66024dc</t>
        </is>
      </c>
      <c r="B247" s="2" t="inlineStr">
        <is>
          <t>2026-09-26 15:05</t>
        </is>
      </c>
      <c r="C247" s="3" t="inlineStr">
        <is>
          <t>Aprendiz practicante administrativo</t>
        </is>
      </c>
      <c r="D247" s="3" t="inlineStr">
        <is>
          <t>Bold.co</t>
        </is>
      </c>
      <c r="E247" s="7" t="n">
        <v>0.5</v>
      </c>
      <c r="F247" s="2" t="inlineStr">
        <is>
          <t>Remoto</t>
        </is>
      </c>
      <c r="G247" s="5">
        <f>HYPERLINK("https://co.linkedin.com/jobs/view/aprendiz-practicante-administrativo-etapa-productiva-at-bold-4457032181", "Ver Vacante")</f>
        <v/>
      </c>
      <c r="H247" s="6" t="inlineStr"/>
      <c r="I247" s="3" t="inlineStr">
        <is>
          <t>[Afinidad: 50/100 - Afinidad Moderada] Afinidad en rol base (Auxiliar Administrativo / Asistente Virtual).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dbdce1eb16060a6a</t>
        </is>
      </c>
      <c r="B248" s="2" t="inlineStr">
        <is>
          <t>2026-09-28 18:38</t>
        </is>
      </c>
      <c r="C248" s="3" t="inlineStr">
        <is>
          <t>Auxiliar contable jr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HYPERLINK("https://www.elempleo.com/co/ofertas-trabajo/auxiliar-contable-jr-1886767584", "Ver Vacante")</f>
        <v/>
      </c>
      <c r="H248" s="6" t="inlineStr"/>
      <c r="I248" s="3" t="inlineStr">
        <is>
          <t>[Afinidad: 50/100 - Afinidad Moderada] Afinidad en rol base (Auxiliar Administrativo / Asistente Virtual).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550ad8afea6faf9b</t>
        </is>
      </c>
      <c r="B249" s="2" t="inlineStr">
        <is>
          <t>2026-09-28 18:38</t>
        </is>
      </c>
      <c r="C249" s="3" t="inlineStr">
        <is>
          <t>Auxiliar Contable Junior</t>
        </is>
      </c>
      <c r="D249" s="3" t="inlineStr">
        <is>
          <t>Ariadna Communications Group</t>
        </is>
      </c>
      <c r="E249" s="7" t="n">
        <v>0.5</v>
      </c>
      <c r="F249" s="2" t="inlineStr">
        <is>
          <t>Remoto</t>
        </is>
      </c>
      <c r="G249" s="5">
        <f>HYPERLINK("https://co.linkedin.com/jobs/view/auxiliar-contable-junior-at-ariadna-communications-group-4472764062", "Ver Vacante")</f>
        <v/>
      </c>
      <c r="H249" s="6" t="inlineStr"/>
      <c r="I249" s="3" t="inlineStr">
        <is>
          <t>[Afinidad: 50/100 - Afinidad Moderada] Afinidad en rol base (Auxiliar Administrativo / Asistente Virtual).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e8956f3876a2127b</t>
        </is>
      </c>
      <c r="B250" s="2" t="inlineStr">
        <is>
          <t>2026-10-15 15:43</t>
        </is>
      </c>
      <c r="C250" s="3" t="inlineStr">
        <is>
          <t>Auxiliar Contable Junior</t>
        </is>
      </c>
      <c r="D250" s="3" t="inlineStr">
        <is>
          <t>Empresa Privada</t>
        </is>
      </c>
      <c r="E250" s="7" t="n">
        <v>0.5</v>
      </c>
      <c r="F250" s="2" t="inlineStr">
        <is>
          <t>Remoto</t>
        </is>
      </c>
      <c r="G250" s="5">
        <f>HYPERLINK("https://co.linkedin.com/jobs/view/auxiliar-contable-junior-at-private-company-4479719285", "Ver Vacante")</f>
        <v/>
      </c>
      <c r="H250" s="6" t="inlineStr"/>
      <c r="I250" s="3" t="inlineStr">
        <is>
          <t>[Afinidad: 50/100 - Afinidad Moderada] Afinidad en rol base (Auxiliar Administrativo / Asistente Virtual).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1882fc6c9f917501</t>
        </is>
      </c>
      <c r="B251" s="2" t="inlineStr">
        <is>
          <t>2026-10-27 16:24</t>
        </is>
      </c>
      <c r="C251" s="3" t="inlineStr">
        <is>
          <t>Representante de casino virtual / presentadora junior - sin experiencia</t>
        </is>
      </c>
      <c r="D251" s="3" t="inlineStr">
        <is>
          <t>INTEGRITY STAFFING SOLUTIONS COLOMBIA SAS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HYPERLINK("https://www.elempleo.com/co/ofertas-trabajo/representante-de-casino-virtual-presentadora-junior-sin-experiencia-1886785447", "Ver Vacante")</f>
        <v/>
      </c>
      <c r="H251" s="6" t="inlineStr"/>
      <c r="I251" s="3" t="inlineStr">
        <is>
          <t>[Afinidad: 50/100 - Afinidad Moderada] Afinidad en rol base (Auxiliar Administrativo / Asistente Virtual).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cab18ea45983ae06</t>
        </is>
      </c>
      <c r="B252" s="2" t="inlineStr">
        <is>
          <t>2026-10-30 17:08</t>
        </is>
      </c>
      <c r="C252" s="3" t="inlineStr">
        <is>
          <t>Auxiliar Contable Junior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HYPERLINK("https://co.linkedin.com/jobs/view/auxiliar-contable-junior-at-empresa-confidencial-4485227901", "Ver Vacante")</f>
        <v/>
      </c>
      <c r="H252" s="6" t="inlineStr"/>
      <c r="I252" s="3" t="inlineStr">
        <is>
          <t>[Afinidad: 50/100 - Afinidad Moderada] Afinidad en rol base (Auxiliar Administrativo / Asistente Virtual). Modalidad: 100% Remoto en Colombia confirmado.</t>
        </is>
      </c>
      <c r="J252" s="2" t="inlineStr">
        <is>
          <t>Nueva</t>
        </is>
      </c>
      <c r="K252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2026-10-30T17:08:55Z</dcterms:created>
  <dcterms:modified xmlns:dcterms="http://purl.org/dc/terms/" xmlns:xsi="http://www.w3.org/2001/XMLSchema-instance" xsi:type="dcterms:W3CDTF">2026-10-30T17:08:55Z</dcterms:modified>
</cp:coreProperties>
</file>