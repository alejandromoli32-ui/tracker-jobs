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e525f145f275012a</t>
        </is>
      </c>
      <c r="B3" s="2" t="inlineStr">
        <is>
          <t>2026-09-24 16:07</t>
        </is>
      </c>
      <c r="C3" s="3" t="inlineStr">
        <is>
          <t>Remote Office Assistant</t>
        </is>
      </c>
      <c r="D3" s="3" t="inlineStr">
        <is>
          <t>Coalition Technologies</t>
        </is>
      </c>
      <c r="E3" s="4" t="n">
        <v>0.78</v>
      </c>
      <c r="F3" s="2" t="inlineStr">
        <is>
          <t>Remoto</t>
        </is>
      </c>
      <c r="G3" s="5">
        <f>HYPERLINK("https://remotive.com/remote-jobs/marketing/remote-office-assistant-1680495", "Ver Vacante")</f>
        <v/>
      </c>
      <c r="H3" s="6" t="inlineStr">
        <is>
          <t>$35,3k- $52k</t>
        </is>
      </c>
      <c r="I3" s="3" t="inlineStr">
        <is>
          <t>[Afinidad: 78/100 -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3c78d827079503ad</t>
        </is>
      </c>
      <c r="B4" s="2" t="inlineStr">
        <is>
          <t>2026-10-03 15:14</t>
        </is>
      </c>
      <c r="C4" s="3" t="inlineStr">
        <is>
          <t>Digitador SAP</t>
        </is>
      </c>
      <c r="D4" s="3" t="inlineStr">
        <is>
          <t>Industrias Puropollo S.A.S</t>
        </is>
      </c>
      <c r="E4" s="4" t="n">
        <v>0.78</v>
      </c>
      <c r="F4" s="2" t="inlineStr">
        <is>
          <t>Remoto</t>
        </is>
      </c>
      <c r="G4" s="5">
        <f>HYPERLINK("https://co.linkedin.com/jobs/view/digitador-sap-at-industrias-puropollo-s-a-s-4475052500", "Ver Vacante")</f>
        <v/>
      </c>
      <c r="H4" s="6" t="inlineStr"/>
      <c r="I4" s="3" t="inlineStr">
        <is>
          <t>[Afinidad: 78/100 - Alta Afinidad] Afinidad moderada en áreas técnicas del cargo (Auxiliar Administrativo / Asistente Virtual).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5e69bdc3d8d68672</t>
        </is>
      </c>
      <c r="B5" s="2" t="inlineStr">
        <is>
          <t>2026-09-24 16:07</t>
        </is>
      </c>
      <c r="C5" s="3" t="inlineStr">
        <is>
          <t>Auxiliar de Facturación Teletrabajo</t>
        </is>
      </c>
      <c r="D5" s="3" t="inlineStr">
        <is>
          <t>Importante empresa del sector</t>
        </is>
      </c>
      <c r="E5" s="4" t="n">
        <v>0.73</v>
      </c>
      <c r="F5" s="2" t="inlineStr">
        <is>
          <t>Remoto</t>
        </is>
      </c>
      <c r="G5" s="5">
        <f>HYPERLINK("https://co.computrabajo.com/ofertas-de-trabajo/oferta-de-trabajo-de-auxiliar-de-facturacion-teletrabajo-en-cali-436F39785C023D1261373E686DCF3405", "Ver Vacante")</f>
        <v/>
      </c>
      <c r="H5" s="6" t="inlineStr">
        <is>
          <t>Remoto</t>
        </is>
      </c>
      <c r="I5" s="3" t="inlineStr">
        <is>
          <t>[Afinidad: 73/100 -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7cf82a12d60b65c7</t>
        </is>
      </c>
      <c r="B6" s="2" t="inlineStr">
        <is>
          <t>2026-09-24 16:07</t>
        </is>
      </c>
      <c r="C6" s="3" t="inlineStr">
        <is>
          <t>Auxiliar contable- conocimiento y dominio en erp siigo nube</t>
        </is>
      </c>
      <c r="D6" s="3" t="inlineStr">
        <is>
          <t>Confidencial</t>
        </is>
      </c>
      <c r="E6" s="4" t="n">
        <v>0.73</v>
      </c>
      <c r="F6" s="2" t="inlineStr">
        <is>
          <t>Remoto</t>
        </is>
      </c>
      <c r="G6" s="5">
        <f>HYPERLINK("https://www.elempleo.com/co/ofertas-trabajo/auxiliar-contable-conocimiento-y-dominio-en-erp-siigo-nube-1886749387", "Ver Vacante")</f>
        <v/>
      </c>
      <c r="H6" s="6" t="inlineStr"/>
      <c r="I6" s="3" t="inlineStr">
        <is>
          <t>[Afinidad: 73/100 - Alta Afinidad] Alta coincidencia técnica en Herramientas Ofimáticas, Excel y Soporte Contable / Facturación.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80dcaff6c76c4739</t>
        </is>
      </c>
      <c r="B7" s="2" t="inlineStr">
        <is>
          <t>2026-09-24 16:07</t>
        </is>
      </c>
      <c r="C7" s="3" t="inlineStr">
        <is>
          <t>Auxiliar de facturación</t>
        </is>
      </c>
      <c r="D7" s="3" t="inlineStr">
        <is>
          <t>Tower Consulting WorldWide SAS</t>
        </is>
      </c>
      <c r="E7" s="4" t="n">
        <v>0.73</v>
      </c>
      <c r="F7" s="2" t="inlineStr">
        <is>
          <t>Remoto</t>
        </is>
      </c>
      <c r="G7" s="5">
        <f>HYPERLINK("https://www.elempleo.com/co/ofertas-trabajo/auxiliar-de-facturacion-1886756116", "Ver Vacante")</f>
        <v/>
      </c>
      <c r="H7" s="6" t="inlineStr"/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2a5b492f2cf08a86</t>
        </is>
      </c>
      <c r="B8" s="2" t="inlineStr">
        <is>
          <t>2026-09-24 16:07</t>
        </is>
      </c>
      <c r="C8" s="3" t="inlineStr">
        <is>
          <t>Auxiliar de facturacion // yopal medio tiempo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HYPERLINK("https://www.elempleo.com/co/ofertas-trabajo/auxiliar-de-facturacion-yopal-medio-tiempo-1886767206",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4e81a6e21cf2499c</t>
        </is>
      </c>
      <c r="B9" s="2" t="inlineStr">
        <is>
          <t>2026-09-24 16:07</t>
        </is>
      </c>
      <c r="C9" s="3" t="inlineStr">
        <is>
          <t>Auxiliar contable - sap - facturacion electronica - bogota</t>
        </is>
      </c>
      <c r="D9" s="3" t="inlineStr">
        <is>
          <t>ADECCO COLOMBIA S A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HYPERLINK("https://www.elempleo.com/co/ofertas-trabajo/auxiliar-contable-sap-facturacion-electronica-bogota-1886767171",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5b72a870b18cd8dd</t>
        </is>
      </c>
      <c r="B10" s="2" t="inlineStr">
        <is>
          <t>2026-09-24 16:07</t>
        </is>
      </c>
      <c r="C10" s="3" t="inlineStr">
        <is>
          <t>Auxiliar de facturación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HYPERLINK("https://www.elempleo.com/co/ofertas-trabajo/auxiliar-de-facturacion-1886767351",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aaf3a1241a43d56a</t>
        </is>
      </c>
      <c r="B11" s="2" t="inlineStr">
        <is>
          <t>2026-09-24 16:07</t>
        </is>
      </c>
      <c r="C11" s="3" t="inlineStr">
        <is>
          <t>Asistente de facturación y despachos - yumbo</t>
        </is>
      </c>
      <c r="D11" s="3" t="inlineStr">
        <is>
          <t>DISAN COLOMBIA S.A.S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HYPERLINK("https://www.elempleo.com/co/ofertas-trabajo/asistente-de-facturacion-y-despachos-yumbo-1886765290",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4c6e2ae68998ff1f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HYPERLINK("https://www.elempleo.com/co/ofertas-trabajo/auxiliar-de-facturacion-ibague-1886770122",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dad6a39f05eb0872</t>
        </is>
      </c>
      <c r="B13" s="2" t="inlineStr">
        <is>
          <t>2026-09-24 16:07</t>
        </is>
      </c>
      <c r="C13" s="3" t="inlineStr">
        <is>
          <t>Auxiliar de facturación hospitalario</t>
        </is>
      </c>
      <c r="D13" s="3" t="inlineStr">
        <is>
          <t>INSTITUTO ROOSEVELT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HYPERLINK("https://www.elempleo.com/co/ofertas-trabajo/auxiliar-de-facturacion-hospitalario-1886760993",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c80879dace821f2d</t>
        </is>
      </c>
      <c r="B14" s="2" t="inlineStr">
        <is>
          <t>2026-09-24 16:07</t>
        </is>
      </c>
      <c r="C14" s="3" t="inlineStr">
        <is>
          <t>Auxiliar de facturación - 1626343701-25</t>
        </is>
      </c>
      <c r="D14" s="3" t="inlineStr">
        <is>
          <t>AGENCIA DE EMPLEO Y FOMENTO EMPRESARIAL COMPENSAR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HYPERLINK("https://www.elempleo.com/co/ofertas-trabajo/auxiliar-de-facturacion-162634370125-1886768889",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a581954268b43f5e</t>
        </is>
      </c>
      <c r="B15" s="2" t="inlineStr">
        <is>
          <t>2026-09-24 16:07</t>
        </is>
      </c>
      <c r="C15" s="3" t="inlineStr">
        <is>
          <t>Auxiliar de facturacion hospitalaria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HYPERLINK("https://www.elempleo.com/co/ofertas-trabajo/auxiliar-de-facturacion-hospitalaria-1886760847",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f19945acad64eb39</t>
        </is>
      </c>
      <c r="B16" s="2" t="inlineStr">
        <is>
          <t>2026-09-24 16:07</t>
        </is>
      </c>
      <c r="C16" s="3" t="inlineStr">
        <is>
          <t>Auxiliar de facturacion hospitalaria</t>
        </is>
      </c>
      <c r="D16" s="3" t="inlineStr">
        <is>
          <t>CLINICA SHAIO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HYPERLINK("https://www.elempleo.com/co/ofertas-trabajo/auxiliar-de-facturacion-hospitalaria-1886377445",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c5b127601236be94</t>
        </is>
      </c>
      <c r="B17" s="2" t="inlineStr">
        <is>
          <t>2026-09-24 16:07</t>
        </is>
      </c>
      <c r="C17" s="3" t="inlineStr">
        <is>
          <t>Auxiliar de facturacion // sector salud laboratorio clinico /// villavicencio meta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HYPERLINK("https://www.elempleo.com/co/ofertas-trabajo/auxiliar-de-facturacion-sector-salud-laboratorio-clinico-villavicencio-meta-1886746288",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6bf2402aaa779ade</t>
        </is>
      </c>
      <c r="B18" s="2" t="inlineStr">
        <is>
          <t>2026-09-24 16:07</t>
        </is>
      </c>
      <c r="C18" s="3" t="inlineStr">
        <is>
          <t>1626506410-20 - auxiliar de facturación - engativá</t>
        </is>
      </c>
      <c r="D18" s="3" t="inlineStr">
        <is>
          <t>AGENCIA DE EMPLEO Y FOMENTO EMPRESARIAL COMPENSAR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HYPERLINK("https://www.elempleo.com/co/ofertas-trabajo/162650641020-auxiliar-de-facturacion-engativa-1886768147",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9211ddea62d9bfb6</t>
        </is>
      </c>
      <c r="B19" s="2" t="inlineStr">
        <is>
          <t>2026-09-24 16:07</t>
        </is>
      </c>
      <c r="C19" s="3" t="inlineStr">
        <is>
          <t>Auxiliar de facturación experiencia en armado y radicación de cuentas</t>
        </is>
      </c>
      <c r="D19" s="3" t="inlineStr">
        <is>
          <t>Fundación Santa Fe de Bogotá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HYPERLINK("https://www.elempleo.com/co/ofertas-trabajo/auxiliar-de-facturacion-experiencia-en-armado-y-radicacion-de-cuentas-1886744224",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1525a4a624cf5cd3</t>
        </is>
      </c>
      <c r="B20" s="2" t="inlineStr">
        <is>
          <t>2026-09-24 16:07</t>
        </is>
      </c>
      <c r="C20" s="3" t="inlineStr">
        <is>
          <t>Auxiliar de facturacion cuentas medicas indefinido</t>
        </is>
      </c>
      <c r="D20" s="3" t="inlineStr">
        <is>
          <t>MEDICALL TALENTO HUMANO S.A.S.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HYPERLINK("https://www.elempleo.com/co/ofertas-trabajo/auxiliar-de-facturacion-cuentas-medicas-indefinido-1886767336",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d24c0581ada3f712</t>
        </is>
      </c>
      <c r="B21" s="2" t="inlineStr">
        <is>
          <t>2026-09-24 16:07</t>
        </is>
      </c>
      <c r="C21" s="3" t="inlineStr">
        <is>
          <t>Recepcionista auxiliar de facturación área laboratorio clínico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HYPERLINK("https://www.elempleo.com/co/ofertas-trabajo/recepcionista-auxiliar-de-facturacion-area-laboratorio-clinico-1886771966",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fb3dea6d6d65b76e</t>
        </is>
      </c>
      <c r="B22" s="2" t="inlineStr">
        <is>
          <t>2026-09-24 16:07</t>
        </is>
      </c>
      <c r="C22" s="3" t="inlineStr">
        <is>
          <t>Auxiliar de facturacion conocimientos en sap</t>
        </is>
      </c>
      <c r="D22" s="3" t="inlineStr">
        <is>
          <t>ATIEMPO S.A.S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HYPERLINK("https://www.elempleo.com/co/ofertas-trabajo/auxiliar-de-facturacion-conocimientos-en-sap-1886753956",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88175481acb2458e</t>
        </is>
      </c>
      <c r="B23" s="2" t="inlineStr">
        <is>
          <t>2026-09-24 16:07</t>
        </is>
      </c>
      <c r="C23" s="3" t="inlineStr">
        <is>
          <t>Asistente contable y facturacion</t>
        </is>
      </c>
      <c r="D23" s="3" t="inlineStr">
        <is>
          <t>Confidencial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HYPERLINK("https://www.elempleo.com/co/ofertas-trabajo/asistente-contable-y-facturacion-1886744516",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d82065ac5307df49</t>
        </is>
      </c>
      <c r="B24" s="2" t="inlineStr">
        <is>
          <t>2026-09-24 16:07</t>
        </is>
      </c>
      <c r="C24" s="3" t="inlineStr">
        <is>
          <t>Auxiliar de facturación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HYPERLINK("https://www.elempleo.com/co/ofertas-trabajo/auxiliar-de-facturacion-1886758187",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25faa90c6ef28e21</t>
        </is>
      </c>
      <c r="B25" s="2" t="inlineStr">
        <is>
          <t>2026-09-24 16:07</t>
        </is>
      </c>
      <c r="C25" s="3" t="inlineStr">
        <is>
          <t>Auxiliar de facturación e inventarios</t>
        </is>
      </c>
      <c r="D25" s="3" t="inlineStr">
        <is>
          <t>Human construction sas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HYPERLINK("https://www.elempleo.com/co/ofertas-trabajo/auxiliar-de-facturacion-e-inventarios-1886756606",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a40cdd7efd6dc67a</t>
        </is>
      </c>
      <c r="B26" s="2" t="inlineStr">
        <is>
          <t>2026-09-24 16:07</t>
        </is>
      </c>
      <c r="C26" s="3" t="inlineStr">
        <is>
          <t>Auxiliar de facturación urgencias / hospitalizacion</t>
        </is>
      </c>
      <c r="D26" s="3" t="inlineStr">
        <is>
          <t>Fundación Santa Fe de Bogotá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HYPERLINK("https://www.elempleo.com/co/ofertas-trabajo/auxiliar-de-facturacion-urgencias-hospitalizacion-1886752826",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72196b37f0710891</t>
        </is>
      </c>
      <c r="B27" s="2" t="inlineStr">
        <is>
          <t>2026-09-24 16:07</t>
        </is>
      </c>
      <c r="C27" s="3" t="inlineStr">
        <is>
          <t>Asistente de operaciones y facturación</t>
        </is>
      </c>
      <c r="D27" s="3" t="inlineStr">
        <is>
          <t>Confidencial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HYPERLINK("https://www.elempleo.com/co/ofertas-trabajo/asistente-de-operaciones-y-facturacion-1886763278",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aa68d537158b69c9</t>
        </is>
      </c>
      <c r="B28" s="2" t="inlineStr">
        <is>
          <t>2026-09-24 16:07</t>
        </is>
      </c>
      <c r="C28" s="3" t="inlineStr">
        <is>
          <t>Auxiliar de facturación</t>
        </is>
      </c>
      <c r="D28" s="3" t="inlineStr">
        <is>
          <t>Confidencial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HYPERLINK("https://www.elempleo.com/co/ofertas-trabajo/auxiliar-de-facturacion-1886760972",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32a63b8bbac24a30</t>
        </is>
      </c>
      <c r="B29" s="2" t="inlineStr">
        <is>
          <t>2026-09-24 16:07</t>
        </is>
      </c>
      <c r="C29" s="3" t="inlineStr">
        <is>
          <t>Auxiliar de Facturación - Área Financiera</t>
        </is>
      </c>
      <c r="D29" s="3" t="inlineStr">
        <is>
          <t>Philippi Prietocarrizosa Ferrero DU &amp; Uria</t>
        </is>
      </c>
      <c r="E29" s="4" t="n">
        <v>0.73</v>
      </c>
      <c r="F29" s="2" t="inlineStr">
        <is>
          <t>Remoto</t>
        </is>
      </c>
      <c r="G29" s="5">
        <f>HYPERLINK("https://co.linkedin.com/jobs/view/auxiliar-de-facturaci%C3%B3n-%C3%A1rea-financiera-at-philippi-prietocarrizosa-ferrero-du-uria-4460252170",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368b286993a892d4</t>
        </is>
      </c>
      <c r="B30" s="2" t="inlineStr">
        <is>
          <t>2026-09-24 16:07</t>
        </is>
      </c>
      <c r="C30" s="3" t="inlineStr">
        <is>
          <t>Auxiliar regional de facturación y recaudo</t>
        </is>
      </c>
      <c r="D30" s="3" t="inlineStr">
        <is>
          <t>Interaseo S.A.S. E.S.P.</t>
        </is>
      </c>
      <c r="E30" s="4" t="n">
        <v>0.73</v>
      </c>
      <c r="F30" s="2" t="inlineStr">
        <is>
          <t>Remoto</t>
        </is>
      </c>
      <c r="G30" s="5">
        <f>HYPERLINK("https://co.linkedin.com/jobs/view/auxiliar-regional-de-facturaci%C3%B3n-y-recaudo-at-interaseo-s-a-s-e-s-p-4471161048",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80916d693f0f0430</t>
        </is>
      </c>
      <c r="B31" s="2" t="inlineStr">
        <is>
          <t>2026-09-24 16:07</t>
        </is>
      </c>
      <c r="C31" s="3" t="inlineStr">
        <is>
          <t>Auxiliar de Facturacion y Cartera</t>
        </is>
      </c>
      <c r="D31" s="3" t="inlineStr">
        <is>
          <t>Eurofins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HYPERLINK("https://co.linkedin.com/jobs/view/auxiliar-de-facturacion-y-cartera-at-eurofins-4454827077",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bc2088c19862bca8</t>
        </is>
      </c>
      <c r="B32" s="2" t="inlineStr">
        <is>
          <t>2026-09-25 15:56</t>
        </is>
      </c>
      <c r="C32" s="3" t="inlineStr">
        <is>
          <t>Digitador / cajero / auxiliar administrativo / validador documental</t>
        </is>
      </c>
      <c r="D32" s="3" t="inlineStr">
        <is>
          <t>Confidencial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HYPERLINK("https://www.elempleo.com/co/ofertas-trabajo/digitador-cajero-auxiliar-administrativo-validador-documental-1886745228", "Ver Vacante")</f>
        <v/>
      </c>
      <c r="H32" s="6" t="inlineStr"/>
      <c r="I32" s="3" t="inlineStr">
        <is>
          <t>[Afinidad: 73/100 - Alta Afinidad] Alta coincidencia técnica en Gestión Administrativa, Documental y Archivo.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9a579fd55998614e</t>
        </is>
      </c>
      <c r="B33" s="2" t="inlineStr">
        <is>
          <t>2026-09-25 15:56</t>
        </is>
      </c>
      <c r="C33" s="3" t="inlineStr">
        <is>
          <t>Auxiliar de facturación</t>
        </is>
      </c>
      <c r="D33" s="3" t="inlineStr">
        <is>
          <t>Cruz Roja Colombiana Seccional Cundinamarca y Bogotá.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HYPERLINK("https://www.elempleo.com/co/ofertas-trabajo/auxiliar-de-facturacion-1886764480",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4490b765a39a686e</t>
        </is>
      </c>
      <c r="B34" s="2" t="inlineStr">
        <is>
          <t>2026-09-25 15:56</t>
        </is>
      </c>
      <c r="C34" s="3" t="inlineStr">
        <is>
          <t>Auxiliar contable - sap - facturacion electronica - bogota</t>
        </is>
      </c>
      <c r="D34" s="3" t="inlineStr">
        <is>
          <t>ADECCO COLOMBIA S A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HYPERLINK("https://www.elempleo.com/co/ofertas-trabajo/auxiliar-contable-sap-facturacion-electronica-bogota-1886767594", "Ver Vacante")</f>
        <v/>
      </c>
      <c r="H34" s="6" t="inlineStr"/>
      <c r="I34" s="3" t="inlineStr">
        <is>
          <t>[Afinidad: 73/100 - Alta Afinidad] Alta coincidencia técnica en Herramientas Ofimáticas, Excel y Soporte Contable / Facturación.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7d81d64bbd2753f2</t>
        </is>
      </c>
      <c r="B35" s="2" t="inlineStr">
        <is>
          <t>2026-09-25 15:56</t>
        </is>
      </c>
      <c r="C35" s="3" t="inlineStr">
        <is>
          <t>Recepcionista auxiliar de facturación consulta externa</t>
        </is>
      </c>
      <c r="D35" s="3" t="inlineStr">
        <is>
          <t>Fundación Santa Fe de Bogotá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HYPERLINK("https://www.elempleo.com/co/ofertas-trabajo/recepcionista-auxiliar-de-facturacion-consulta-externa-1886770793",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975e07c54df5e3db</t>
        </is>
      </c>
      <c r="B36" s="2" t="inlineStr">
        <is>
          <t>2026-09-25 15:56</t>
        </is>
      </c>
      <c r="C36" s="3" t="inlineStr">
        <is>
          <t>Auxiliar de facturación</t>
        </is>
      </c>
      <c r="D36" s="3" t="inlineStr">
        <is>
          <t>SERO SAS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HYPERLINK("https://www.elempleo.com/co/ofertas-trabajo/auxiliar-de-facturacion-1886771398",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fae0f941c19be28c</t>
        </is>
      </c>
      <c r="B37" s="2" t="inlineStr">
        <is>
          <t>2026-09-25 15:56</t>
        </is>
      </c>
      <c r="C37" s="3" t="inlineStr">
        <is>
          <t>Auxiliar de facturación urgencias - oficina de facturación</t>
        </is>
      </c>
      <c r="D37" s="3" t="inlineStr">
        <is>
          <t>HUSI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HYPERLINK("https://www.elempleo.com/co/ofertas-trabajo/auxiliar-de-facturacion-urgencias-oficina-de-facturacion-1886766642",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dbd9c8aa033cf89c</t>
        </is>
      </c>
      <c r="B38" s="2" t="inlineStr">
        <is>
          <t>2026-09-25 15:56</t>
        </is>
      </c>
      <c r="C38" s="3" t="inlineStr">
        <is>
          <t>Auxiliar de facturación urgencias - oficina de facturación</t>
        </is>
      </c>
      <c r="D38" s="3" t="inlineStr">
        <is>
          <t>HUSI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HYPERLINK("https://www.elempleo.com/co/ofertas-trabajo/auxiliar-de-facturacion-urgencias-oficina-de-facturacion-1886747575",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8f7dd64102e520cd</t>
        </is>
      </c>
      <c r="B39" s="2" t="inlineStr">
        <is>
          <t>2026-09-25 15:56</t>
        </is>
      </c>
      <c r="C39" s="3" t="inlineStr">
        <is>
          <t>Auxiliar de facturación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HYPERLINK("https://www.elempleo.com/co/ofertas-trabajo/auxiliar-de-facturacion-1886769035",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7428ddafa7d405b7</t>
        </is>
      </c>
      <c r="B40" s="2" t="inlineStr">
        <is>
          <t>2026-09-25 15:56</t>
        </is>
      </c>
      <c r="C40" s="3" t="inlineStr">
        <is>
          <t>Auxiliar de Facturación- Remoto</t>
        </is>
      </c>
      <c r="D40" s="3" t="inlineStr">
        <is>
          <t>NYXN</t>
        </is>
      </c>
      <c r="E40" s="4" t="n">
        <v>0.73</v>
      </c>
      <c r="F40" s="2" t="inlineStr">
        <is>
          <t>Remoto</t>
        </is>
      </c>
      <c r="G40" s="5">
        <f>HYPERLINK("https://co.linkedin.com/jobs/view/auxiliar-de-facturaci%C3%B3n-remoto-at-nyxn-4472029589",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40e71508f9aac640</t>
        </is>
      </c>
      <c r="B41" s="2" t="inlineStr">
        <is>
          <t>2026-09-27 15:43</t>
        </is>
      </c>
      <c r="C41" s="3" t="inlineStr">
        <is>
          <t>Auxiliar administrativo y contable</t>
        </is>
      </c>
      <c r="D41" s="3" t="inlineStr">
        <is>
          <t>TRANSINVERLOG SAS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HYPERLINK("https://www.elempleo.com/co/ofertas-trabajo/auxiliar-administrativo-y-contable-1886770746", "Ver Vacante")</f>
        <v/>
      </c>
      <c r="H41" s="6" t="inlineStr"/>
      <c r="I41" s="3" t="inlineStr">
        <is>
          <t>[Afinidad: 73/100 - Alta Afinidad] Alta coincidencia técnica en Gestión Administrativa, Documental y Archivo.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cb26be745b2ac668</t>
        </is>
      </c>
      <c r="B42" s="2" t="inlineStr">
        <is>
          <t>2026-09-27 15:43</t>
        </is>
      </c>
      <c r="C42" s="3" t="inlineStr">
        <is>
          <t>Profesional en gestión documental- colombia</t>
        </is>
      </c>
      <c r="D42" s="3" t="inlineStr">
        <is>
          <t>Confidencial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HYPERLINK("https://www.elempleo.com/co/ofertas-trabajo/profesional-en-gestion-documental-colombia-1886747593", "Ver Vacante")</f>
        <v/>
      </c>
      <c r="H42" s="6" t="inlineStr"/>
      <c r="I42" s="3" t="inlineStr">
        <is>
          <t>[Afinidad: 73/100 - Alta Afinidad] Alta coincidencia técnica en Gestión Administrativa, Documental y Archivo.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f59b8d03d8d6ee98</t>
        </is>
      </c>
      <c r="B43" s="2" t="inlineStr">
        <is>
          <t>2026-09-27 15:43</t>
        </is>
      </c>
      <c r="C43" s="3" t="inlineStr">
        <is>
          <t>Jefe de operaciones gestión documental- colombia</t>
        </is>
      </c>
      <c r="D43" s="3" t="inlineStr">
        <is>
          <t>Confidencial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HYPERLINK("https://www.elempleo.com/co/ofertas-trabajo/jefe-de-operaciones-gestion-documental-colombia-1886747595",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9d08c4fb9804a144</t>
        </is>
      </c>
      <c r="B44" s="2" t="inlineStr">
        <is>
          <t>2026-09-28 18:38</t>
        </is>
      </c>
      <c r="C44" s="3" t="inlineStr">
        <is>
          <t>Auxiliar facturación hospitalaria</t>
        </is>
      </c>
      <c r="D44" s="3" t="inlineStr">
        <is>
          <t>Grupo Good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HYPERLINK("https://www.elempleo.com/co/ofertas-trabajo/auxiliar-facturacion-hospitalaria-1886753230", "Ver Vacante")</f>
        <v/>
      </c>
      <c r="H44" s="6" t="inlineStr"/>
      <c r="I44" s="3" t="inlineStr">
        <is>
          <t>[Afinidad: 73/100 - Alta Afinidad] Alta coincidencia técnica en Herramientas Ofimáticas, Excel y Soporte Contable / Facturación.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00907ef37b1ba1a3</t>
        </is>
      </c>
      <c r="B45" s="2" t="inlineStr">
        <is>
          <t>2026-09-28 18:38</t>
        </is>
      </c>
      <c r="C45" s="3" t="inlineStr">
        <is>
          <t>Auxiliar de facturación</t>
        </is>
      </c>
      <c r="D45" s="3" t="inlineStr">
        <is>
          <t>AGENCIA DE ADUANAS ABC REPECEV S.A. NIVEL I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HYPERLINK("https://www.elempleo.com/co/ofertas-trabajo/auxiliar-de-facturacion-1886770513", "Ver Vacante")</f>
        <v/>
      </c>
      <c r="H45" s="6" t="inlineStr"/>
      <c r="I45" s="3" t="inlineStr">
        <is>
          <t>[Afinidad: 73/100 - Alta Afinidad] Alta coincidencia técnica en Herramientas Ofimáticas, Excel y Soporte Contable / Facturación.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f380df4133172629</t>
        </is>
      </c>
      <c r="B46" s="2" t="inlineStr">
        <is>
          <t>2026-09-30 16:51</t>
        </is>
      </c>
      <c r="C46" s="3" t="inlineStr">
        <is>
          <t>Auxiliar de caja y facturación</t>
        </is>
      </c>
      <c r="D46" s="3" t="inlineStr">
        <is>
          <t>Clinica Barraquer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HYPERLINK("https://www.elempleo.com/co/ofertas-trabajo/auxiliar-de-caja-y-facturacion-1886773817",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bb08526620b29a42</t>
        </is>
      </c>
      <c r="B47" s="2" t="inlineStr">
        <is>
          <t>2026-09-30 16:51</t>
        </is>
      </c>
      <c r="C47" s="3" t="inlineStr">
        <is>
          <t>Auxiliar contable y facturación</t>
        </is>
      </c>
      <c r="D47" s="3" t="inlineStr">
        <is>
          <t>GI GROUP STAFFING S.A.S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HYPERLINK("https://www.elempleo.com/co/ofertas-trabajo/auxiliar-contable-y-facturacion-1886773695",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bec3ccae43de3755</t>
        </is>
      </c>
      <c r="B48" s="2" t="inlineStr">
        <is>
          <t>2026-10-01 17:28</t>
        </is>
      </c>
      <c r="C48" s="3" t="inlineStr">
        <is>
          <t>Auxiliar de facturación</t>
        </is>
      </c>
      <c r="D48" s="3" t="inlineStr">
        <is>
          <t>Méderi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HYPERLINK("https://www.elempleo.com/co/ofertas-trabajo/auxiliar-de-facturacion-1886763059",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e960be85369d59ca</t>
        </is>
      </c>
      <c r="B49" s="2" t="inlineStr">
        <is>
          <t>2026-10-02 16:41</t>
        </is>
      </c>
      <c r="C49" s="3" t="inlineStr">
        <is>
          <t>Auxiliar contable y facturación, virtual Teletrabajo</t>
        </is>
      </c>
      <c r="D49" s="3" t="inlineStr">
        <is>
          <t>Importante empresa del sector</t>
        </is>
      </c>
      <c r="E49" s="4" t="n">
        <v>0.73</v>
      </c>
      <c r="F49" s="2" t="inlineStr">
        <is>
          <t>Remoto</t>
        </is>
      </c>
      <c r="G49" s="5">
        <f>HYPERLINK("https://co.computrabajo.com/ofertas-de-trabajo/oferta-de-trabajo-de-auxiliar-contable-y-facturacion-virtual-teletrabajo-en-medellin-D3620F133691F6E961373E686DCF3405", "Ver Vacante")</f>
        <v/>
      </c>
      <c r="H49" s="6" t="inlineStr">
        <is>
          <t>Remoto</t>
        </is>
      </c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24da99da017f1199</t>
        </is>
      </c>
      <c r="B50" s="2" t="inlineStr">
        <is>
          <t>2026-10-02 16:41</t>
        </is>
      </c>
      <c r="C50" s="3" t="inlineStr">
        <is>
          <t>Auxiliar contable y facturación, virtual Teletrabajo 1626381427-5</t>
        </is>
      </c>
      <c r="D50" s="3" t="inlineStr">
        <is>
          <t>Colección Talento</t>
        </is>
      </c>
      <c r="E50" s="4" t="n">
        <v>0.73</v>
      </c>
      <c r="F50" s="2" t="inlineStr">
        <is>
          <t>Remoto</t>
        </is>
      </c>
      <c r="G50" s="5">
        <f>HYPERLINK("https://co.linkedin.com/jobs/view/auxiliar-contable-y-facturaci%C3%B3n-virtual-teletrabajo-1626381427-5-at-colecci%C3%B3n-talento-4472828244",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7637d8bf4dbd69d7</t>
        </is>
      </c>
      <c r="B51" s="2" t="inlineStr">
        <is>
          <t>2026-10-02 16:41</t>
        </is>
      </c>
      <c r="C51" s="3" t="inlineStr">
        <is>
          <t>Técnico/Tecnólogo en Gestión documental | Agencia de publicidad</t>
        </is>
      </c>
      <c r="D51" s="3" t="inlineStr">
        <is>
          <t>Omnicom Media Colombia</t>
        </is>
      </c>
      <c r="E51" s="4" t="n">
        <v>0.73</v>
      </c>
      <c r="F51" s="2" t="inlineStr">
        <is>
          <t>Remoto</t>
        </is>
      </c>
      <c r="G51" s="5">
        <f>HYPERLINK("https://co.linkedin.com/jobs/view/t%C3%A9cnico-tecn%C3%B3logo-en-gesti%C3%B3n-documental-agencia-de-publicidad-at-omnicom-media-colombia-4461016392", "Ver Vacante")</f>
        <v/>
      </c>
      <c r="H51" s="6" t="inlineStr"/>
      <c r="I51" s="3" t="inlineStr">
        <is>
          <t>[Afinidad: 73/100 - Alta Afinidad] Alta coincidencia técnica en Gestión Administrativa, Documental y Archivo.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42119fa4e22c5e7b</t>
        </is>
      </c>
      <c r="B52" s="2" t="inlineStr">
        <is>
          <t>2026-10-02 16:41</t>
        </is>
      </c>
      <c r="C52" s="3" t="inlineStr">
        <is>
          <t>Auxiliar de Facturación Itagui</t>
        </is>
      </c>
      <c r="D52" s="3" t="inlineStr">
        <is>
          <t>Zeuss S.A.S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HYPERLINK("https://co.linkedin.com/jobs/view/auxiliar-de-facturaci%C3%B3n-itagui-at-zeuss-s-a-s-4474739314",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bfccc78523bd9bce</t>
        </is>
      </c>
      <c r="B53" s="2" t="inlineStr">
        <is>
          <t>2026-10-03 15:14</t>
        </is>
      </c>
      <c r="C53" s="3" t="inlineStr">
        <is>
          <t>Auxiliar de facturación - 1626011292-16</t>
        </is>
      </c>
      <c r="D53" s="3" t="inlineStr">
        <is>
          <t>AGENCIA DE EMPLEO Y FOMENTO EMPRESARIAL COMPENSAR</t>
        </is>
      </c>
      <c r="E53" s="4" t="n">
        <v>0.73</v>
      </c>
      <c r="F53" s="2" t="inlineStr">
        <is>
          <t>Remoto</t>
        </is>
      </c>
      <c r="G53" s="5">
        <f>HYPERLINK("https://www.elempleo.com/co/ofertas-trabajo/auxiliar-de-facturacion-162601129216-1886771083", "Ver Vacante")</f>
        <v/>
      </c>
      <c r="H53" s="6" t="inlineStr"/>
      <c r="I53" s="3" t="inlineStr">
        <is>
          <t>[Afinidad: 73/100 - Alta Afinidad] Alta coincidencia técnica en Herramientas Ofimáticas, Excel y Soporte Contable / Facturación.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62b2ee56724184dc</t>
        </is>
      </c>
      <c r="B54" s="2" t="inlineStr">
        <is>
          <t>2026-10-03 15:14</t>
        </is>
      </c>
      <c r="C54" s="3" t="inlineStr">
        <is>
          <t>Auxiliar de facturación</t>
        </is>
      </c>
      <c r="D54" s="3" t="inlineStr">
        <is>
          <t>Confidencial</t>
        </is>
      </c>
      <c r="E54" s="4" t="n">
        <v>0.73</v>
      </c>
      <c r="F54" s="2" t="inlineStr">
        <is>
          <t>Remoto</t>
        </is>
      </c>
      <c r="G54" s="5">
        <f>HYPERLINK("https://www.elempleo.com/co/ofertas-trabajo/auxiliar-de-facturacion-1886774943",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cce37295998e85f3</t>
        </is>
      </c>
      <c r="B55" s="2" t="inlineStr">
        <is>
          <t>2026-10-03 15:14</t>
        </is>
      </c>
      <c r="C55" s="3" t="inlineStr">
        <is>
          <t>Auxiliar de facturación experiencia en rips</t>
        </is>
      </c>
      <c r="D55" s="3" t="inlineStr">
        <is>
          <t>Fundación Santa Fe de Bogotá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HYPERLINK("https://www.elempleo.com/co/ofertas-trabajo/auxiliar-de-facturacion-experiencia-en-rips-1886775772",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dfa58446a2372fcc</t>
        </is>
      </c>
      <c r="B56" s="2" t="inlineStr">
        <is>
          <t>2026-10-03 15:14</t>
        </is>
      </c>
      <c r="C56" s="3" t="inlineStr">
        <is>
          <t>Asistente de facturación y cartera ref. 1626487352-32</t>
        </is>
      </c>
      <c r="D56" s="3" t="inlineStr">
        <is>
          <t>AGENCIA DE EMPLEO Y FOMENTO EMPRESARIAL COMPENSAR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HYPERLINK("https://www.elempleo.com/co/ofertas-trabajo/asistente-de-facturacion-y-cartera-ref-162648735232-1886766205",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d7b10cded83b71f2</t>
        </is>
      </c>
      <c r="B57" s="2" t="inlineStr">
        <is>
          <t>2026-09-24 16:07</t>
        </is>
      </c>
      <c r="C57" s="3" t="inlineStr">
        <is>
          <t>Analista junior de facturación y telecomunicaciones</t>
        </is>
      </c>
      <c r="D57" s="3" t="inlineStr">
        <is>
          <t>TP COLOMBIA</t>
        </is>
      </c>
      <c r="E57" s="4" t="n">
        <v>0.7</v>
      </c>
      <c r="F57" s="2" t="inlineStr">
        <is>
          <t>Remoto</t>
        </is>
      </c>
      <c r="G57" s="5">
        <f>HYPERLINK("https://www.elempleo.com/co/ofertas-trabajo/analista-junior-de-facturacion-y-telecomunicaciones-1886758607", "Ver Vacante")</f>
        <v/>
      </c>
      <c r="H57" s="6" t="inlineStr"/>
      <c r="I57" s="3" t="inlineStr">
        <is>
          <t>[Afinidad: 70/100 -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7c8e4b63802fbfdd</t>
        </is>
      </c>
      <c r="B58" s="2" t="inlineStr">
        <is>
          <t>2026-09-24 16:07</t>
        </is>
      </c>
      <c r="C58" s="3" t="inlineStr">
        <is>
          <t>Analista de facturacion - mocoa</t>
        </is>
      </c>
      <c r="D58" s="3" t="inlineStr">
        <is>
          <t>Clínica Medilaser S.A.S</t>
        </is>
      </c>
      <c r="E58" s="7" t="n">
        <v>0.68</v>
      </c>
      <c r="F58" s="2" t="inlineStr">
        <is>
          <t>Remoto</t>
        </is>
      </c>
      <c r="G58" s="5">
        <f>HYPERLINK("https://www.elempleo.com/co/ofertas-trabajo/analista-de-facturacion-mocoa-1886758704", "Ver Vacante")</f>
        <v/>
      </c>
      <c r="H58" s="6" t="inlineStr"/>
      <c r="I58" s="3" t="inlineStr">
        <is>
          <t>[Afinidad: 68/100 - Afinidad Moderada]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6a1a399dbe055821</t>
        </is>
      </c>
      <c r="B59" s="2" t="inlineStr">
        <is>
          <t>2026-09-24 16:07</t>
        </is>
      </c>
      <c r="C59" s="3" t="inlineStr">
        <is>
          <t>Analista de facturación</t>
        </is>
      </c>
      <c r="D59" s="3" t="inlineStr">
        <is>
          <t>CONTINAUTOS S.A.</t>
        </is>
      </c>
      <c r="E59" s="7" t="n">
        <v>0.68</v>
      </c>
      <c r="F59" s="2" t="inlineStr">
        <is>
          <t>Remoto</t>
        </is>
      </c>
      <c r="G59" s="5">
        <f>HYPERLINK("https://www.elempleo.com/co/ofertas-trabajo/analista-de-facturacion-1886758032", "Ver Vacante")</f>
        <v/>
      </c>
      <c r="H59" s="6" t="inlineStr"/>
      <c r="I59" s="3" t="inlineStr">
        <is>
          <t>[Afinidad: 68/100 - Afinidad Moderada]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8d104e6e0596782f</t>
        </is>
      </c>
      <c r="B60" s="2" t="inlineStr">
        <is>
          <t>2026-09-24 16:07</t>
        </is>
      </c>
      <c r="C60" s="3" t="inlineStr">
        <is>
          <t>Analista de facturación - zipaquira</t>
        </is>
      </c>
      <c r="D60" s="3" t="inlineStr">
        <is>
          <t>Confidencial</t>
        </is>
      </c>
      <c r="E60" s="7" t="n">
        <v>0.68</v>
      </c>
      <c r="F60" s="2" t="inlineStr">
        <is>
          <t>Remoto</t>
        </is>
      </c>
      <c r="G60" s="5">
        <f>HYPERLINK("https://www.elempleo.com/co/ofertas-trabajo/analista-de-facturacion-zipaquira-1886769380", "Ver Vacante")</f>
        <v/>
      </c>
      <c r="H60" s="6" t="inlineStr"/>
      <c r="I60" s="3" t="inlineStr">
        <is>
          <t>[Afinidad: 68/100 - Afinidad Moderada]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30c981b787bd9e84</t>
        </is>
      </c>
      <c r="B61" s="2" t="inlineStr">
        <is>
          <t>2026-09-24 16:07</t>
        </is>
      </c>
      <c r="C61" s="3" t="inlineStr">
        <is>
          <t>Analista de facturación</t>
        </is>
      </c>
      <c r="D61" s="3" t="inlineStr">
        <is>
          <t>IMPULSO TEMPORAL SAS</t>
        </is>
      </c>
      <c r="E61" s="7" t="n">
        <v>0.68</v>
      </c>
      <c r="F61" s="2" t="inlineStr">
        <is>
          <t>Remoto</t>
        </is>
      </c>
      <c r="G61" s="5">
        <f>HYPERLINK("https://www.elempleo.com/co/ofertas-trabajo/analista-de-facturacion-1886751641", "Ver Vacante")</f>
        <v/>
      </c>
      <c r="H61" s="6" t="inlineStr"/>
      <c r="I61" s="3" t="inlineStr">
        <is>
          <t>[Afinidad: 68/100 - Afinidad Moderada]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6ba85335e71be4cc</t>
        </is>
      </c>
      <c r="B62" s="2" t="inlineStr">
        <is>
          <t>2026-09-24 16:07</t>
        </is>
      </c>
      <c r="C62" s="3" t="inlineStr">
        <is>
          <t>Analista de Facturacion</t>
        </is>
      </c>
      <c r="D62" s="3" t="inlineStr">
        <is>
          <t>Experian Spanish Latam</t>
        </is>
      </c>
      <c r="E62" s="7" t="n">
        <v>0.68</v>
      </c>
      <c r="F62" s="2" t="inlineStr">
        <is>
          <t>Remoto</t>
        </is>
      </c>
      <c r="G62" s="5">
        <f>HYPERLINK("https://co.linkedin.com/jobs/view/analista-de-facturacion-at-experian-spanish-latam-4462035775", "Ver Vacante")</f>
        <v/>
      </c>
      <c r="H62" s="6" t="inlineStr"/>
      <c r="I62" s="3" t="inlineStr">
        <is>
          <t>[Afinidad: 68/100 - Afinidad Moderada]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0ba2c0ed565928ee</t>
        </is>
      </c>
      <c r="B63" s="2" t="inlineStr">
        <is>
          <t>2026-09-24 16:07</t>
        </is>
      </c>
      <c r="C63" s="3" t="inlineStr">
        <is>
          <t>Analista de facturación y gasto</t>
        </is>
      </c>
      <c r="D63" s="3" t="inlineStr">
        <is>
          <t>AXA Partners</t>
        </is>
      </c>
      <c r="E63" s="7" t="n">
        <v>0.68</v>
      </c>
      <c r="F63" s="2" t="inlineStr">
        <is>
          <t>Remoto</t>
        </is>
      </c>
      <c r="G63" s="5">
        <f>HYPERLINK("https://co.linkedin.com/jobs/view/analista-de-facturaci%C3%B3n-y-gasto-at-axa-partners-4468296274", "Ver Vacante")</f>
        <v/>
      </c>
      <c r="H63" s="6" t="inlineStr"/>
      <c r="I63" s="3" t="inlineStr">
        <is>
          <t>[Afinidad: 68/100 - Afinidad Moderada]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2adbc58cb85c19c7</t>
        </is>
      </c>
      <c r="B64" s="2" t="inlineStr">
        <is>
          <t>2026-09-24 16:07</t>
        </is>
      </c>
      <c r="C64" s="3" t="inlineStr">
        <is>
          <t>Analista de Facturación de servicios</t>
        </is>
      </c>
      <c r="D64" s="3" t="inlineStr">
        <is>
          <t>Américas BPS</t>
        </is>
      </c>
      <c r="E64" s="7" t="n">
        <v>0.68</v>
      </c>
      <c r="F64" s="2" t="inlineStr">
        <is>
          <t>Remoto</t>
        </is>
      </c>
      <c r="G64" s="5">
        <f>HYPERLINK("https://co.linkedin.com/jobs/view/analista-de-facturaci%C3%B3n-de-servicios-at-am%C3%A9ricas-bps-4464891719", "Ver Vacante")</f>
        <v/>
      </c>
      <c r="H64" s="6" t="inlineStr"/>
      <c r="I64" s="3" t="inlineStr">
        <is>
          <t>[Afinidad: 68/100 - Afinidad Moderada]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a831855f10d17417</t>
        </is>
      </c>
      <c r="B65" s="2" t="inlineStr">
        <is>
          <t>2026-09-25 15:56</t>
        </is>
      </c>
      <c r="C65" s="3" t="inlineStr">
        <is>
          <t>Analista de facturación</t>
        </is>
      </c>
      <c r="D65" s="3" t="inlineStr">
        <is>
          <t>Confidencial</t>
        </is>
      </c>
      <c r="E65" s="7" t="n">
        <v>0.68</v>
      </c>
      <c r="F65" s="2" t="inlineStr">
        <is>
          <t>Remoto</t>
        </is>
      </c>
      <c r="G65" s="5">
        <f>HYPERLINK("https://www.elempleo.com/co/ofertas-trabajo/analista-de-facturacion-1886756696", "Ver Vacante")</f>
        <v/>
      </c>
      <c r="H65" s="6" t="inlineStr"/>
      <c r="I65" s="3" t="inlineStr">
        <is>
          <t>[Afinidad: 68/100 - Afinidad Moderada] Alta coincidencia técnica en Herramientas Ofimáticas, Excel y Soporte Contable / Facturación.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d59df408fc52566d</t>
        </is>
      </c>
      <c r="B66" s="2" t="inlineStr">
        <is>
          <t>2026-09-25 15:56</t>
        </is>
      </c>
      <c r="C66" s="3" t="inlineStr">
        <is>
          <t>Analista de facturación- manejo de sap -</t>
        </is>
      </c>
      <c r="D66" s="3" t="inlineStr">
        <is>
          <t>Confidencial</t>
        </is>
      </c>
      <c r="E66" s="7" t="n">
        <v>0.68</v>
      </c>
      <c r="F66" s="2" t="inlineStr">
        <is>
          <t>Remoto</t>
        </is>
      </c>
      <c r="G66" s="5">
        <f>HYPERLINK("https://www.elempleo.com/co/ofertas-trabajo/analista-de-facturacion-manejo-de-sap-1886756806", "Ver Vacante")</f>
        <v/>
      </c>
      <c r="H66" s="6" t="inlineStr"/>
      <c r="I66" s="3" t="inlineStr">
        <is>
          <t>[Afinidad: 68/100 - Afinidad Moderada]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a1b8ba55f8922e99</t>
        </is>
      </c>
      <c r="B67" s="2" t="inlineStr">
        <is>
          <t>2026-09-25 15:56</t>
        </is>
      </c>
      <c r="C67" s="3" t="inlineStr">
        <is>
          <t>Analista de cartera y facturación</t>
        </is>
      </c>
      <c r="D67" s="3" t="inlineStr">
        <is>
          <t>MENTORHUB COLOMBIA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HYPERLINK("https://www.elempleo.com/co/ofertas-trabajo/analista-de-cartera-y-facturacion-1886741299", "Ver Vacante")</f>
        <v/>
      </c>
      <c r="H67" s="6" t="inlineStr"/>
      <c r="I67" s="3" t="inlineStr">
        <is>
          <t>[Afinidad: 68/100 - Afinidad Moderada]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62e18b4bd9d42926</t>
        </is>
      </c>
      <c r="B68" s="2" t="inlineStr">
        <is>
          <t>2026-09-26 15:05</t>
        </is>
      </c>
      <c r="C68" s="3" t="inlineStr">
        <is>
          <t>Analista de control operativo y facturación aduanera</t>
        </is>
      </c>
      <c r="D68" s="3" t="inlineStr">
        <is>
          <t>crane ww logistics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HYPERLINK("https://www.elempleo.com/co/ofertas-trabajo/analista-de-control-operativo-y-facturacion-aduanera-1886771256", "Ver Vacante")</f>
        <v/>
      </c>
      <c r="H68" s="6" t="inlineStr"/>
      <c r="I68" s="3" t="inlineStr">
        <is>
          <t>[Afinidad: 68/100 - Afinidad Moderada]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62ab67e660127864</t>
        </is>
      </c>
      <c r="B69" s="2" t="inlineStr">
        <is>
          <t>2026-09-28 18:38</t>
        </is>
      </c>
      <c r="C69" s="3" t="inlineStr">
        <is>
          <t>Analista de facturación y cartera</t>
        </is>
      </c>
      <c r="D69" s="3" t="inlineStr">
        <is>
          <t>DON MAKINON</t>
        </is>
      </c>
      <c r="E69" s="7" t="n">
        <v>0.68</v>
      </c>
      <c r="F69" s="2" t="inlineStr">
        <is>
          <t>Remoto</t>
        </is>
      </c>
      <c r="G69" s="5">
        <f>HYPERLINK("https://www.elempleo.com/co/ofertas-trabajo/analista-de-facturacion-y-cartera-1886773105", "Ver Vacante")</f>
        <v/>
      </c>
      <c r="H69" s="6" t="inlineStr"/>
      <c r="I69" s="3" t="inlineStr">
        <is>
          <t>[Afinidad: 68/100 - Afinidad Moderada]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39bf6fcb2b2ffb07</t>
        </is>
      </c>
      <c r="B70" s="2" t="inlineStr">
        <is>
          <t>2026-09-30 16:51</t>
        </is>
      </c>
      <c r="C70" s="3" t="inlineStr">
        <is>
          <t>Analista de facturación - medellín</t>
        </is>
      </c>
      <c r="D70" s="3" t="inlineStr">
        <is>
          <t>SERVICIOS DE AUDITORIA Y CONSULTORIA DE NEGOCIOS SAS</t>
        </is>
      </c>
      <c r="E70" s="7" t="n">
        <v>0.68</v>
      </c>
      <c r="F70" s="2" t="inlineStr">
        <is>
          <t>Remoto</t>
        </is>
      </c>
      <c r="G70" s="5">
        <f>HYPERLINK("https://www.elempleo.com/co/ofertas-trabajo/analista-de-facturacion-medellin-1886754458", "Ver Vacante")</f>
        <v/>
      </c>
      <c r="H70" s="6" t="inlineStr"/>
      <c r="I70" s="3" t="inlineStr">
        <is>
          <t>[Afinidad: 68/100 - Afinidad Moderada]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8ea64e48a843110e</t>
        </is>
      </c>
      <c r="B71" s="2" t="inlineStr">
        <is>
          <t>2026-09-24 16:07</t>
        </is>
      </c>
      <c r="C71" s="3" t="inlineStr">
        <is>
          <t>Auxiliar de Digitación y Validación de Información</t>
        </is>
      </c>
      <c r="D71" s="3" t="inlineStr">
        <is>
          <t>Hy Cite</t>
        </is>
      </c>
      <c r="E71" s="7" t="n">
        <v>0.66</v>
      </c>
      <c r="F71" s="2" t="inlineStr">
        <is>
          <t>Remoto</t>
        </is>
      </c>
      <c r="G71" s="5">
        <f>HYPERLINK("https://co.linkedin.com/jobs/view/auxiliar-de-digitaci%C3%B3n-y-validaci%C3%B3n-de-informaci%C3%B3n-at-hy-cite-4444163970", "Ver Vacante")</f>
        <v/>
      </c>
      <c r="H71" s="6" t="inlineStr"/>
      <c r="I71" s="3" t="inlineStr">
        <is>
          <t>[Afinidad: 66/100 - Afinidad Moderada] Alta coincidencia técnica en Gestión Administrativa, Documental y Archivo.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0810fb157c23918e</t>
        </is>
      </c>
      <c r="B72" s="2" t="inlineStr">
        <is>
          <t>2026-09-24 16:07</t>
        </is>
      </c>
      <c r="C72" s="3" t="inlineStr">
        <is>
          <t>Junior Tax Accountant / Data entry</t>
        </is>
      </c>
      <c r="D72" s="3" t="inlineStr">
        <is>
          <t>George Dimov, CPA</t>
        </is>
      </c>
      <c r="E72" s="7" t="n">
        <v>0.6</v>
      </c>
      <c r="F72" s="2" t="inlineStr">
        <is>
          <t>Remoto</t>
        </is>
      </c>
      <c r="G72" s="5">
        <f>HYPERLINK("https://co.linkedin.com/jobs/view/junior-tax-accountant-data-entry-remote-at-george-dimov-cpa-4468922588", "Ver Vacante")</f>
        <v/>
      </c>
      <c r="H72" s="6" t="inlineStr"/>
      <c r="I72" s="3" t="inlineStr">
        <is>
          <t>[Afinidad: 60/100 - Afinidad Moderada] Afinidad moderada en áreas técnicas del cargo (Auxiliar Administrativo / Asistente Virtual).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b9e81da0bd12d416</t>
        </is>
      </c>
      <c r="B73" s="2" t="inlineStr">
        <is>
          <t>2026-09-24 16:07</t>
        </is>
      </c>
      <c r="C73" s="3" t="inlineStr">
        <is>
          <t>Auxiliar administrativo</t>
        </is>
      </c>
      <c r="D73" s="3" t="inlineStr">
        <is>
          <t>VR RISK</t>
        </is>
      </c>
      <c r="E73" s="7" t="n">
        <v>0.58</v>
      </c>
      <c r="F73" s="2" t="inlineStr">
        <is>
          <t>Remoto</t>
        </is>
      </c>
      <c r="G73" s="5">
        <f>HYPERLINK("https://co.computrabajo.com/ofertas-de-trabajo/oferta-de-trabajo-de-auxiliar-administrativo-remoto-en-bogota-dc-08C32BD16679929A61373E686DCF3405", "Ver Vacante")</f>
        <v/>
      </c>
      <c r="H73" s="6" t="inlineStr">
        <is>
          <t>$ 2.000.000,00 (Mensual)</t>
        </is>
      </c>
      <c r="I73" s="3" t="inlineStr">
        <is>
          <t>[Afinidad: 58/100 - Afinidad Moderada] Afinidad moderada en áreas técnicas del cargo (Auxiliar Administrativo / Asistente Virtual).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60a767236cb83e2b</t>
        </is>
      </c>
      <c r="B74" s="2" t="inlineStr">
        <is>
          <t>2026-09-24 16:07</t>
        </is>
      </c>
      <c r="C74" s="3" t="inlineStr">
        <is>
          <t>Asistente Administrativo y de Operaciones</t>
        </is>
      </c>
      <c r="D74" s="3" t="inlineStr">
        <is>
          <t>Direct Home Solutions</t>
        </is>
      </c>
      <c r="E74" s="7" t="n">
        <v>0.58</v>
      </c>
      <c r="F74" s="2" t="inlineStr">
        <is>
          <t>Remoto</t>
        </is>
      </c>
      <c r="G74" s="5">
        <f>HYPERLINK("https://co.computrabajo.com/ofertas-de-trabajo/oferta-de-trabajo-de-asistente-administrativo-y-de-operaciones-remoto-en-pereira-737F61DE07AA2E7F61373E686DCF3405", "Ver Vacante")</f>
        <v/>
      </c>
      <c r="H74" s="6" t="inlineStr">
        <is>
          <t>$ 2.600.000,00 (Mensual)</t>
        </is>
      </c>
      <c r="I74" s="3" t="inlineStr">
        <is>
          <t>[Afinidad: 58/100 - Afinidad Moderada] Afinidad moderada en áreas técnicas del cargo (Auxiliar Administrativo / Asistente Virtual).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04855c966d018926</t>
        </is>
      </c>
      <c r="B75" s="2" t="inlineStr">
        <is>
          <t>2026-09-24 16:07</t>
        </is>
      </c>
      <c r="C75" s="3" t="inlineStr">
        <is>
          <t>Auxiliar administrativo/a Vacante Inclusiva para personas con Discapacidad</t>
        </is>
      </c>
      <c r="D75" s="3" t="inlineStr">
        <is>
          <t>CENTRO DE EMPLEO Y TALENTO COLSUBSIDIO</t>
        </is>
      </c>
      <c r="E75" s="7" t="n">
        <v>0.58</v>
      </c>
      <c r="F75" s="2" t="inlineStr">
        <is>
          <t>Remoto</t>
        </is>
      </c>
      <c r="G75" s="5">
        <f>HYPERLINK("https://co.computrabajo.com/ofertas-de-trabajo/oferta-de-trabajo-de-auxiliar-administrativoa-vacante-inclusiva-para-personas-con-discapacidad-en-bogota-dc-F5B96991A8C617B661373E686DCF3405", "Ver Vacante")</f>
        <v/>
      </c>
      <c r="H75" s="6" t="inlineStr">
        <is>
          <t>$ 2.000.000,00 (Mensual)</t>
        </is>
      </c>
      <c r="I75" s="3" t="inlineStr">
        <is>
          <t>[Afinidad: 58/100 - Afinidad Moderada] Afinidad moderada en áreas técnicas del cargo (Auxiliar Administrativo / Asistente Virtual).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a30e3afa7b66502b</t>
        </is>
      </c>
      <c r="B76" s="2" t="inlineStr">
        <is>
          <t>2026-09-24 16:07</t>
        </is>
      </c>
      <c r="C76" s="3" t="inlineStr">
        <is>
          <t>auxiliar administrativo/a</t>
        </is>
      </c>
      <c r="D76" s="3" t="inlineStr">
        <is>
          <t>ELITE SKIN ITALY S.A.S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HYPERLINK("https://co.computrabajo.com/ofertas-de-trabajo/oferta-de-trabajo-de-auxiliar-administrativoa-virtual-remoto-con-o-sin-experiencia-en-bogota-dc-246C4633B2C1D28D61373E686DCF3405", "Ver Vacante")</f>
        <v/>
      </c>
      <c r="H76" s="6" t="inlineStr">
        <is>
          <t>$ 2.000.000,00 (Mensual)</t>
        </is>
      </c>
      <c r="I76" s="3" t="inlineStr">
        <is>
          <t>[Afinidad: 58/100 - Afinidad Moderada] Afinidad moderada en áreas técnicas del cargo (Auxiliar Administrativo / Asistente Virtual).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899512a1b5af847f</t>
        </is>
      </c>
      <c r="B77" s="2" t="inlineStr">
        <is>
          <t>2026-09-24 16:07</t>
        </is>
      </c>
      <c r="C77" s="3" t="inlineStr">
        <is>
          <t>auxiliar contable y administrativo</t>
        </is>
      </c>
      <c r="D77" s="3" t="inlineStr">
        <is>
          <t>AZ LOGICA SAS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HYPERLINK("https://co.computrabajo.com/ofertas-de-trabajo/oferta-de-trabajo-de-auxiliar-contable-y-administrativo-en-bogota-dc-E79FB52CC71B1AAF61373E686DCF3405", "Ver Vacante")</f>
        <v/>
      </c>
      <c r="H77" s="6" t="inlineStr">
        <is>
          <t>$ 2.000.000,00 (Mensual)</t>
        </is>
      </c>
      <c r="I77" s="3" t="inlineStr">
        <is>
          <t>[Afinidad: 58/100 - Afinidad Moderada] Afinidad moderada en áreas técnicas del cargo (Auxiliar Administrativo / Asistente Virtual).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0048b5632ef5acf6</t>
        </is>
      </c>
      <c r="B78" s="2" t="inlineStr">
        <is>
          <t>2026-09-24 16:07</t>
        </is>
      </c>
      <c r="C78" s="3" t="inlineStr">
        <is>
          <t>Asistente Administrativo</t>
        </is>
      </c>
      <c r="D78" s="3" t="inlineStr">
        <is>
          <t>Naonsoft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HYPERLINK("https://co.computrabajo.com/ofertas-de-trabajo/oferta-de-trabajo-de-asistente-administrativo-en-medellin-268B37E50FB0D28461373E686DCF3405", "Ver Vacante")</f>
        <v/>
      </c>
      <c r="H78" s="6" t="inlineStr">
        <is>
          <t>Remoto</t>
        </is>
      </c>
      <c r="I78" s="3" t="inlineStr">
        <is>
          <t>[Afinidad: 58/100 - Afinidad Moderada] Afinidad moderada en áreas técnicas del cargo (Auxiliar Administrativo / Asistente Virtual).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062ee3244ed08bb4</t>
        </is>
      </c>
      <c r="B79" s="2" t="inlineStr">
        <is>
          <t>2026-09-24 16:07</t>
        </is>
      </c>
      <c r="C79" s="3" t="inlineStr">
        <is>
          <t>Asistente de Servicio al Cliente y Administrativo</t>
        </is>
      </c>
      <c r="D79" s="3" t="inlineStr">
        <is>
          <t>Health and Fitness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79" s="6" t="inlineStr">
        <is>
          <t>$ 2.500.000,00 (Mensual)</t>
        </is>
      </c>
      <c r="I79" s="3" t="inlineStr">
        <is>
          <t>[Afinidad: 58/100 - Afinidad Moderada] Afinidad moderada en áreas técnicas del cargo (Auxiliar Administrativo / Asistente Virtual).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90d5245bdef0186a</t>
        </is>
      </c>
      <c r="B80" s="2" t="inlineStr">
        <is>
          <t>2026-09-24 16:07</t>
        </is>
      </c>
      <c r="C80" s="3" t="inlineStr">
        <is>
          <t>Asistente administrativo y financiero</t>
        </is>
      </c>
      <c r="D80" s="3" t="inlineStr">
        <is>
          <t>SOLVO S.A.S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HYPERLINK("https://co.computrabajo.com/ofertas-de-trabajo/oferta-de-trabajo-de-asistente-administrativo-y-financiero-b2-en-bogota-dc-8B5C137D8309F1F661373E686DCF3405", "Ver Vacante")</f>
        <v/>
      </c>
      <c r="H80" s="6" t="inlineStr">
        <is>
          <t>Remoto</t>
        </is>
      </c>
      <c r="I80" s="3" t="inlineStr">
        <is>
          <t>[Afinidad: 58/100 - Afinidad Moderada] Afinidad moderada en áreas técnicas del cargo (Auxiliar Administrativo / Asistente Virtual).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760f13e3724f6b31</t>
        </is>
      </c>
      <c r="B81" s="2" t="inlineStr">
        <is>
          <t>2026-09-24 16:07</t>
        </is>
      </c>
      <c r="C81" s="3" t="inlineStr">
        <is>
          <t>Asistente administrativo y financiero</t>
        </is>
      </c>
      <c r="D81" s="3" t="inlineStr">
        <is>
          <t>SOLVO S.A.S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HYPERLINK("https://co.computrabajo.com/ofertas-de-trabajo/oferta-de-trabajo-de-asistente-administrativo-y-financiero-b2-en-medellin-837774FFD1C514D261373E686DCF3405", "Ver Vacante")</f>
        <v/>
      </c>
      <c r="H81" s="6" t="inlineStr">
        <is>
          <t>Remoto</t>
        </is>
      </c>
      <c r="I81" s="3" t="inlineStr">
        <is>
          <t>[Afinidad: 58/100 - Afinidad Moderada] Afinidad moderada en áreas técnicas del cargo (Auxiliar Administrativo / Asistente Virtual).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2d0d5c2d341e3d17</t>
        </is>
      </c>
      <c r="B82" s="2" t="inlineStr">
        <is>
          <t>2026-09-24 16:07</t>
        </is>
      </c>
      <c r="C82" s="3" t="inlineStr">
        <is>
          <t>Asistente administrativo y financiero</t>
        </is>
      </c>
      <c r="D82" s="3" t="inlineStr">
        <is>
          <t>SOLVO S.A.S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HYPERLINK("https://co.computrabajo.com/ofertas-de-trabajo/oferta-de-trabajo-de-asistente-administrativo-y-financiero-b2-en-barranquilla-08F31F737CD14CED61373E686DCF3405", "Ver Vacante")</f>
        <v/>
      </c>
      <c r="H82" s="6" t="inlineStr">
        <is>
          <t>Remoto</t>
        </is>
      </c>
      <c r="I82" s="3" t="inlineStr">
        <is>
          <t>[Afinidad: 58/100 - Afinidad Moderada] Afinidad moderada en áreas técnicas del cargo (Auxiliar Administrativo / Asistente Virtual).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63592c52663ab0e0</t>
        </is>
      </c>
      <c r="B83" s="2" t="inlineStr">
        <is>
          <t>2026-09-24 16:07</t>
        </is>
      </c>
      <c r="C83" s="3" t="inlineStr">
        <is>
          <t>Auxiliar administrativo horario flexible remoto</t>
        </is>
      </c>
      <c r="D83" s="3" t="inlineStr">
        <is>
          <t>Empire Co</t>
        </is>
      </c>
      <c r="E83" s="7" t="n">
        <v>0.58</v>
      </c>
      <c r="F83" s="2" t="inlineStr">
        <is>
          <t>Remoto</t>
        </is>
      </c>
      <c r="G83" s="5">
        <f>HYPERLINK("https://www.elempleo.com/co/ofertas-trabajo/auxiliar-administrativo-horario-flexible-remoto-1886769479", "Ver Vacante")</f>
        <v/>
      </c>
      <c r="H83" s="6" t="inlineStr"/>
      <c r="I83" s="3" t="inlineStr">
        <is>
          <t>[Afinidad: 58/100 - Afinidad Moderada] Afinidad moderada en áreas técnicas del cargo (Auxiliar Administrativo / Asistente Virtual).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729fb015086632d9</t>
        </is>
      </c>
      <c r="B84" s="2" t="inlineStr">
        <is>
          <t>2026-09-24 16:07</t>
        </is>
      </c>
      <c r="C84" s="3" t="inlineStr">
        <is>
          <t>Asistente de cuentas por pagar o tesoreria -remoto</t>
        </is>
      </c>
      <c r="D84" s="3" t="inlineStr">
        <is>
          <t>Confidencial</t>
        </is>
      </c>
      <c r="E84" s="7" t="n">
        <v>0.58</v>
      </c>
      <c r="F84" s="2" t="inlineStr">
        <is>
          <t>Remoto</t>
        </is>
      </c>
      <c r="G84" s="5">
        <f>HYPERLINK("https://www.elempleo.com/co/ofertas-trabajo/asistente-de-cuentas-por-pagar-o-tesoreria-remoto-1886744484", "Ver Vacante")</f>
        <v/>
      </c>
      <c r="H84" s="6" t="inlineStr"/>
      <c r="I84" s="3" t="inlineStr">
        <is>
          <t>[Afinidad: 58/100 - Afinidad Moderada] Afinidad moderada en áreas técnicas del cargo (Auxiliar Administrativo / Asistente Virtual).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e4a3b83ad6ab6438</t>
        </is>
      </c>
      <c r="B85" s="2" t="inlineStr">
        <is>
          <t>2026-09-24 16:07</t>
        </is>
      </c>
      <c r="C85" s="3" t="inlineStr">
        <is>
          <t>Auxiliar administrativo(a) - licencia</t>
        </is>
      </c>
      <c r="D85" s="3" t="inlineStr">
        <is>
          <t>FUCS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HYPERLINK("https://www.elempleo.com/co/ofertas-trabajo/auxiliar-administrativoa-licencia-1886759487", "Ver Vacante")</f>
        <v/>
      </c>
      <c r="H85" s="6" t="inlineStr"/>
      <c r="I85" s="3" t="inlineStr">
        <is>
          <t>[Afinidad: 58/100 - Afinidad Moderada] Afinidad moderada en áreas técnicas del cargo (Auxiliar Administrativo / Asistente Virtual).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2b1aa0caccddf7e4</t>
        </is>
      </c>
      <c r="B86" s="2" t="inlineStr">
        <is>
          <t>2026-09-24 16:07</t>
        </is>
      </c>
      <c r="C86" s="3" t="inlineStr">
        <is>
          <t>Auxiliar administrativo</t>
        </is>
      </c>
      <c r="D86" s="3" t="inlineStr">
        <is>
          <t>Cruz Roja Colombiana Seccional Cundinamarca y Bogotá.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HYPERLINK("https://www.elempleo.com/co/ofertas-trabajo/auxiliar-administrativo-1886753336", "Ver Vacante")</f>
        <v/>
      </c>
      <c r="H86" s="6" t="inlineStr"/>
      <c r="I86" s="3" t="inlineStr">
        <is>
          <t>[Afinidad: 58/100 - Afinidad Moderada] Afinidad moderada en áreas técnicas del cargo (Auxiliar Administrativo / Asistente Virtual).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f864b0373b9419ab</t>
        </is>
      </c>
      <c r="B87" s="2" t="inlineStr">
        <is>
          <t>2026-09-24 16:07</t>
        </is>
      </c>
      <c r="C87" s="3" t="inlineStr">
        <is>
          <t>Auxiliar administrativo -ciencias basicas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HYPERLINK("https://www.elempleo.com/co/ofertas-trabajo/auxiliar-administrativo-ciencias-basicas-1886759929", "Ver Vacante")</f>
        <v/>
      </c>
      <c r="H87" s="6" t="inlineStr"/>
      <c r="I87" s="3" t="inlineStr">
        <is>
          <t>[Afinidad: 58/100 - Afinidad Moderada] Afinidad moderada en áreas técnicas del cargo (Auxiliar Administrativo / Asistente Virtual).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00a48d615f284d91</t>
        </is>
      </c>
      <c r="B88" s="2" t="inlineStr">
        <is>
          <t>2026-09-24 16:07</t>
        </is>
      </c>
      <c r="C88" s="3" t="inlineStr">
        <is>
          <t>Auxiliar administrativo</t>
        </is>
      </c>
      <c r="D88" s="3" t="inlineStr">
        <is>
          <t>Confidencial</t>
        </is>
      </c>
      <c r="E88" s="7" t="n">
        <v>0.58</v>
      </c>
      <c r="F88" s="2" t="inlineStr">
        <is>
          <t>Remoto</t>
        </is>
      </c>
      <c r="G88" s="5">
        <f>HYPERLINK("https://www.elempleo.com/co/ofertas-trabajo/auxiliar-administrativo-bienestar-universitario-1886744996", "Ver Vacante")</f>
        <v/>
      </c>
      <c r="H88" s="6" t="inlineStr"/>
      <c r="I88" s="3" t="inlineStr">
        <is>
          <t>[Afinidad: 58/100 - Afinidad Moderada] Afinidad moderada en áreas técnicas del cargo (Auxiliar Administrativo / Asistente Virtual).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0544391db42d3941</t>
        </is>
      </c>
      <c r="B89" s="2" t="inlineStr">
        <is>
          <t>2026-09-24 16:07</t>
        </is>
      </c>
      <c r="C89" s="3" t="inlineStr">
        <is>
          <t>Auxiliar administrativo</t>
        </is>
      </c>
      <c r="D89" s="3" t="inlineStr">
        <is>
          <t>FUCS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HYPERLINK("https://www.elempleo.com/co/ofertas-trabajo/auxiliar-administrativoa-1886769676", "Ver Vacante")</f>
        <v/>
      </c>
      <c r="H89" s="6" t="inlineStr"/>
      <c r="I89" s="3" t="inlineStr">
        <is>
          <t>[Afinidad: 58/100 - Afinidad Moderada] Afinidad moderada en áreas técnicas del cargo (Auxiliar Administrativo / Asistente Virtual).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e4338d6723631384</t>
        </is>
      </c>
      <c r="B90" s="2" t="inlineStr">
        <is>
          <t>2026-09-24 16:07</t>
        </is>
      </c>
      <c r="C90" s="3" t="inlineStr">
        <is>
          <t>Auxiliar administrativo y de logística corporativa</t>
        </is>
      </c>
      <c r="D90" s="3" t="inlineStr">
        <is>
          <t>Confidencial</t>
        </is>
      </c>
      <c r="E90" s="7" t="n">
        <v>0.58</v>
      </c>
      <c r="F90" s="2" t="inlineStr">
        <is>
          <t>Remoto</t>
        </is>
      </c>
      <c r="G90" s="5">
        <f>HYPERLINK("https://www.elempleo.com/co/ofertas-trabajo/auxiliar-administrativo-y-de-logistica-corporativa-1886765843", "Ver Vacante")</f>
        <v/>
      </c>
      <c r="H90" s="6" t="inlineStr"/>
      <c r="I90" s="3" t="inlineStr">
        <is>
          <t>[Afinidad: 58/100 - Afinidad Moderada] Afinidad moderada en áreas técnicas del cargo (Auxiliar Administrativo / Asistente Virtual).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54d4c3f98f954a41</t>
        </is>
      </c>
      <c r="B91" s="2" t="inlineStr">
        <is>
          <t>2026-09-24 16:07</t>
        </is>
      </c>
      <c r="C91" s="3" t="inlineStr">
        <is>
          <t>Auxiliar administrativo educación continua</t>
        </is>
      </c>
      <c r="D91" s="3" t="inlineStr">
        <is>
          <t>Fundación Santa Fe de Bogotá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HYPERLINK("https://www.elempleo.com/co/ofertas-trabajo/auxiliar-administrativo-educacion-continua-1886750214", "Ver Vacante")</f>
        <v/>
      </c>
      <c r="H91" s="6" t="inlineStr"/>
      <c r="I91" s="3" t="inlineStr">
        <is>
          <t>[Afinidad: 58/100 - Afinidad Moderada] Afinidad moderada en áreas técnicas del cargo (Auxiliar Administrativo / Asistente Virtual).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e824af898bf9a932</t>
        </is>
      </c>
      <c r="B92" s="2" t="inlineStr">
        <is>
          <t>2026-09-24 16:07</t>
        </is>
      </c>
      <c r="C92" s="3" t="inlineStr">
        <is>
          <t>Auxiliar administrativo y financiero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HYPERLINK("https://www.elempleo.com/co/ofertas-trabajo/auxiliar-administrativo-y-financiero-1886753619", "Ver Vacante")</f>
        <v/>
      </c>
      <c r="H92" s="6" t="inlineStr"/>
      <c r="I92" s="3" t="inlineStr">
        <is>
          <t>[Afinidad: 58/100 - Afinidad Moderada] Afinidad moderada en áreas técnicas del cargo (Auxiliar Administrativo / Asistente Virtual).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54c86d8a0d796617</t>
        </is>
      </c>
      <c r="B93" s="2" t="inlineStr">
        <is>
          <t>2026-09-24 16:07</t>
        </is>
      </c>
      <c r="C93" s="3" t="inlineStr">
        <is>
          <t>Auxiliar administrativa</t>
        </is>
      </c>
      <c r="D93" s="3" t="inlineStr">
        <is>
          <t>ASISTALENTO SAS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HYPERLINK("https://www.elempleo.com/co/ofertas-trabajo/auxiliar-administrativa-1886767177", "Ver Vacante")</f>
        <v/>
      </c>
      <c r="H93" s="6" t="inlineStr"/>
      <c r="I93" s="3" t="inlineStr">
        <is>
          <t>[Afinidad: 58/100 - Afinidad Moderada] Afinidad moderada en áreas técnicas del cargo (Auxiliar Administrativo / Asistente Virtual).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372b28276b98282f</t>
        </is>
      </c>
      <c r="B94" s="2" t="inlineStr">
        <is>
          <t>2026-09-24 16:07</t>
        </is>
      </c>
      <c r="C94" s="3" t="inlineStr">
        <is>
          <t>Secretaria administrativa</t>
        </is>
      </c>
      <c r="D94" s="3" t="inlineStr">
        <is>
          <t>FUNDACIÓN ANDES</t>
        </is>
      </c>
      <c r="E94" s="7" t="n">
        <v>0.58</v>
      </c>
      <c r="F94" s="2" t="inlineStr">
        <is>
          <t>Remoto</t>
        </is>
      </c>
      <c r="G94" s="5">
        <f>HYPERLINK("https://www.elempleo.com/co/ofertas-trabajo/secretaria-administrativa-1886756322", "Ver Vacante")</f>
        <v/>
      </c>
      <c r="H94" s="6" t="inlineStr"/>
      <c r="I94" s="3" t="inlineStr">
        <is>
          <t>[Afinidad: 58/100 - Afinidad Moderada] Afinidad moderada en áreas técnicas del cargo (Auxiliar Administrativo / Asistente Virtual).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cee8b3db11750755</t>
        </is>
      </c>
      <c r="B95" s="2" t="inlineStr">
        <is>
          <t>2026-09-24 16:07</t>
        </is>
      </c>
      <c r="C95" s="3" t="inlineStr">
        <is>
          <t>Auxiliar administrativo de obra</t>
        </is>
      </c>
      <c r="D95" s="3" t="inlineStr">
        <is>
          <t>GRUPO AR S.A.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HYPERLINK("https://www.elempleo.com/co/ofertas-trabajo/auxiliar-administrativo-de-obra-1886747241", "Ver Vacante")</f>
        <v/>
      </c>
      <c r="H95" s="6" t="inlineStr"/>
      <c r="I95" s="3" t="inlineStr">
        <is>
          <t>[Afinidad: 58/100 - Afinidad Moderada] Afinidad moderada en áreas técnicas del cargo (Auxiliar Administrativo / Asistente Virtual).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f86d411dd7ab31c0</t>
        </is>
      </c>
      <c r="B96" s="2" t="inlineStr">
        <is>
          <t>2026-09-24 16:07</t>
        </is>
      </c>
      <c r="C96" s="3" t="inlineStr">
        <is>
          <t>Asistente administrativa supernumeraria</t>
        </is>
      </c>
      <c r="D96" s="3" t="inlineStr">
        <is>
          <t>Grupo Good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HYPERLINK("https://www.elempleo.com/co/ofertas-trabajo/asistente-administrativa-supernumeraria-1886762173", "Ver Vacante")</f>
        <v/>
      </c>
      <c r="H96" s="6" t="inlineStr"/>
      <c r="I96" s="3" t="inlineStr">
        <is>
          <t>[Afinidad: 58/100 - Afinidad Moderada] Afinidad moderada en áreas técnicas del cargo (Auxiliar Administrativo / Asistente Virtual).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02d246dd2c1d19fd</t>
        </is>
      </c>
      <c r="B97" s="2" t="inlineStr">
        <is>
          <t>2026-09-24 16:07</t>
        </is>
      </c>
      <c r="C97" s="3" t="inlineStr">
        <is>
          <t>Asistente ejecutiva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HYPERLINK("https://www.elempleo.com/co/ofertas-trabajo/asistente-ejecutiva-1886745926", "Ver Vacante")</f>
        <v/>
      </c>
      <c r="H97" s="6" t="inlineStr"/>
      <c r="I97" s="3" t="inlineStr">
        <is>
          <t>[Afinidad: 58/100 - Afinidad Moderada] Afinidad moderada en áreas técnicas del cargo (Auxiliar Administrativo / Asistente Virtual).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b56bb36e9fc82e1e</t>
        </is>
      </c>
      <c r="B98" s="2" t="inlineStr">
        <is>
          <t>2026-09-24 16:07</t>
        </is>
      </c>
      <c r="C98" s="3" t="inlineStr">
        <is>
          <t>Asistente administrativo/a</t>
        </is>
      </c>
      <c r="D98" s="3" t="inlineStr">
        <is>
          <t>MEDICALL TALENTO HUMANO S.A.S.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HYPERLINK("https://www.elempleo.com/co/ofertas-trabajo/asistente-administrativo-a-1886747464", "Ver Vacante")</f>
        <v/>
      </c>
      <c r="H98" s="6" t="inlineStr"/>
      <c r="I98" s="3" t="inlineStr">
        <is>
          <t>[Afinidad: 58/100 - Afinidad Moderada] Afinidad moderada en áreas técnicas del cargo (Auxiliar Administrativo / Asistente Virtual).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58fe156c45c49fc4</t>
        </is>
      </c>
      <c r="B99" s="2" t="inlineStr">
        <is>
          <t>2026-09-24 16:07</t>
        </is>
      </c>
      <c r="C99" s="3" t="inlineStr">
        <is>
          <t>Asistente ejecutiva y personal de presidencia</t>
        </is>
      </c>
      <c r="D99" s="3" t="inlineStr">
        <is>
          <t>ADECCO COLOMBIA S A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HYPERLINK("https://www.elempleo.com/co/ofertas-trabajo/asistente-ejecutiva-y-personal-de-presidencia-1886765043", "Ver Vacante")</f>
        <v/>
      </c>
      <c r="H99" s="6" t="inlineStr"/>
      <c r="I99" s="3" t="inlineStr">
        <is>
          <t>[Afinidad: 58/100 - Afinidad Moderada] Afinidad moderada en áreas técnicas del cargo (Auxiliar Administrativo / Asistente Virtual).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c68c842aec0507f5</t>
        </is>
      </c>
      <c r="B100" s="2" t="inlineStr">
        <is>
          <t>2026-09-24 16:07</t>
        </is>
      </c>
      <c r="C100" s="3" t="inlineStr">
        <is>
          <t>Asistente administrativo y operativo</t>
        </is>
      </c>
      <c r="D100" s="3" t="inlineStr">
        <is>
          <t>ALIANZA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HYPERLINK("https://www.elempleo.com/co/ofertas-trabajo/asistente-administrativo-y-operativo-1886769341", "Ver Vacante")</f>
        <v/>
      </c>
      <c r="H100" s="6" t="inlineStr"/>
      <c r="I100" s="3" t="inlineStr">
        <is>
          <t>[Afinidad: 58/100 - Afinidad Moderada] Afinidad moderada en áreas técnicas del cargo (Auxiliar Administrativo / Asistente Virtual).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e55c41f8f35d0d12</t>
        </is>
      </c>
      <c r="B101" s="2" t="inlineStr">
        <is>
          <t>2026-09-24 16:07</t>
        </is>
      </c>
      <c r="C101" s="3" t="inlineStr">
        <is>
          <t>Asistente administrativa y comercial pereira</t>
        </is>
      </c>
      <c r="D101" s="3" t="inlineStr">
        <is>
          <t>EDITORIAL LA REPÚBLICA S.A.S.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HYPERLINK("https://www.elempleo.com/co/ofertas-trabajo/asistente-administrativa-y-comercial-pereira-1886746894", "Ver Vacante")</f>
        <v/>
      </c>
      <c r="H101" s="6" t="inlineStr"/>
      <c r="I101" s="3" t="inlineStr">
        <is>
          <t>[Afinidad: 58/100 - Afinidad Moderada] Afinidad moderada en áreas técnicas del cargo (Auxiliar Administrativo / Asistente Virtual).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0504d9833ad54912</t>
        </is>
      </c>
      <c r="B102" s="2" t="inlineStr">
        <is>
          <t>2026-09-24 16:07</t>
        </is>
      </c>
      <c r="C102" s="3" t="inlineStr">
        <is>
          <t>Asistente administrativo(a) at | bogotá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HYPERLINK("https://www.elempleo.com/co/ofertas-trabajo/asistente-administrativoa-at-bogota-1886765770", "Ver Vacante")</f>
        <v/>
      </c>
      <c r="H102" s="6" t="inlineStr"/>
      <c r="I102" s="3" t="inlineStr">
        <is>
          <t>[Afinidad: 58/100 - Afinidad Moderada] Afinidad moderada en áreas técnicas del cargo (Auxiliar Administrativo / Asistente Virtual).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bacc38002882c624</t>
        </is>
      </c>
      <c r="B103" s="2" t="inlineStr">
        <is>
          <t>2026-09-24 16:07</t>
        </is>
      </c>
      <c r="C103" s="3" t="inlineStr">
        <is>
          <t>Asistente administrativo</t>
        </is>
      </c>
      <c r="D103" s="3" t="inlineStr">
        <is>
          <t>POSSE HERRERA Y RUIZ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HYPERLINK("https://www.elempleo.com/co/ofertas-trabajo/asistente-administrativo-1886757128", "Ver Vacante")</f>
        <v/>
      </c>
      <c r="H103" s="6" t="inlineStr"/>
      <c r="I103" s="3" t="inlineStr">
        <is>
          <t>[Afinidad: 58/100 - Afinidad Moderada] Afinidad moderada en áreas técnicas del cargo (Auxiliar Administrativo / Asistente Virtual).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115c420d4e627838</t>
        </is>
      </c>
      <c r="B104" s="2" t="inlineStr">
        <is>
          <t>2026-09-24 16:07</t>
        </is>
      </c>
      <c r="C104" s="3" t="inlineStr">
        <is>
          <t>Recepcionista y asistente administrativa</t>
        </is>
      </c>
      <c r="D104" s="3" t="inlineStr">
        <is>
          <t>Colliers International Colombia S.A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HYPERLINK("https://www.elempleo.com/co/ofertas-trabajo/recepcionista-y-asistente-administrativa-1886769882", "Ver Vacante")</f>
        <v/>
      </c>
      <c r="H104" s="6" t="inlineStr"/>
      <c r="I104" s="3" t="inlineStr">
        <is>
          <t>[Afinidad: 58/100 -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0eafe890d09dc027</t>
        </is>
      </c>
      <c r="B105" s="2" t="inlineStr">
        <is>
          <t>2026-09-24 16:07</t>
        </is>
      </c>
      <c r="C105" s="3" t="inlineStr">
        <is>
          <t>Asistente administrativa y contable - chía | ref. 1626544466-1</t>
        </is>
      </c>
      <c r="D105" s="3" t="inlineStr">
        <is>
          <t>AGENCIA DE EMPLEO Y FOMENTO EMPRESARIAL COMPENSAR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HYPERLINK("https://www.elempleo.com/co/ofertas-trabajo/asistente-administrativa-y-contable-chia-ref-16265444661-1886766808", "Ver Vacante")</f>
        <v/>
      </c>
      <c r="H105" s="6" t="inlineStr"/>
      <c r="I105" s="3" t="inlineStr">
        <is>
          <t>[Afinidad: 58/100 -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7fdb3ec2bb49ce90</t>
        </is>
      </c>
      <c r="B106" s="2" t="inlineStr">
        <is>
          <t>2026-09-24 16:07</t>
        </is>
      </c>
      <c r="C106" s="3" t="inlineStr">
        <is>
          <t>Asistente administrativa y contable</t>
        </is>
      </c>
      <c r="D106" s="3" t="inlineStr">
        <is>
          <t>ASESORES FINANCIEROS Y TRIBUTARIOS GR SAS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HYPERLINK("https://www.elempleo.com/co/ofertas-trabajo/asistente-administrativa-y-contable-1886758421", "Ver Vacante")</f>
        <v/>
      </c>
      <c r="H106" s="6" t="inlineStr"/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08014f384f124ec4</t>
        </is>
      </c>
      <c r="B107" s="2" t="inlineStr">
        <is>
          <t>2026-09-24 16:07</t>
        </is>
      </c>
      <c r="C107" s="3" t="inlineStr">
        <is>
          <t>Asistente administrativo y contable - villeta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HYPERLINK("https://www.elempleo.com/co/ofertas-trabajo/asistente-administrativo-y-contable-villeta-1886759076", "Ver Vacante")</f>
        <v/>
      </c>
      <c r="H107" s="6" t="inlineStr"/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c62a542387886bca</t>
        </is>
      </c>
      <c r="B108" s="2" t="inlineStr">
        <is>
          <t>2026-09-24 16:07</t>
        </is>
      </c>
      <c r="C108" s="3" t="inlineStr">
        <is>
          <t>Asistente administrativo y contable - villeta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HYPERLINK("https://www.elempleo.com/co/ofertas-trabajo/asistente-administrativo-y-contable-villeta-1886758361", "Ver Vacante")</f>
        <v/>
      </c>
      <c r="H108" s="6" t="inlineStr"/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fec983a79bc46288</t>
        </is>
      </c>
      <c r="B109" s="2" t="inlineStr">
        <is>
          <t>2026-09-24 16:07</t>
        </is>
      </c>
      <c r="C109" s="3" t="inlineStr">
        <is>
          <t>Asistente administrativo y contable</t>
        </is>
      </c>
      <c r="D109" s="3" t="inlineStr">
        <is>
          <t>iLingo Integrated Solutions in Languages</t>
        </is>
      </c>
      <c r="E109" s="7" t="n">
        <v>0.58</v>
      </c>
      <c r="F109" s="2" t="inlineStr">
        <is>
          <t>Remoto</t>
        </is>
      </c>
      <c r="G109" s="5">
        <f>HYPERLINK("https://www.elempleo.com/co/ofertas-trabajo/asistente-administrativo-y-contable-1886747606", "Ver Vacante")</f>
        <v/>
      </c>
      <c r="H109" s="6" t="inlineStr"/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1871e0c68a13d38e</t>
        </is>
      </c>
      <c r="B110" s="2" t="inlineStr">
        <is>
          <t>2026-09-24 16:07</t>
        </is>
      </c>
      <c r="C110" s="3" t="inlineStr">
        <is>
          <t>Auxiliar contable - sap - bogota</t>
        </is>
      </c>
      <c r="D110" s="3" t="inlineStr">
        <is>
          <t>ADECCO COLOMBIA S A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HYPERLINK("https://www.elempleo.com/co/ofertas-trabajo/auxiliar-contable-sap-bogota-1886767163", "Ver Vacante")</f>
        <v/>
      </c>
      <c r="H110" s="6" t="inlineStr"/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6367348e3671a1aa</t>
        </is>
      </c>
      <c r="B111" s="2" t="inlineStr">
        <is>
          <t>2026-09-24 16:07</t>
        </is>
      </c>
      <c r="C111" s="3" t="inlineStr">
        <is>
          <t>Asistente contable y administrativo con experiencia contable en sap, cartera y tesoreria</t>
        </is>
      </c>
      <c r="D111" s="3" t="inlineStr">
        <is>
          <t>Confidencial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HYPERLINK("https://www.elempleo.com/co/ofertas-trabajo/asistente-contable-y-administrativo-con-experiencia-contable-en-sap-cartera-y-tesoreria-1886760656", "Ver Vacante")</f>
        <v/>
      </c>
      <c r="H111" s="6" t="inlineStr"/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fa85204cef58799f</t>
        </is>
      </c>
      <c r="B112" s="2" t="inlineStr">
        <is>
          <t>2026-09-24 16:07</t>
        </is>
      </c>
      <c r="C112" s="3" t="inlineStr">
        <is>
          <t>Asistente contable y administrativo con experiencia contable en sap - cartera y tesoreria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HYPERLINK("https://www.elempleo.com/co/ofertas-trabajo/asistente-contable-y-administrativo-con-experiencia-contable-en-sap-cartera-y-tesoreria-1886766820", "Ver Vacante")</f>
        <v/>
      </c>
      <c r="H112" s="6" t="inlineStr"/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d8062d850cbf46a1</t>
        </is>
      </c>
      <c r="B113" s="2" t="inlineStr">
        <is>
          <t>2026-09-24 16:07</t>
        </is>
      </c>
      <c r="C113" s="3" t="inlineStr">
        <is>
          <t>Digitador - 353703-113642</t>
        </is>
      </c>
      <c r="D113" s="3" t="inlineStr">
        <is>
          <t>AGENCIA DE EMPLEO Y FOMENTO EMPRESARIAL COMPENSAR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HYPERLINK("https://www.elempleo.com/co/ofertas-trabajo/digitador-353703113642-1886769566", "Ver Vacante")</f>
        <v/>
      </c>
      <c r="H113" s="6" t="inlineStr"/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2f520ba083e2847f</t>
        </is>
      </c>
      <c r="B114" s="2" t="inlineStr">
        <is>
          <t>2026-09-24 16:07</t>
        </is>
      </c>
      <c r="C114" s="3" t="inlineStr">
        <is>
          <t>Digitador en planta de producción</t>
        </is>
      </c>
      <c r="D114" s="3" t="inlineStr">
        <is>
          <t>Prysmian Group - Procables</t>
        </is>
      </c>
      <c r="E114" s="7" t="n">
        <v>0.58</v>
      </c>
      <c r="F114" s="2" t="inlineStr">
        <is>
          <t>Remoto</t>
        </is>
      </c>
      <c r="G114" s="5">
        <f>HYPERLINK("https://www.elempleo.com/co/ofertas-trabajo/digitador-en-planta-de-produccion-1886722751", "Ver Vacante")</f>
        <v/>
      </c>
      <c r="H114" s="6" t="inlineStr"/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475f3966c5302ff0</t>
        </is>
      </c>
      <c r="B115" s="2" t="inlineStr">
        <is>
          <t>2026-09-24 16:07</t>
        </is>
      </c>
      <c r="C115" s="3" t="inlineStr">
        <is>
          <t>Analista de aduana - digitador opencomex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HYPERLINK("https://www.elempleo.com/co/ofertas-trabajo/analista-de-aduana-digitador-opencomex-1886762323", "Ver Vacante")</f>
        <v/>
      </c>
      <c r="H115" s="6" t="inlineStr"/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107d0765b8dfce86</t>
        </is>
      </c>
      <c r="B116" s="2" t="inlineStr">
        <is>
          <t>2026-09-24 16:07</t>
        </is>
      </c>
      <c r="C116" s="3" t="inlineStr">
        <is>
          <t>Auxiliar digitador(a) de contabilidad</t>
        </is>
      </c>
      <c r="D116" s="3" t="inlineStr">
        <is>
          <t>Confidencial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HYPERLINK("https://www.elempleo.com/co/ofertas-trabajo/auxiliar-digitadora-de-contabilidad-1886770758",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b1591783dbbcb1f9</t>
        </is>
      </c>
      <c r="B117" s="2" t="inlineStr">
        <is>
          <t>2026-09-24 16:07</t>
        </is>
      </c>
      <c r="C117" s="3" t="inlineStr">
        <is>
          <t>Analista de aduana - digitador opencomex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HYPERLINK("https://www.elempleo.com/co/ofertas-trabajo/analista-de-aduana-digitador-opencomex-1886763468",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cfe8b8276b28373b</t>
        </is>
      </c>
      <c r="B118" s="2" t="inlineStr">
        <is>
          <t>2026-09-24 16:07</t>
        </is>
      </c>
      <c r="C118" s="3" t="inlineStr">
        <is>
          <t>Analista de aduana - digitador opencomex - santa marta</t>
        </is>
      </c>
      <c r="D118" s="3" t="inlineStr">
        <is>
          <t>Confidencial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HYPERLINK("https://www.elempleo.com/co/ofertas-trabajo/analista-de-aduana-digitador-opencomex-santa-marta-1886762869",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01c7ac97b62a3626</t>
        </is>
      </c>
      <c r="B119" s="2" t="inlineStr">
        <is>
          <t>2026-09-24 16:07</t>
        </is>
      </c>
      <c r="C119" s="3" t="inlineStr">
        <is>
          <t>Auxiliar digitador(a) de contabilidad</t>
        </is>
      </c>
      <c r="D119" s="3" t="inlineStr">
        <is>
          <t>Confidencial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HYPERLINK("https://www.elempleo.com/co/ofertas-trabajo/auxiliar-digitadora-de-contabilidad-1886761791",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2fc59d447ad455e1</t>
        </is>
      </c>
      <c r="B120" s="2" t="inlineStr">
        <is>
          <t>2026-09-24 16:07</t>
        </is>
      </c>
      <c r="C120" s="3" t="inlineStr">
        <is>
          <t>Digitador comercial interno</t>
        </is>
      </c>
      <c r="D120" s="3" t="inlineStr">
        <is>
          <t>TEMPORIZAR SERVICIOS TEMPORALES SAS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HYPERLINK("https://www.elempleo.com/co/ofertas-trabajo/digitador-comercial-interno-1886746080",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e58059d4e095bd7a</t>
        </is>
      </c>
      <c r="B121" s="2" t="inlineStr">
        <is>
          <t>2026-09-24 16:07</t>
        </is>
      </c>
      <c r="C121" s="3" t="inlineStr">
        <is>
          <t>Apoyo facturación - palmira</t>
        </is>
      </c>
      <c r="D121" s="3" t="inlineStr">
        <is>
          <t>ALQUERIA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HYPERLINK("https://www.elempleo.com/co/ofertas-trabajo/apoyo-facturacion-palmira-1886758686", "Ver Vacante")</f>
        <v/>
      </c>
      <c r="H121" s="6" t="inlineStr"/>
      <c r="I121" s="3" t="inlineStr">
        <is>
          <t>[Afinidad: 58/100 - Afinidad Moderada] Alta coincidencia técnica en Herramientas Ofimáticas, Excel y Soporte Contable / Facturación.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62e7c31c63a388da</t>
        </is>
      </c>
      <c r="B122" s="2" t="inlineStr">
        <is>
          <t>2026-09-24 16:07</t>
        </is>
      </c>
      <c r="C122" s="3" t="inlineStr">
        <is>
          <t>Recepcion y facturacion de laboratorio clínico</t>
        </is>
      </c>
      <c r="D122" s="3" t="inlineStr">
        <is>
          <t>Fundación Santa Fe de Bogotá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HYPERLINK("https://www.elempleo.com/co/ofertas-trabajo/recepcion-y-facturacion-de-laboratorio-clinico-1886761193", "Ver Vacante")</f>
        <v/>
      </c>
      <c r="H122" s="6" t="inlineStr"/>
      <c r="I122" s="3" t="inlineStr">
        <is>
          <t>[Afinidad: 58/100 - Afinidad Moderada] Alta coincidencia técnica en Herramientas Ofimáticas, Excel y Soporte Contable / Facturación.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6eafefaa9d4e76e6</t>
        </is>
      </c>
      <c r="B123" s="2" t="inlineStr">
        <is>
          <t>2026-09-24 16:07</t>
        </is>
      </c>
      <c r="C123" s="3" t="inlineStr">
        <is>
          <t>Recepcionista facturación en laboratorio clínico</t>
        </is>
      </c>
      <c r="D123" s="3" t="inlineStr">
        <is>
          <t>Fundación Santa Fe de Bogotá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HYPERLINK("https://www.elempleo.com/co/ofertas-trabajo/recepcionista-facturacion-en-laboratorio-clinico-1886753959", "Ver Vacante")</f>
        <v/>
      </c>
      <c r="H123" s="6" t="inlineStr"/>
      <c r="I123" s="3" t="inlineStr">
        <is>
          <t>[Afinidad: 58/100 - Afinidad Moderada] Alta coincidencia técnica en Herramientas Ofimáticas, Excel y Soporte Contable / Facturación.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1ac2af8aa1b80d19</t>
        </is>
      </c>
      <c r="B124" s="2" t="inlineStr">
        <is>
          <t>2026-09-24 16:07</t>
        </is>
      </c>
      <c r="C124" s="3" t="inlineStr">
        <is>
          <t>Recepcionista facturación en laboratorio clínico</t>
        </is>
      </c>
      <c r="D124" s="3" t="inlineStr">
        <is>
          <t>Fundación Santa Fe de Bogotá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HYPERLINK("https://www.elempleo.com/co/ofertas-trabajo/recepcionista-facturacion-en-laboratorio-clinico-1886746927", "Ver Vacante")</f>
        <v/>
      </c>
      <c r="H124" s="6" t="inlineStr"/>
      <c r="I124" s="3" t="inlineStr">
        <is>
          <t>[Afinidad: 58/100 - Afinidad Moderada] Alta coincidencia técnica en Herramientas Ofimáticas, Excel y Soporte Contable / Facturación.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5fb21eaeba4e417d</t>
        </is>
      </c>
      <c r="B125" s="2" t="inlineStr">
        <is>
          <t>2026-09-24 16:07</t>
        </is>
      </c>
      <c r="C125" s="3" t="inlineStr">
        <is>
          <t>Gestor de Facturación e Ingresos // Remoto</t>
        </is>
      </c>
      <c r="D125" s="3" t="inlineStr">
        <is>
          <t>Siigo</t>
        </is>
      </c>
      <c r="E125" s="7" t="n">
        <v>0.58</v>
      </c>
      <c r="F125" s="2" t="inlineStr">
        <is>
          <t>Remoto</t>
        </is>
      </c>
      <c r="G125" s="5">
        <f>HYPERLINK("https://co.linkedin.com/jobs/view/gestor-de-facturaci%C3%B3n-e-ingresos-remoto-pcd-at-siigo-4463333674", "Ver Vacante")</f>
        <v/>
      </c>
      <c r="H125" s="6" t="inlineStr"/>
      <c r="I125" s="3" t="inlineStr">
        <is>
          <t>[Afinidad: 58/100 - Afinidad Moderada] Alta coincidencia técnica en Herramientas Ofimáticas, Excel y Soporte Contable / Facturación.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acc279cbcc202e8c</t>
        </is>
      </c>
      <c r="B126" s="2" t="inlineStr">
        <is>
          <t>2026-09-24 16:07</t>
        </is>
      </c>
      <c r="C126" s="3" t="inlineStr">
        <is>
          <t>Data Entry Clerk</t>
        </is>
      </c>
      <c r="D126" s="3" t="inlineStr">
        <is>
          <t>Hired</t>
        </is>
      </c>
      <c r="E126" s="7" t="n">
        <v>0.58</v>
      </c>
      <c r="F126" s="2" t="inlineStr">
        <is>
          <t>Remoto</t>
        </is>
      </c>
      <c r="G126" s="5">
        <f>HYPERLINK("https://co.linkedin.com/jobs/view/data-entry-clerk-remote-at-hired-4466319108",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c9df64f69713d9c3</t>
        </is>
      </c>
      <c r="B127" s="2" t="inlineStr">
        <is>
          <t>2026-09-24 16:07</t>
        </is>
      </c>
      <c r="C127" s="3" t="inlineStr">
        <is>
          <t>Client Intake and Data Entry Specialist</t>
        </is>
      </c>
      <c r="D127" s="3" t="inlineStr">
        <is>
          <t>Job Duck</t>
        </is>
      </c>
      <c r="E127" s="7" t="n">
        <v>0.58</v>
      </c>
      <c r="F127" s="2" t="inlineStr">
        <is>
          <t>Remoto</t>
        </is>
      </c>
      <c r="G127" s="5">
        <f>HYPERLINK("https://co.linkedin.com/jobs/view/client-intake-and-data-entry-specialist-at-job-duck-4469179215",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bfd4f2e4c8eb51d6</t>
        </is>
      </c>
      <c r="B128" s="2" t="inlineStr">
        <is>
          <t>2026-09-24 16:07</t>
        </is>
      </c>
      <c r="C128" s="3" t="inlineStr">
        <is>
          <t>Data Entry Specialist - Remote Work | REF#169097</t>
        </is>
      </c>
      <c r="D128" s="3" t="inlineStr">
        <is>
          <t>BairesDev</t>
        </is>
      </c>
      <c r="E128" s="7" t="n">
        <v>0.58</v>
      </c>
      <c r="F128" s="2" t="inlineStr">
        <is>
          <t>Remoto</t>
        </is>
      </c>
      <c r="G128" s="5">
        <f>HYPERLINK("https://co.linkedin.com/jobs/view/data-entry-specialist-remote-work-ref%23169097-at-bairesdev-4140196697",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f71b85e853980a5b</t>
        </is>
      </c>
      <c r="B129" s="2" t="inlineStr">
        <is>
          <t>2026-09-24 16:07</t>
        </is>
      </c>
      <c r="C129" s="3" t="inlineStr">
        <is>
          <t>Data Entry Specialist</t>
        </is>
      </c>
      <c r="D129" s="3" t="inlineStr">
        <is>
          <t>Booth</t>
        </is>
      </c>
      <c r="E129" s="7" t="n">
        <v>0.58</v>
      </c>
      <c r="F129" s="2" t="inlineStr">
        <is>
          <t>Remoto</t>
        </is>
      </c>
      <c r="G129" s="5">
        <f>HYPERLINK("https://co.linkedin.com/jobs/view/data-entry-specialist-at-booth-4468950013",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b124540f32e77f79</t>
        </is>
      </c>
      <c r="B130" s="2" t="inlineStr">
        <is>
          <t>2026-09-24 16:07</t>
        </is>
      </c>
      <c r="C130" s="3" t="inlineStr">
        <is>
          <t>Digitador</t>
        </is>
      </c>
      <c r="D130" s="3" t="inlineStr">
        <is>
          <t>Iron Mountain</t>
        </is>
      </c>
      <c r="E130" s="7" t="n">
        <v>0.58</v>
      </c>
      <c r="F130" s="2" t="inlineStr">
        <is>
          <t>Remoto</t>
        </is>
      </c>
      <c r="G130" s="5">
        <f>HYPERLINK("https://co.linkedin.com/jobs/view/digitador-at-iron-mountain-4468884742",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648f264595161cd7</t>
        </is>
      </c>
      <c r="B131" s="2" t="inlineStr">
        <is>
          <t>2026-09-24 16:07</t>
        </is>
      </c>
      <c r="C131" s="3" t="inlineStr">
        <is>
          <t>Auxiliar Administrativa de Vicepresidencia Bilingüe</t>
        </is>
      </c>
      <c r="D131" s="3" t="inlineStr">
        <is>
          <t>Adecco</t>
        </is>
      </c>
      <c r="E131" s="7" t="n">
        <v>0.58</v>
      </c>
      <c r="F131" s="2" t="inlineStr">
        <is>
          <t>Remoto</t>
        </is>
      </c>
      <c r="G131" s="5">
        <f>HYPERLINK("https://co.linkedin.com/jobs/view/auxiliar-administrativa-de-vicepresidencia-biling%C3%BCe-at-adecco-4469224990",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eb90ed56020b1176</t>
        </is>
      </c>
      <c r="B132" s="2" t="inlineStr">
        <is>
          <t>2026-09-24 16:07</t>
        </is>
      </c>
      <c r="C132" s="3" t="inlineStr">
        <is>
          <t>Inside Sales Contractor</t>
        </is>
      </c>
      <c r="D132" s="3" t="inlineStr">
        <is>
          <t>Credit Wellness, LLC</t>
        </is>
      </c>
      <c r="E132" s="7" t="n">
        <v>0.58</v>
      </c>
      <c r="F132" s="2" t="inlineStr">
        <is>
          <t>Remoto</t>
        </is>
      </c>
      <c r="G132" s="5">
        <f>HYPERLINK("https://remotive.com/remote-jobs/sales/inside-sales-contractor-2086540", "Ver Vacante")</f>
        <v/>
      </c>
      <c r="H132" s="6" t="inlineStr">
        <is>
          <t>OTE $25k - $35k</t>
        </is>
      </c>
      <c r="I132" s="3" t="inlineStr">
        <is>
          <t>[Afinidad: 58/100 - Afinidad Moderada] Alta coincidencia técnica en Herramientas Ofimáticas, Excel y Soporte Contable / Facturación.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ebabcd51596d0d3b</t>
        </is>
      </c>
      <c r="B133" s="2" t="inlineStr">
        <is>
          <t>2026-09-25 15:56</t>
        </is>
      </c>
      <c r="C133" s="3" t="inlineStr">
        <is>
          <t>Auxiliar contable y administrativo</t>
        </is>
      </c>
      <c r="D133" s="3" t="inlineStr">
        <is>
          <t>ACTIVE ACCOUNTING GROUP</t>
        </is>
      </c>
      <c r="E133" s="7" t="n">
        <v>0.58</v>
      </c>
      <c r="F133" s="2" t="inlineStr">
        <is>
          <t>Remoto</t>
        </is>
      </c>
      <c r="G133" s="5">
        <f>HYPERLINK("https://co.computrabajo.com/ofertas-de-trabajo/oferta-de-trabajo-de-auxiliar-contable-y-administrativo-con-experiencia-en-el-santuario-C71D6812AE6D474061373E686DCF3405", "Ver Vacante")</f>
        <v/>
      </c>
      <c r="H133" s="6" t="inlineStr">
        <is>
          <t>$ 1.750.905,00 (Mensual)</t>
        </is>
      </c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e12bdf1aa280de03</t>
        </is>
      </c>
      <c r="B134" s="2" t="inlineStr">
        <is>
          <t>2026-09-25 15:56</t>
        </is>
      </c>
      <c r="C134" s="3" t="inlineStr">
        <is>
          <t>Auxiliar administrativo</t>
        </is>
      </c>
      <c r="D134" s="3" t="inlineStr">
        <is>
          <t>Confidencial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HYPERLINK("https://www.elempleo.com/co/ofertas-trabajo/auxiliar-administrativoa-1886768459",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b1fccbf6d15bddc2</t>
        </is>
      </c>
      <c r="B135" s="2" t="inlineStr">
        <is>
          <t>2026-09-25 15:56</t>
        </is>
      </c>
      <c r="C135" s="3" t="inlineStr">
        <is>
          <t>Asistente administrativa</t>
        </is>
      </c>
      <c r="D135" s="3" t="inlineStr">
        <is>
          <t>Dra Lina Bedoya Odontologia Estetica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HYPERLINK("https://www.elempleo.com/co/ofertas-trabajo/asistente-administrativa-1886766293",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db6a52513ae159ab</t>
        </is>
      </c>
      <c r="B136" s="2" t="inlineStr">
        <is>
          <t>2026-09-25 15:56</t>
        </is>
      </c>
      <c r="C136" s="3" t="inlineStr">
        <is>
          <t>Auxiliar contable - sap - bogota</t>
        </is>
      </c>
      <c r="D136" s="3" t="inlineStr">
        <is>
          <t>ADECCO COLOMBIA S A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HYPERLINK("https://www.elempleo.com/co/ofertas-trabajo/auxiliar-contable-sap-bogota-1886767591",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ae9358eb43bb2f5b</t>
        </is>
      </c>
      <c r="B137" s="2" t="inlineStr">
        <is>
          <t>2026-09-25 15:56</t>
        </is>
      </c>
      <c r="C137" s="3" t="inlineStr">
        <is>
          <t>Auxiliar contable - sap - bogota</t>
        </is>
      </c>
      <c r="D137" s="3" t="inlineStr">
        <is>
          <t>ADECCO COLOMBIA S 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HYPERLINK("https://www.elempleo.com/co/ofertas-trabajo/auxiliar-contable-sap-bogota-1886767165",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daa8b5315dfb38c2</t>
        </is>
      </c>
      <c r="B138" s="2" t="inlineStr">
        <is>
          <t>2026-09-25 15:56</t>
        </is>
      </c>
      <c r="C138" s="3" t="inlineStr">
        <is>
          <t>Auxiliar contable - sap - bogota</t>
        </is>
      </c>
      <c r="D138" s="3" t="inlineStr">
        <is>
          <t>ADECCO COLOMBIA S A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HYPERLINK("https://www.elempleo.com/co/ofertas-trabajo/auxiliar-contable-sap-bogota-1886767164",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2d35aa26ef7d8409</t>
        </is>
      </c>
      <c r="B139" s="2" t="inlineStr">
        <is>
          <t>2026-09-25 15:56</t>
        </is>
      </c>
      <c r="C139" s="3" t="inlineStr">
        <is>
          <t>Almacenista digitador</t>
        </is>
      </c>
      <c r="D139" s="3" t="inlineStr">
        <is>
          <t>Confidencial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HYPERLINK("https://www.elempleo.com/co/ofertas-trabajo/almacenista-digitador-1886754273",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a36cc8c2293d75bb</t>
        </is>
      </c>
      <c r="B140" s="2" t="inlineStr">
        <is>
          <t>2026-09-25 15:56</t>
        </is>
      </c>
      <c r="C140" s="3" t="inlineStr">
        <is>
          <t>Aux de facturacion - personas con discapacidad - bogota</t>
        </is>
      </c>
      <c r="D140" s="3" t="inlineStr">
        <is>
          <t>Quirón Prevención Colombia S.A.S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HYPERLINK("https://www.elempleo.com/co/ofertas-trabajo/aux-de-facturacion-personas-con-discapacidad-bogota-1886768842", "Ver Vacante")</f>
        <v/>
      </c>
      <c r="H140" s="6" t="inlineStr"/>
      <c r="I140" s="3" t="inlineStr">
        <is>
          <t>[Afinidad: 58/100 - Afinidad Moderada] Alta coincidencia técnica en Herramientas Ofimáticas, Excel y Soporte Contable / Facturación.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e482852a389226cd</t>
        </is>
      </c>
      <c r="B141" s="2" t="inlineStr">
        <is>
          <t>2026-09-25 15:56</t>
        </is>
      </c>
      <c r="C141" s="3" t="inlineStr">
        <is>
          <t>Ejecutivo de cuenta / facturación electrónica</t>
        </is>
      </c>
      <c r="D141" s="3" t="inlineStr">
        <is>
          <t>Confidencial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HYPERLINK("https://www.elempleo.com/co/ofertas-trabajo/ejecutivo-de-cuenta-facturacion-electronica-1886754585", "Ver Vacante")</f>
        <v/>
      </c>
      <c r="H141" s="6" t="inlineStr"/>
      <c r="I141" s="3" t="inlineStr">
        <is>
          <t>[Afinidad: 58/100 - Afinidad Moderada] Alta coincidencia técnica en Herramientas Ofimáticas, Excel y Soporte Contable / Facturación.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0dfab7dcd9959d45</t>
        </is>
      </c>
      <c r="B142" s="2" t="inlineStr">
        <is>
          <t>2026-09-25 15:56</t>
        </is>
      </c>
      <c r="C142" s="3" t="inlineStr">
        <is>
          <t>Recepcion y facturacion de laboratorio clínico</t>
        </is>
      </c>
      <c r="D142" s="3" t="inlineStr">
        <is>
          <t>Fundación Santa Fe de Bogotá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HYPERLINK("https://www.elempleo.com/co/ofertas-trabajo/recepcion-y-facturacion-de-laboratorio-clinico-1886771931", "Ver Vacante")</f>
        <v/>
      </c>
      <c r="H142" s="6" t="inlineStr"/>
      <c r="I142" s="3" t="inlineStr">
        <is>
          <t>[Afinidad: 58/100 - Afinidad Moderada] Alta coincidencia técnica en Herramientas Ofimáticas, Excel y Soporte Contable / Facturación.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f89540ec077787b1</t>
        </is>
      </c>
      <c r="B143" s="2" t="inlineStr">
        <is>
          <t>2026-09-26 15:05</t>
        </is>
      </c>
      <c r="C143" s="3" t="inlineStr">
        <is>
          <t>Auxiliar administrativo</t>
        </is>
      </c>
      <c r="D143" s="3" t="inlineStr">
        <is>
          <t>FUCS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HYPERLINK("https://www.elempleo.com/co/ofertas-trabajo/auxiliar-administrativoa-1886772558",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abffa88133eaa978</t>
        </is>
      </c>
      <c r="B144" s="2" t="inlineStr">
        <is>
          <t>2026-09-26 15:05</t>
        </is>
      </c>
      <c r="C144" s="3" t="inlineStr">
        <is>
          <t>Almacenista digitador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HYPERLINK("https://www.elempleo.com/co/ofertas-trabajo/almacenista-digitador-1886749637",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e4ad43c355211b6e</t>
        </is>
      </c>
      <c r="B145" s="2" t="inlineStr">
        <is>
          <t>2026-09-26 15:05</t>
        </is>
      </c>
      <c r="C145" s="3" t="inlineStr">
        <is>
          <t>Aux de facturacion - personas con discapacidad - bogota</t>
        </is>
      </c>
      <c r="D145" s="3" t="inlineStr">
        <is>
          <t>Quirón Prevención Colombia S.A.S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HYPERLINK("https://www.elempleo.com/co/ofertas-trabajo/aux-de-facturacion-personas-con-discapacidad-bogota-1886772337", "Ver Vacante")</f>
        <v/>
      </c>
      <c r="H145" s="6" t="inlineStr"/>
      <c r="I145" s="3" t="inlineStr">
        <is>
          <t>[Afinidad: 58/100 - Afinidad Moderada] Alta coincidencia técnica en Herramientas Ofimáticas, Excel y Soporte Contable / Facturación.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ebfb9e3d2b3f916c</t>
        </is>
      </c>
      <c r="B146" s="2" t="inlineStr">
        <is>
          <t>2026-09-26 15:05</t>
        </is>
      </c>
      <c r="C146" s="3" t="inlineStr">
        <is>
          <t>Recepcion y facturacion de laboratorio clínico</t>
        </is>
      </c>
      <c r="D146" s="3" t="inlineStr">
        <is>
          <t>Fundación Santa Fe de Bogotá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HYPERLINK("https://www.elempleo.com/co/ofertas-trabajo/recepcion-y-facturacion-de-laboratorio-clinico-1886767371", "Ver Vacante")</f>
        <v/>
      </c>
      <c r="H146" s="6" t="inlineStr"/>
      <c r="I146" s="3" t="inlineStr">
        <is>
          <t>[Afinidad: 58/100 - Afinidad Moderada] Alta coincidencia técnica en Herramientas Ofimáticas, Excel y Soporte Contable / Facturación.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8478e893d783ed5e</t>
        </is>
      </c>
      <c r="B147" s="2" t="inlineStr">
        <is>
          <t>2026-09-26 15:05</t>
        </is>
      </c>
      <c r="C147" s="3" t="inlineStr">
        <is>
          <t>Recepcion y facturacion de laboratorio clinico</t>
        </is>
      </c>
      <c r="D147" s="3" t="inlineStr">
        <is>
          <t>Fundación Santa Fe de Bogotá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HYPERLINK("https://www.elempleo.com/co/ofertas-trabajo/recepcion-y-facturacion-de-laboratorio-clinico-1886760903", "Ver Vacante")</f>
        <v/>
      </c>
      <c r="H147" s="6" t="inlineStr"/>
      <c r="I147" s="3" t="inlineStr">
        <is>
          <t>[Afinidad: 58/100 - Afinidad Moderada] Alta coincidencia técnica en Herramientas Ofimáticas, Excel y Soporte Contable / Facturación.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d45621f8599206ec</t>
        </is>
      </c>
      <c r="B148" s="2" t="inlineStr">
        <is>
          <t>2026-09-26 15:05</t>
        </is>
      </c>
      <c r="C148" s="3" t="inlineStr">
        <is>
          <t>Data Entry Specialist</t>
        </is>
      </c>
      <c r="D148" s="3" t="inlineStr">
        <is>
          <t>ZEISS Group</t>
        </is>
      </c>
      <c r="E148" s="7" t="n">
        <v>0.58</v>
      </c>
      <c r="F148" s="2" t="inlineStr">
        <is>
          <t>Remoto</t>
        </is>
      </c>
      <c r="G148" s="5">
        <f>HYPERLINK("https://co.linkedin.com/jobs/view/data-entry-specialist-at-zeiss-group-4467880077",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6051bd21daa83566</t>
        </is>
      </c>
      <c r="B149" s="2" t="inlineStr">
        <is>
          <t>2026-09-28 18:38</t>
        </is>
      </c>
      <c r="C149" s="3" t="inlineStr">
        <is>
          <t>Auxiliar contable y administrativo</t>
        </is>
      </c>
      <c r="D149" s="3" t="inlineStr">
        <is>
          <t>distrigomez seguros</t>
        </is>
      </c>
      <c r="E149" s="7" t="n">
        <v>0.58</v>
      </c>
      <c r="F149" s="2" t="inlineStr">
        <is>
          <t>Remoto</t>
        </is>
      </c>
      <c r="G149" s="5">
        <f>HYPERLINK("https://co.computrabajo.com/ofertas-de-trabajo/oferta-de-trabajo-de-auxiliar-contable-y-administrativo-trabajo-desde-casa-en-pereira-3EEDFFC0D2447F8B61373E686DCF3405", "Ver Vacante")</f>
        <v/>
      </c>
      <c r="H149" s="6" t="inlineStr">
        <is>
          <t>$ 1.750.905,00 (Mensual)</t>
        </is>
      </c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1a7a81ed9e2a4160</t>
        </is>
      </c>
      <c r="B150" s="2" t="inlineStr">
        <is>
          <t>2026-09-28 18:38</t>
        </is>
      </c>
      <c r="C150" s="3" t="inlineStr">
        <is>
          <t>Auxiliar administrativo(a) - campus neiva</t>
        </is>
      </c>
      <c r="D150" s="3" t="inlineStr">
        <is>
          <t>Universidad Cooperativa de Colombia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HYPERLINK("https://www.elempleo.com/co/ofertas-trabajo/auxiliar-administrativoa-campus-neiva-1886773020",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a81375d5a4201305</t>
        </is>
      </c>
      <c r="B151" s="2" t="inlineStr">
        <is>
          <t>2026-09-28 18:38</t>
        </is>
      </c>
      <c r="C151" s="3" t="inlineStr">
        <is>
          <t>Digitador - bogotá</t>
        </is>
      </c>
      <c r="D151" s="3" t="inlineStr">
        <is>
          <t>BUREAU VERITAS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HYPERLINK("https://www.elempleo.com/co/ofertas-trabajo/digitador-bogota-1886762709",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9164fad20028594e</t>
        </is>
      </c>
      <c r="B152" s="2" t="inlineStr">
        <is>
          <t>2026-09-29 17:03</t>
        </is>
      </c>
      <c r="C152" s="3" t="inlineStr">
        <is>
          <t>Digitador(a) de nómina</t>
        </is>
      </c>
      <c r="D152" s="3" t="inlineStr">
        <is>
          <t>Confidencial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HYPERLINK("https://www.elempleo.com/co/ofertas-trabajo/digitadora-de-nomina-1886773344",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eb9248ba68f06027</t>
        </is>
      </c>
      <c r="B153" s="2" t="inlineStr">
        <is>
          <t>2026-09-29 17:03</t>
        </is>
      </c>
      <c r="C153" s="3" t="inlineStr">
        <is>
          <t>Young Professional – Data Entry - Remote Work</t>
        </is>
      </c>
      <c r="D153" s="3" t="inlineStr">
        <is>
          <t>BairesDev</t>
        </is>
      </c>
      <c r="E153" s="7" t="n">
        <v>0.58</v>
      </c>
      <c r="F153" s="2" t="inlineStr">
        <is>
          <t>Remoto</t>
        </is>
      </c>
      <c r="G153" s="5">
        <f>HYPERLINK("https://co.linkedin.com/jobs/view/young-professional-%E2%80%93-data-entry-remote-work-at-bairesdev-4471917951",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ab0015399fb0fd5a</t>
        </is>
      </c>
      <c r="B154" s="2" t="inlineStr">
        <is>
          <t>2026-09-30 16:51</t>
        </is>
      </c>
      <c r="C154" s="3" t="inlineStr">
        <is>
          <t>Cali- asistente administrativo y contable</t>
        </is>
      </c>
      <c r="D154" s="3" t="inlineStr">
        <is>
          <t>GERENCIA SELECTA SAS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HYPERLINK("https://www.elempleo.com/co/ofertas-trabajo/cali-asistente-administrativo-y-contable-1886774199", "Ver Vacante")</f>
        <v/>
      </c>
      <c r="H154" s="6" t="inlineStr"/>
      <c r="I154" s="3" t="inlineStr">
        <is>
          <t>[Afinidad: 58/100 - Afinidad Moderada] Afinidad moderada en áreas técnicas del cargo (Auxiliar Administrativo / Asistente Virtual).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f151a5101fd2098d</t>
        </is>
      </c>
      <c r="B155" s="2" t="inlineStr">
        <is>
          <t>2026-09-30 16:51</t>
        </is>
      </c>
      <c r="C155" s="3" t="inlineStr">
        <is>
          <t>Auxiliar contable y administrativo 212747-148845</t>
        </is>
      </c>
      <c r="D155" s="3" t="inlineStr">
        <is>
          <t>AGENCIA DE EMPLEO Y FOMENTO EMPRESARIAL COMPENSAR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HYPERLINK("https://www.elempleo.com/co/ofertas-trabajo/auxiliar-contable-y-administrativo-212747148845-1886774053", "Ver Vacante")</f>
        <v/>
      </c>
      <c r="H155" s="6" t="inlineStr"/>
      <c r="I155" s="3" t="inlineStr">
        <is>
          <t>[Afinidad: 58/100 - Afinidad Moderada] Afinidad moderada en áreas técnicas del cargo (Auxiliar Administrativo / Asistente Virtual).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2ad924abc5b01201</t>
        </is>
      </c>
      <c r="B156" s="2" t="inlineStr">
        <is>
          <t>2026-09-30 16:51</t>
        </is>
      </c>
      <c r="C156" s="3" t="inlineStr">
        <is>
          <t>Auxiliar administrativa y contable- mosquera- 1626546205-1</t>
        </is>
      </c>
      <c r="D156" s="3" t="inlineStr">
        <is>
          <t>AGENCIA DE EMPLEO Y FOMENTO EMPRESARIAL COMPENSAR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HYPERLINK("https://www.elempleo.com/co/ofertas-trabajo/auxiliar-administrativa-y-contable-mosquera-16265462051-1886773852", "Ver Vacante")</f>
        <v/>
      </c>
      <c r="H156" s="6" t="inlineStr"/>
      <c r="I156" s="3" t="inlineStr">
        <is>
          <t>[Afinidad: 58/100 - Afinidad Moderada] Afinidad moderada en áreas técnicas del cargo (Auxiliar Administrativo / Asistente Virtual).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cb0d1367aba57052</t>
        </is>
      </c>
      <c r="B157" s="2" t="inlineStr">
        <is>
          <t>2026-09-30 16:51</t>
        </is>
      </c>
      <c r="C157" s="3" t="inlineStr">
        <is>
          <t>Client Intake and Data Entry Specialist</t>
        </is>
      </c>
      <c r="D157" s="3" t="inlineStr">
        <is>
          <t>Job Duck</t>
        </is>
      </c>
      <c r="E157" s="7" t="n">
        <v>0.58</v>
      </c>
      <c r="F157" s="2" t="inlineStr">
        <is>
          <t>Remoto</t>
        </is>
      </c>
      <c r="G157" s="5">
        <f>HYPERLINK("https://co.linkedin.com/jobs/view/client-intake-and-data-entry-specialist-at-job-duck-4473785617", "Ver Vacante")</f>
        <v/>
      </c>
      <c r="H157" s="6" t="inlineStr"/>
      <c r="I157" s="3" t="inlineStr">
        <is>
          <t>[Afinidad: 58/100 - Afinidad Moderada] Afinidad moderada en áreas técnicas del cargo (Auxiliar Administrativo / Asistente Virtual).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aa2ff4b012a2356b</t>
        </is>
      </c>
      <c r="B158" s="2" t="inlineStr">
        <is>
          <t>2026-09-30 16:51</t>
        </is>
      </c>
      <c r="C158" s="3" t="inlineStr">
        <is>
          <t>Data entry specialist</t>
        </is>
      </c>
      <c r="D158" s="3" t="inlineStr">
        <is>
          <t>Naur Talent</t>
        </is>
      </c>
      <c r="E158" s="7" t="n">
        <v>0.58</v>
      </c>
      <c r="F158" s="2" t="inlineStr">
        <is>
          <t>Remoto</t>
        </is>
      </c>
      <c r="G158" s="5">
        <f>HYPERLINK("https://co.linkedin.com/jobs/view/data-entry-specialist-at-naur-talent-4473907227", "Ver Vacante")</f>
        <v/>
      </c>
      <c r="H158" s="6" t="inlineStr"/>
      <c r="I158" s="3" t="inlineStr">
        <is>
          <t>[Afinidad: 58/100 - Afinidad Moderada] Afinidad moderada en áreas técnicas del cargo (Auxiliar Administrativo / Asistente Virtual).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0fb7813f6ca58c19</t>
        </is>
      </c>
      <c r="B159" s="2" t="inlineStr">
        <is>
          <t>2026-10-01 17:28</t>
        </is>
      </c>
      <c r="C159" s="3" t="inlineStr">
        <is>
          <t>Data Entry Assistant</t>
        </is>
      </c>
      <c r="D159" s="3" t="inlineStr">
        <is>
          <t>NEO - New Estate Only</t>
        </is>
      </c>
      <c r="E159" s="7" t="n">
        <v>0.58</v>
      </c>
      <c r="F159" s="2" t="inlineStr">
        <is>
          <t>Remoto</t>
        </is>
      </c>
      <c r="G159" s="5">
        <f>HYPERLINK("https://co.linkedin.com/jobs/view/data-entry-assistant-at-neo-new-estate-only-4474342064",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e03aa4c6959d3eb4</t>
        </is>
      </c>
      <c r="B160" s="2" t="inlineStr">
        <is>
          <t>2026-10-03 15:14</t>
        </is>
      </c>
      <c r="C160" s="3" t="inlineStr">
        <is>
          <t>Auxiliar administrativo/a Vacante Inclusiva para personas con Discapacidad</t>
        </is>
      </c>
      <c r="D160" s="3" t="inlineStr">
        <is>
          <t>CENTRO DE EMPLEO Y TALENTO COLSUBSIDIO</t>
        </is>
      </c>
      <c r="E160" s="7" t="n">
        <v>0.58</v>
      </c>
      <c r="F160" s="2" t="inlineStr">
        <is>
          <t>Remoto</t>
        </is>
      </c>
      <c r="G160" s="5">
        <f>HYPERLINK("https://co.computrabajo.com/ofertas-de-trabajo/oferta-de-trabajo-de-auxiliar-administrativoa-vacante-inclusiva-para-personas-con-discapacidad-en-bogota-dc-C48470AF94C2CBCC61373E686DCF3405", "Ver Vacante")</f>
        <v/>
      </c>
      <c r="H160" s="6" t="inlineStr">
        <is>
          <t>Remoto</t>
        </is>
      </c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1a638820869677f4</t>
        </is>
      </c>
      <c r="B161" s="2" t="inlineStr">
        <is>
          <t>2026-10-03 15:14</t>
        </is>
      </c>
      <c r="C161" s="3" t="inlineStr">
        <is>
          <t>Asistente administrativa</t>
        </is>
      </c>
      <c r="D161" s="3" t="inlineStr">
        <is>
          <t>Valgroup Realty LLC</t>
        </is>
      </c>
      <c r="E161" s="7" t="n">
        <v>0.58</v>
      </c>
      <c r="F161" s="2" t="inlineStr">
        <is>
          <t>Remoto</t>
        </is>
      </c>
      <c r="G161" s="5">
        <f>HYPERLINK("https://co.computrabajo.com/ofertas-de-trabajo/oferta-de-trabajo-de-asistente-administrativa-con-conocimiento-del-idioma-ingles-en-bucaramanga-E109D498CC2B20FD61373E686DCF3405", "Ver Vacante")</f>
        <v/>
      </c>
      <c r="H161" s="6" t="inlineStr">
        <is>
          <t>Remoto</t>
        </is>
      </c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bab8c57875b70054</t>
        </is>
      </c>
      <c r="B162" s="2" t="inlineStr">
        <is>
          <t>2026-09-24 16:07</t>
        </is>
      </c>
      <c r="C162" s="3" t="inlineStr">
        <is>
          <t>Analista de Servicio al Cliente Digital / Personal con Discapacidad</t>
        </is>
      </c>
      <c r="D162" s="3" t="inlineStr">
        <is>
          <t>HOME BURGERS</t>
        </is>
      </c>
      <c r="E162" s="7" t="n">
        <v>0.53</v>
      </c>
      <c r="F162" s="2" t="inlineStr">
        <is>
          <t>Remoto</t>
        </is>
      </c>
      <c r="G162" s="5">
        <f>HYPERLINK("https://co.computrabajo.com/ofertas-de-trabajo/oferta-de-trabajo-de-analista-de-servicio-al-cliente-digital-personal-con-discapacidad-en-bogota-dc-11CE94961396D4CF61373E686DCF3405", "Ver Vacante")</f>
        <v/>
      </c>
      <c r="H162" s="6" t="inlineStr">
        <is>
          <t>$ 1.750.000,00 (Mensual)</t>
        </is>
      </c>
      <c r="I162" s="3" t="inlineStr">
        <is>
          <t>[Afinidad: 53/100 -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e4553a32da3edf6d</t>
        </is>
      </c>
      <c r="B163" s="2" t="inlineStr">
        <is>
          <t>2026-09-24 16:07</t>
        </is>
      </c>
      <c r="C163" s="3" t="inlineStr">
        <is>
          <t>Asesor de Servicio al Cliente / Remoto</t>
        </is>
      </c>
      <c r="D163" s="3" t="inlineStr">
        <is>
          <t>SIIGO S.A.S</t>
        </is>
      </c>
      <c r="E163" s="7" t="n">
        <v>0.53</v>
      </c>
      <c r="F163" s="2" t="inlineStr">
        <is>
          <t>Remoto</t>
        </is>
      </c>
      <c r="G163" s="5">
        <f>HYPERLINK("https://co.computrabajo.com/ofertas-de-trabajo/oferta-de-trabajo-de-asesor-de-servicio-al-cliente-remoto-en-bogota-dc-00C206C9966382F961373E686DCF3405", "Ver Vacante")</f>
        <v/>
      </c>
      <c r="H163" s="6" t="inlineStr">
        <is>
          <t>$ 1.750.905,00 (Mensual)</t>
        </is>
      </c>
      <c r="I163" s="3" t="inlineStr">
        <is>
          <t>[Afinidad: 53/100 -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838f39602895a4e7</t>
        </is>
      </c>
      <c r="B164" s="2" t="inlineStr">
        <is>
          <t>2026-10-03 15:14</t>
        </is>
      </c>
      <c r="C164" s="3" t="inlineStr">
        <is>
          <t>Analista de facturación (billing analyst)/ inglés b2 /híbrido</t>
        </is>
      </c>
      <c r="D164" s="3" t="inlineStr">
        <is>
          <t>MANPOWER</t>
        </is>
      </c>
      <c r="E164" s="7" t="n">
        <v>0.53</v>
      </c>
      <c r="F164" s="2" t="inlineStr">
        <is>
          <t>Hibrido</t>
        </is>
      </c>
      <c r="G164" s="5">
        <f>HYPERLINK("https://www.elempleo.com/co/ofertas-trabajo/analista-de-facturacion-billing-analyst-ingles-b2-hibrido-1886773841", "Ver Vacante")</f>
        <v/>
      </c>
      <c r="H164" s="6" t="inlineStr"/>
      <c r="I164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cd1036bcf66024dc</t>
        </is>
      </c>
      <c r="B165" s="2" t="inlineStr">
        <is>
          <t>2026-09-26 15:05</t>
        </is>
      </c>
      <c r="C165" s="3" t="inlineStr">
        <is>
          <t>Aprendiz practicante administrativo</t>
        </is>
      </c>
      <c r="D165" s="3" t="inlineStr">
        <is>
          <t>Bold.co</t>
        </is>
      </c>
      <c r="E165" s="7" t="n">
        <v>0.5</v>
      </c>
      <c r="F165" s="2" t="inlineStr">
        <is>
          <t>Remoto</t>
        </is>
      </c>
      <c r="G165" s="5">
        <f>HYPERLINK("https://co.linkedin.com/jobs/view/aprendiz-practicante-administrativo-etapa-productiva-at-bold-4457032181", "Ver Vacante")</f>
        <v/>
      </c>
      <c r="H165" s="6" t="inlineStr"/>
      <c r="I165" s="3" t="inlineStr">
        <is>
          <t>[Afinidad: 50/100 - Afinidad Moderada] Afinidad en rol base (Auxiliar Administrativo / Asistente Virtual).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dbdce1eb16060a6a</t>
        </is>
      </c>
      <c r="B166" s="2" t="inlineStr">
        <is>
          <t>2026-09-28 18:38</t>
        </is>
      </c>
      <c r="C166" s="3" t="inlineStr">
        <is>
          <t>Auxiliar contable jr</t>
        </is>
      </c>
      <c r="D166" s="3" t="inlineStr">
        <is>
          <t>Confidencial</t>
        </is>
      </c>
      <c r="E166" s="7" t="n">
        <v>0.5</v>
      </c>
      <c r="F166" s="2" t="inlineStr">
        <is>
          <t>Remoto</t>
        </is>
      </c>
      <c r="G166" s="5">
        <f>HYPERLINK("https://www.elempleo.com/co/ofertas-trabajo/auxiliar-contable-jr-1886767584", "Ver Vacante")</f>
        <v/>
      </c>
      <c r="H166" s="6" t="inlineStr"/>
      <c r="I166" s="3" t="inlineStr">
        <is>
          <t>[Afinidad: 50/100 - Afinidad Moderada] Afinidad en rol base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550ad8afea6faf9b</t>
        </is>
      </c>
      <c r="B167" s="2" t="inlineStr">
        <is>
          <t>2026-09-28 18:38</t>
        </is>
      </c>
      <c r="C167" s="3" t="inlineStr">
        <is>
          <t>Auxiliar Contable Junior</t>
        </is>
      </c>
      <c r="D167" s="3" t="inlineStr">
        <is>
          <t>Ariadna Communications Group</t>
        </is>
      </c>
      <c r="E167" s="7" t="n">
        <v>0.5</v>
      </c>
      <c r="F167" s="2" t="inlineStr">
        <is>
          <t>Remoto</t>
        </is>
      </c>
      <c r="G167" s="5">
        <f>HYPERLINK("https://co.linkedin.com/jobs/view/auxiliar-contable-junior-at-ariadna-communications-group-4472764062", "Ver Vacante")</f>
        <v/>
      </c>
      <c r="H167" s="6" t="inlineStr"/>
      <c r="I167" s="3" t="inlineStr">
        <is>
          <t>[Afinidad: 50/100 - Afinidad Moderada] Afinidad en rol base (Auxiliar Administrativo / Asistente Virtual). Modalidad: 100% Remoto en Colombia confirmado.</t>
        </is>
      </c>
      <c r="J167" s="2" t="inlineStr">
        <is>
          <t>Nueva</t>
        </is>
      </c>
      <c r="K167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2026-10-03T15:14:56Z</dcterms:created>
  <dcterms:modified xmlns:dcterms="http://purl.org/dc/terms/" xmlns:xsi="http://www.w3.org/2001/XMLSchema-instance" xsi:type="dcterms:W3CDTF">2026-10-03T15:14:56Z</dcterms:modified>
</cp:coreProperties>
</file>