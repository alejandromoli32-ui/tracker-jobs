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d7b10cded83b71f2</t>
        </is>
      </c>
      <c r="B58" s="2" t="inlineStr">
        <is>
          <t>2026-09-24 16:07</t>
        </is>
      </c>
      <c r="C58" s="3" t="inlineStr">
        <is>
          <t>Analista junior de facturación y telecomunicaciones</t>
        </is>
      </c>
      <c r="D58" s="3" t="inlineStr">
        <is>
          <t>TP COLOMBIA</t>
        </is>
      </c>
      <c r="E58" s="4" t="n">
        <v>0.7</v>
      </c>
      <c r="F58" s="2" t="inlineStr">
        <is>
          <t>Remoto</t>
        </is>
      </c>
      <c r="G58" s="5">
        <f>HYPERLINK("https://www.elempleo.com/co/ofertas-trabajo/analista-junior-de-facturacion-y-telecomunicaciones-1886758607", "Ver Vacante")</f>
        <v/>
      </c>
      <c r="H58" s="6" t="inlineStr"/>
      <c r="I58" s="3" t="inlineStr">
        <is>
          <t>[Afinidad: 70/100 -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7c8e4b63802fbfdd</t>
        </is>
      </c>
      <c r="B59" s="2" t="inlineStr">
        <is>
          <t>2026-09-24 16:07</t>
        </is>
      </c>
      <c r="C59" s="3" t="inlineStr">
        <is>
          <t>Analista de facturacion - mocoa</t>
        </is>
      </c>
      <c r="D59" s="3" t="inlineStr">
        <is>
          <t>Clínica Medilaser S.A.S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HYPERLINK("https://www.elempleo.com/co/ofertas-trabajo/analista-de-facturacion-mocoa-1886758704",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6a1a399dbe055821</t>
        </is>
      </c>
      <c r="B60" s="2" t="inlineStr">
        <is>
          <t>2026-09-24 16:07</t>
        </is>
      </c>
      <c r="C60" s="3" t="inlineStr">
        <is>
          <t>Analista de facturación</t>
        </is>
      </c>
      <c r="D60" s="3" t="inlineStr">
        <is>
          <t>CONTINAUTOS S.A.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HYPERLINK("https://www.elempleo.com/co/ofertas-trabajo/analista-de-facturacion-1886758032",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8d104e6e0596782f</t>
        </is>
      </c>
      <c r="B61" s="2" t="inlineStr">
        <is>
          <t>2026-09-24 16:07</t>
        </is>
      </c>
      <c r="C61" s="3" t="inlineStr">
        <is>
          <t>Analista de facturación - zipaquira</t>
        </is>
      </c>
      <c r="D61" s="3" t="inlineStr">
        <is>
          <t>Confidencial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HYPERLINK("https://www.elempleo.com/co/ofertas-trabajo/analista-de-facturacion-zipaquira-1886769380",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30c981b787bd9e84</t>
        </is>
      </c>
      <c r="B62" s="2" t="inlineStr">
        <is>
          <t>2026-09-24 16:07</t>
        </is>
      </c>
      <c r="C62" s="3" t="inlineStr">
        <is>
          <t>Analista de facturación</t>
        </is>
      </c>
      <c r="D62" s="3" t="inlineStr">
        <is>
          <t>IMPULSO TEMPORAL SAS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HYPERLINK("https://www.elempleo.com/co/ofertas-trabajo/analista-de-facturacion-1886751641",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6ba85335e71be4cc</t>
        </is>
      </c>
      <c r="B63" s="2" t="inlineStr">
        <is>
          <t>2026-09-24 16:07</t>
        </is>
      </c>
      <c r="C63" s="3" t="inlineStr">
        <is>
          <t>Analista de Facturacion</t>
        </is>
      </c>
      <c r="D63" s="3" t="inlineStr">
        <is>
          <t>Experian Spanish Latam</t>
        </is>
      </c>
      <c r="E63" s="7" t="n">
        <v>0.68</v>
      </c>
      <c r="F63" s="2" t="inlineStr">
        <is>
          <t>Remoto</t>
        </is>
      </c>
      <c r="G63" s="5">
        <f>HYPERLINK("https://co.linkedin.com/jobs/view/analista-de-facturacion-at-experian-spanish-latam-4462035775",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0ba2c0ed565928ee</t>
        </is>
      </c>
      <c r="B64" s="2" t="inlineStr">
        <is>
          <t>2026-09-24 16:07</t>
        </is>
      </c>
      <c r="C64" s="3" t="inlineStr">
        <is>
          <t>Analista de facturación y gasto</t>
        </is>
      </c>
      <c r="D64" s="3" t="inlineStr">
        <is>
          <t>AXA Partners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HYPERLINK("https://co.linkedin.com/jobs/view/analista-de-facturaci%C3%B3n-y-gasto-at-axa-partners-4468296274",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2adbc58cb85c19c7</t>
        </is>
      </c>
      <c r="B65" s="2" t="inlineStr">
        <is>
          <t>2026-09-24 16:07</t>
        </is>
      </c>
      <c r="C65" s="3" t="inlineStr">
        <is>
          <t>Analista de Facturación de servicios</t>
        </is>
      </c>
      <c r="D65" s="3" t="inlineStr">
        <is>
          <t>Américas BPS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HYPERLINK("https://co.linkedin.com/jobs/view/analista-de-facturaci%C3%B3n-de-servicios-at-am%C3%A9ricas-bps-4464891719",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a831855f10d17417</t>
        </is>
      </c>
      <c r="B66" s="2" t="inlineStr">
        <is>
          <t>2026-09-25 15:56</t>
        </is>
      </c>
      <c r="C66" s="3" t="inlineStr">
        <is>
          <t>Analista de facturación</t>
        </is>
      </c>
      <c r="D66" s="3" t="inlineStr">
        <is>
          <t>Confidencial</t>
        </is>
      </c>
      <c r="E66" s="7" t="n">
        <v>0.68</v>
      </c>
      <c r="F66" s="2" t="inlineStr">
        <is>
          <t>Remoto</t>
        </is>
      </c>
      <c r="G66" s="5">
        <f>HYPERLINK("https://www.elempleo.com/co/ofertas-trabajo/analista-de-facturacion-1886756696",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d59df408fc52566d</t>
        </is>
      </c>
      <c r="B67" s="2" t="inlineStr">
        <is>
          <t>2026-09-25 15:56</t>
        </is>
      </c>
      <c r="C67" s="3" t="inlineStr">
        <is>
          <t>Analista de facturación- manejo de sap -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HYPERLINK("https://www.elempleo.com/co/ofertas-trabajo/analista-de-facturacion-manejo-de-sap-1886756806",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a1b8ba55f8922e99</t>
        </is>
      </c>
      <c r="B68" s="2" t="inlineStr">
        <is>
          <t>2026-09-25 15:56</t>
        </is>
      </c>
      <c r="C68" s="3" t="inlineStr">
        <is>
          <t>Analista de cartera y facturación</t>
        </is>
      </c>
      <c r="D68" s="3" t="inlineStr">
        <is>
          <t>MENTORHUB COLOMBIA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HYPERLINK("https://www.elempleo.com/co/ofertas-trabajo/analista-de-cartera-y-facturacion-1886741299",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62e18b4bd9d42926</t>
        </is>
      </c>
      <c r="B69" s="2" t="inlineStr">
        <is>
          <t>2026-09-26 15:05</t>
        </is>
      </c>
      <c r="C69" s="3" t="inlineStr">
        <is>
          <t>Analista de control operativo y facturación aduanera</t>
        </is>
      </c>
      <c r="D69" s="3" t="inlineStr">
        <is>
          <t>crane ww logistics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HYPERLINK("https://www.elempleo.com/co/ofertas-trabajo/analista-de-control-operativo-y-facturacion-aduanera-1886771256",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62ab67e660127864</t>
        </is>
      </c>
      <c r="B70" s="2" t="inlineStr">
        <is>
          <t>2026-09-28 18:38</t>
        </is>
      </c>
      <c r="C70" s="3" t="inlineStr">
        <is>
          <t>Analista de facturación y cartera</t>
        </is>
      </c>
      <c r="D70" s="3" t="inlineStr">
        <is>
          <t>DON MAKINON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HYPERLINK("https://www.elempleo.com/co/ofertas-trabajo/analista-de-facturacion-y-cartera-1886773105",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39bf6fcb2b2ffb07</t>
        </is>
      </c>
      <c r="B71" s="2" t="inlineStr">
        <is>
          <t>2026-09-30 16:51</t>
        </is>
      </c>
      <c r="C71" s="3" t="inlineStr">
        <is>
          <t>Analista de facturación - medellín</t>
        </is>
      </c>
      <c r="D71" s="3" t="inlineStr">
        <is>
          <t>SERVICIOS DE AUDITORIA Y CONSULTORIA DE NEGOCIOS SAS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HYPERLINK("https://www.elempleo.com/co/ofertas-trabajo/analista-de-facturacion-medellin-1886754458",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65f969075798969c</t>
        </is>
      </c>
      <c r="B72" s="2" t="inlineStr">
        <is>
          <t>2026-10-06 17:14</t>
        </is>
      </c>
      <c r="C72" s="3" t="inlineStr">
        <is>
          <t>Analista de facturación en salud</t>
        </is>
      </c>
      <c r="D72" s="3" t="inlineStr">
        <is>
          <t>Confidencial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HYPERLINK("https://www.elempleo.com/co/ofertas-trabajo/analista-de-facturacion-en-salud-1886772546",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8ea64e48a843110e</t>
        </is>
      </c>
      <c r="B73" s="2" t="inlineStr">
        <is>
          <t>2026-09-24 16:07</t>
        </is>
      </c>
      <c r="C73" s="3" t="inlineStr">
        <is>
          <t>Auxiliar de Digitación y Validación de Información</t>
        </is>
      </c>
      <c r="D73" s="3" t="inlineStr">
        <is>
          <t>Hy Cite</t>
        </is>
      </c>
      <c r="E73" s="7" t="n">
        <v>0.66</v>
      </c>
      <c r="F73" s="2" t="inlineStr">
        <is>
          <t>Remoto</t>
        </is>
      </c>
      <c r="G73" s="5">
        <f>HYPERLINK("https://co.linkedin.com/jobs/view/auxiliar-de-digitaci%C3%B3n-y-validaci%C3%B3n-de-informaci%C3%B3n-at-hy-cite-4444163970", "Ver Vacante")</f>
        <v/>
      </c>
      <c r="H73" s="6" t="inlineStr"/>
      <c r="I73" s="3" t="inlineStr">
        <is>
          <t>[Afinidad: 66/100 - Afinidad Moderada] Alta coincidencia técnica en Gestión Administrativa, Documental y Archivo.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0810fb157c23918e</t>
        </is>
      </c>
      <c r="B74" s="2" t="inlineStr">
        <is>
          <t>2026-09-24 16:07</t>
        </is>
      </c>
      <c r="C74" s="3" t="inlineStr">
        <is>
          <t>Junior Tax Accountant / Data entry</t>
        </is>
      </c>
      <c r="D74" s="3" t="inlineStr">
        <is>
          <t>George Dimov, CPA</t>
        </is>
      </c>
      <c r="E74" s="7" t="n">
        <v>0.6</v>
      </c>
      <c r="F74" s="2" t="inlineStr">
        <is>
          <t>Remoto</t>
        </is>
      </c>
      <c r="G74" s="5">
        <f>HYPERLINK("https://co.linkedin.com/jobs/view/junior-tax-accountant-data-entry-remote-at-george-dimov-cpa-4468922588", "Ver Vacante")</f>
        <v/>
      </c>
      <c r="H74" s="6" t="inlineStr"/>
      <c r="I74" s="3" t="inlineStr">
        <is>
          <t>[Afinidad: 60/100 -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b9e81da0bd12d416</t>
        </is>
      </c>
      <c r="B75" s="2" t="inlineStr">
        <is>
          <t>2026-09-24 16:07</t>
        </is>
      </c>
      <c r="C75" s="3" t="inlineStr">
        <is>
          <t>Auxiliar administrativo</t>
        </is>
      </c>
      <c r="D75" s="3" t="inlineStr">
        <is>
          <t>VR RISK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HYPERLINK("https://co.computrabajo.com/ofertas-de-trabajo/oferta-de-trabajo-de-auxiliar-administrativo-remoto-en-bogota-dc-08C32BD16679929A61373E686DCF3405",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60a767236cb83e2b</t>
        </is>
      </c>
      <c r="B76" s="2" t="inlineStr">
        <is>
          <t>2026-09-24 16:07</t>
        </is>
      </c>
      <c r="C76" s="3" t="inlineStr">
        <is>
          <t>Asistente Administrativo y de Operaciones</t>
        </is>
      </c>
      <c r="D76" s="3" t="inlineStr">
        <is>
          <t>Direct Home Solutions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HYPERLINK("https://co.computrabajo.com/ofertas-de-trabajo/oferta-de-trabajo-de-asistente-administrativo-y-de-operaciones-remoto-en-pereira-737F61DE07AA2E7F61373E686DCF3405", "Ver Vacante")</f>
        <v/>
      </c>
      <c r="H76" s="6" t="inlineStr">
        <is>
          <t>$ 2.600.000,00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04855c966d018926</t>
        </is>
      </c>
      <c r="B77" s="2" t="inlineStr">
        <is>
          <t>2026-09-24 16:07</t>
        </is>
      </c>
      <c r="C77" s="3" t="inlineStr">
        <is>
          <t>Auxiliar administrativo/a Vacante Inclusiva para personas con Discapacidad</t>
        </is>
      </c>
      <c r="D77" s="3" t="inlineStr">
        <is>
          <t>CENTRO DE EMPLEO Y TALENTO COLSUBSIDIO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HYPERLINK("https://co.computrabajo.com/ofertas-de-trabajo/oferta-de-trabajo-de-auxiliar-administrativoa-vacante-inclusiva-para-personas-con-discapacidad-en-bogota-dc-F5B96991A8C617B661373E686DCF3405",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a30e3afa7b66502b</t>
        </is>
      </c>
      <c r="B78" s="2" t="inlineStr">
        <is>
          <t>2026-09-24 16:07</t>
        </is>
      </c>
      <c r="C78" s="3" t="inlineStr">
        <is>
          <t>auxiliar administrativo/a</t>
        </is>
      </c>
      <c r="D78" s="3" t="inlineStr">
        <is>
          <t>ELITE SKIN ITALY S.A.S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HYPERLINK("https://co.computrabajo.com/ofertas-de-trabajo/oferta-de-trabajo-de-auxiliar-administrativoa-virtual-remoto-con-o-sin-experiencia-en-bogota-dc-246C4633B2C1D28D61373E686DCF3405",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899512a1b5af847f</t>
        </is>
      </c>
      <c r="B79" s="2" t="inlineStr">
        <is>
          <t>2026-09-24 16:07</t>
        </is>
      </c>
      <c r="C79" s="3" t="inlineStr">
        <is>
          <t>auxiliar contable y administrativo</t>
        </is>
      </c>
      <c r="D79" s="3" t="inlineStr">
        <is>
          <t>AZ LOGICA SAS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HYPERLINK("https://co.computrabajo.com/ofertas-de-trabajo/oferta-de-trabajo-de-auxiliar-contable-y-administrativo-en-bogota-dc-E79FB52CC71B1AAF61373E686DCF3405",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0048b5632ef5acf6</t>
        </is>
      </c>
      <c r="B80" s="2" t="inlineStr">
        <is>
          <t>2026-09-24 16:07</t>
        </is>
      </c>
      <c r="C80" s="3" t="inlineStr">
        <is>
          <t>Asistente Administrativo</t>
        </is>
      </c>
      <c r="D80" s="3" t="inlineStr">
        <is>
          <t>Naonsoft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HYPERLINK("https://co.computrabajo.com/ofertas-de-trabajo/oferta-de-trabajo-de-asistente-administrativo-en-medellin-268B37E50FB0D28461373E686DCF3405", "Ver Vacante")</f>
        <v/>
      </c>
      <c r="H80" s="6" t="inlineStr">
        <is>
          <t>Remoto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062ee3244ed08bb4</t>
        </is>
      </c>
      <c r="B81" s="2" t="inlineStr">
        <is>
          <t>2026-09-24 16:07</t>
        </is>
      </c>
      <c r="C81" s="3" t="inlineStr">
        <is>
          <t>Asistente de Servicio al Cliente y Administrativo</t>
        </is>
      </c>
      <c r="D81" s="3" t="inlineStr">
        <is>
          <t>Health and Fitness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1" s="6" t="inlineStr">
        <is>
          <t>$ 2.500.000,00 (Mensual)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90d5245bdef0186a</t>
        </is>
      </c>
      <c r="B82" s="2" t="inlineStr">
        <is>
          <t>2026-09-24 16:07</t>
        </is>
      </c>
      <c r="C82" s="3" t="inlineStr">
        <is>
          <t>Asistente administrativo y financiero</t>
        </is>
      </c>
      <c r="D82" s="3" t="inlineStr">
        <is>
          <t>SOLVO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HYPERLINK("https://co.computrabajo.com/ofertas-de-trabajo/oferta-de-trabajo-de-asistente-administrativo-y-financiero-b2-en-bogota-dc-8B5C137D8309F1F661373E686DCF3405", "Ver Vacante")</f>
        <v/>
      </c>
      <c r="H82" s="6" t="inlineStr">
        <is>
          <t>Remoto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760f13e3724f6b31</t>
        </is>
      </c>
      <c r="B83" s="2" t="inlineStr">
        <is>
          <t>2026-09-24 16:07</t>
        </is>
      </c>
      <c r="C83" s="3" t="inlineStr">
        <is>
          <t>Asistente administrativo y financiero</t>
        </is>
      </c>
      <c r="D83" s="3" t="inlineStr">
        <is>
          <t>SOLVO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HYPERLINK("https://co.computrabajo.com/ofertas-de-trabajo/oferta-de-trabajo-de-asistente-administrativo-y-financiero-b2-en-medellin-837774FFD1C514D261373E686DCF3405", "Ver Vacante")</f>
        <v/>
      </c>
      <c r="H83" s="6" t="inlineStr">
        <is>
          <t>Remoto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2d0d5c2d341e3d17</t>
        </is>
      </c>
      <c r="B84" s="2" t="inlineStr">
        <is>
          <t>2026-09-24 16:07</t>
        </is>
      </c>
      <c r="C84" s="3" t="inlineStr">
        <is>
          <t>Asistente administrativo y financiero</t>
        </is>
      </c>
      <c r="D84" s="3" t="inlineStr">
        <is>
          <t>SOLVO S.A.S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HYPERLINK("https://co.computrabajo.com/ofertas-de-trabajo/oferta-de-trabajo-de-asistente-administrativo-y-financiero-b2-en-barranquilla-08F31F737CD14CED61373E686DCF3405", "Ver Vacante")</f>
        <v/>
      </c>
      <c r="H84" s="6" t="inlineStr">
        <is>
          <t>Remoto</t>
        </is>
      </c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63592c52663ab0e0</t>
        </is>
      </c>
      <c r="B85" s="2" t="inlineStr">
        <is>
          <t>2026-09-24 16:07</t>
        </is>
      </c>
      <c r="C85" s="3" t="inlineStr">
        <is>
          <t>Auxiliar administrativo horario flexible remoto</t>
        </is>
      </c>
      <c r="D85" s="3" t="inlineStr">
        <is>
          <t>Empire Co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HYPERLINK("https://www.elempleo.com/co/ofertas-trabajo/auxiliar-administrativo-horario-flexible-remoto-1886769479",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729fb015086632d9</t>
        </is>
      </c>
      <c r="B86" s="2" t="inlineStr">
        <is>
          <t>2026-09-24 16:07</t>
        </is>
      </c>
      <c r="C86" s="3" t="inlineStr">
        <is>
          <t>Asistente de cuentas por pagar o tesoreria -remoto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HYPERLINK("https://www.elempleo.com/co/ofertas-trabajo/asistente-de-cuentas-por-pagar-o-tesoreria-remoto-1886744484",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e4a3b83ad6ab6438</t>
        </is>
      </c>
      <c r="B87" s="2" t="inlineStr">
        <is>
          <t>2026-09-24 16:07</t>
        </is>
      </c>
      <c r="C87" s="3" t="inlineStr">
        <is>
          <t>Auxiliar administrativo(a) - licencia</t>
        </is>
      </c>
      <c r="D87" s="3" t="inlineStr">
        <is>
          <t>FUCS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HYPERLINK("https://www.elempleo.com/co/ofertas-trabajo/auxiliar-administrativoa-licencia-1886759487",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2b1aa0caccddf7e4</t>
        </is>
      </c>
      <c r="B88" s="2" t="inlineStr">
        <is>
          <t>2026-09-24 16:07</t>
        </is>
      </c>
      <c r="C88" s="3" t="inlineStr">
        <is>
          <t>Auxiliar administrativo</t>
        </is>
      </c>
      <c r="D88" s="3" t="inlineStr">
        <is>
          <t>Cruz Roja Colombiana Seccional Cundinamarca y Bogotá.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HYPERLINK("https://www.elempleo.com/co/ofertas-trabajo/auxiliar-administrativo-1886753336",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f864b0373b9419ab</t>
        </is>
      </c>
      <c r="B89" s="2" t="inlineStr">
        <is>
          <t>2026-09-24 16:07</t>
        </is>
      </c>
      <c r="C89" s="3" t="inlineStr">
        <is>
          <t>Auxiliar administrativo -ciencias basicas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HYPERLINK("https://www.elempleo.com/co/ofertas-trabajo/auxiliar-administrativo-ciencias-basicas-1886759929",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00a48d615f284d91</t>
        </is>
      </c>
      <c r="B90" s="2" t="inlineStr">
        <is>
          <t>2026-09-24 16:07</t>
        </is>
      </c>
      <c r="C90" s="3" t="inlineStr">
        <is>
          <t>Auxiliar administrativo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HYPERLINK("https://www.elempleo.com/co/ofertas-trabajo/auxiliar-administrativo-bienestar-universitario-1886744996",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0544391db42d3941</t>
        </is>
      </c>
      <c r="B91" s="2" t="inlineStr">
        <is>
          <t>2026-09-24 16:07</t>
        </is>
      </c>
      <c r="C91" s="3" t="inlineStr">
        <is>
          <t>Auxiliar administrativo</t>
        </is>
      </c>
      <c r="D91" s="3" t="inlineStr">
        <is>
          <t>FUCS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HYPERLINK("https://www.elempleo.com/co/ofertas-trabajo/auxiliar-administrativoa-1886769676",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e4338d6723631384</t>
        </is>
      </c>
      <c r="B92" s="2" t="inlineStr">
        <is>
          <t>2026-09-24 16:07</t>
        </is>
      </c>
      <c r="C92" s="3" t="inlineStr">
        <is>
          <t>Auxiliar administrativo y de logística corporativa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HYPERLINK("https://www.elempleo.com/co/ofertas-trabajo/auxiliar-administrativo-y-de-logistica-corporativa-1886765843",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54d4c3f98f954a41</t>
        </is>
      </c>
      <c r="B93" s="2" t="inlineStr">
        <is>
          <t>2026-09-24 16:07</t>
        </is>
      </c>
      <c r="C93" s="3" t="inlineStr">
        <is>
          <t>Auxiliar administrativo educación continua</t>
        </is>
      </c>
      <c r="D93" s="3" t="inlineStr">
        <is>
          <t>Fundación Santa Fe de Bogotá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HYPERLINK("https://www.elempleo.com/co/ofertas-trabajo/auxiliar-administrativo-educacion-continua-1886750214",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e824af898bf9a932</t>
        </is>
      </c>
      <c r="B94" s="2" t="inlineStr">
        <is>
          <t>2026-09-24 16:07</t>
        </is>
      </c>
      <c r="C94" s="3" t="inlineStr">
        <is>
          <t>Auxiliar administrativo y financiero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HYPERLINK("https://www.elempleo.com/co/ofertas-trabajo/auxiliar-administrativo-y-financiero-1886753619",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54c86d8a0d796617</t>
        </is>
      </c>
      <c r="B95" s="2" t="inlineStr">
        <is>
          <t>2026-09-24 16:07</t>
        </is>
      </c>
      <c r="C95" s="3" t="inlineStr">
        <is>
          <t>Auxiliar administrativa</t>
        </is>
      </c>
      <c r="D95" s="3" t="inlineStr">
        <is>
          <t>ASISTALENTO SAS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HYPERLINK("https://www.elempleo.com/co/ofertas-trabajo/auxiliar-administrativa-1886767177",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372b28276b98282f</t>
        </is>
      </c>
      <c r="B96" s="2" t="inlineStr">
        <is>
          <t>2026-09-24 16:07</t>
        </is>
      </c>
      <c r="C96" s="3" t="inlineStr">
        <is>
          <t>Secretaria administrativa</t>
        </is>
      </c>
      <c r="D96" s="3" t="inlineStr">
        <is>
          <t>FUNDACIÓN ANDES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HYPERLINK("https://www.elempleo.com/co/ofertas-trabajo/secretaria-administrativa-1886756322",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cee8b3db11750755</t>
        </is>
      </c>
      <c r="B97" s="2" t="inlineStr">
        <is>
          <t>2026-09-24 16:07</t>
        </is>
      </c>
      <c r="C97" s="3" t="inlineStr">
        <is>
          <t>Auxiliar administrativo de obra</t>
        </is>
      </c>
      <c r="D97" s="3" t="inlineStr">
        <is>
          <t>GRUPO AR S.A.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HYPERLINK("https://www.elempleo.com/co/ofertas-trabajo/auxiliar-administrativo-de-obra-1886747241",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f86d411dd7ab31c0</t>
        </is>
      </c>
      <c r="B98" s="2" t="inlineStr">
        <is>
          <t>2026-09-24 16:07</t>
        </is>
      </c>
      <c r="C98" s="3" t="inlineStr">
        <is>
          <t>Asistente administrativa supernumeraria</t>
        </is>
      </c>
      <c r="D98" s="3" t="inlineStr">
        <is>
          <t>Grupo Good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HYPERLINK("https://www.elempleo.com/co/ofertas-trabajo/asistente-administrativa-supernumeraria-1886762173",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02d246dd2c1d19fd</t>
        </is>
      </c>
      <c r="B99" s="2" t="inlineStr">
        <is>
          <t>2026-09-24 16:07</t>
        </is>
      </c>
      <c r="C99" s="3" t="inlineStr">
        <is>
          <t>Asistente ejecutiva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HYPERLINK("https://www.elempleo.com/co/ofertas-trabajo/asistente-ejecutiva-1886745926",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b56bb36e9fc82e1e</t>
        </is>
      </c>
      <c r="B100" s="2" t="inlineStr">
        <is>
          <t>2026-09-24 16:07</t>
        </is>
      </c>
      <c r="C100" s="3" t="inlineStr">
        <is>
          <t>Asistente administrativo/a</t>
        </is>
      </c>
      <c r="D100" s="3" t="inlineStr">
        <is>
          <t>MEDICALL TALENTO HUMANO S.A.S.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HYPERLINK("https://www.elempleo.com/co/ofertas-trabajo/asistente-administrativo-a-1886747464",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58fe156c45c49fc4</t>
        </is>
      </c>
      <c r="B101" s="2" t="inlineStr">
        <is>
          <t>2026-09-24 16:07</t>
        </is>
      </c>
      <c r="C101" s="3" t="inlineStr">
        <is>
          <t>Asistente ejecutiva y personal de presidencia</t>
        </is>
      </c>
      <c r="D101" s="3" t="inlineStr">
        <is>
          <t>ADECCO COLOMBIA S A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HYPERLINK("https://www.elempleo.com/co/ofertas-trabajo/asistente-ejecutiva-y-personal-de-presidencia-1886765043",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c68c842aec0507f5</t>
        </is>
      </c>
      <c r="B102" s="2" t="inlineStr">
        <is>
          <t>2026-09-24 16:07</t>
        </is>
      </c>
      <c r="C102" s="3" t="inlineStr">
        <is>
          <t>Asistente administrativo y operativo</t>
        </is>
      </c>
      <c r="D102" s="3" t="inlineStr">
        <is>
          <t>ALIANZA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HYPERLINK("https://www.elempleo.com/co/ofertas-trabajo/asistente-administrativo-y-operativo-1886769341",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e55c41f8f35d0d12</t>
        </is>
      </c>
      <c r="B103" s="2" t="inlineStr">
        <is>
          <t>2026-09-24 16:07</t>
        </is>
      </c>
      <c r="C103" s="3" t="inlineStr">
        <is>
          <t>Asistente administrativa y comercial pereira</t>
        </is>
      </c>
      <c r="D103" s="3" t="inlineStr">
        <is>
          <t>EDITORIAL LA REPÚBLICA S.A.S.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HYPERLINK("https://www.elempleo.com/co/ofertas-trabajo/asistente-administrativa-y-comercial-pereira-1886746894",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0504d9833ad54912</t>
        </is>
      </c>
      <c r="B104" s="2" t="inlineStr">
        <is>
          <t>2026-09-24 16:07</t>
        </is>
      </c>
      <c r="C104" s="3" t="inlineStr">
        <is>
          <t>Asistente administrativo(a) at | bogotá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HYPERLINK("https://www.elempleo.com/co/ofertas-trabajo/asistente-administrativoa-at-bogota-1886765770",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bacc38002882c624</t>
        </is>
      </c>
      <c r="B105" s="2" t="inlineStr">
        <is>
          <t>2026-09-24 16:07</t>
        </is>
      </c>
      <c r="C105" s="3" t="inlineStr">
        <is>
          <t>Asistente administrativo</t>
        </is>
      </c>
      <c r="D105" s="3" t="inlineStr">
        <is>
          <t>POSSE HERRERA Y RUIZ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HYPERLINK("https://www.elempleo.com/co/ofertas-trabajo/asistente-administrativo-1886757128",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115c420d4e627838</t>
        </is>
      </c>
      <c r="B106" s="2" t="inlineStr">
        <is>
          <t>2026-09-24 16:07</t>
        </is>
      </c>
      <c r="C106" s="3" t="inlineStr">
        <is>
          <t>Recepcionista y asistente administrativa</t>
        </is>
      </c>
      <c r="D106" s="3" t="inlineStr">
        <is>
          <t>Colliers International Colombia S.A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HYPERLINK("https://www.elempleo.com/co/ofertas-trabajo/recepcionista-y-asistente-administrativa-1886769882",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0eafe890d09dc027</t>
        </is>
      </c>
      <c r="B107" s="2" t="inlineStr">
        <is>
          <t>2026-09-24 16:07</t>
        </is>
      </c>
      <c r="C107" s="3" t="inlineStr">
        <is>
          <t>Asistente administrativa y contable - chía | ref. 1626544466-1</t>
        </is>
      </c>
      <c r="D107" s="3" t="inlineStr">
        <is>
          <t>AGENCIA DE EMPLEO Y FOMENTO EMPRESARIAL COMPENSAR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HYPERLINK("https://www.elempleo.com/co/ofertas-trabajo/asistente-administrativa-y-contable-chia-ref-16265444661-1886766808",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7fdb3ec2bb49ce90</t>
        </is>
      </c>
      <c r="B108" s="2" t="inlineStr">
        <is>
          <t>2026-09-24 16:07</t>
        </is>
      </c>
      <c r="C108" s="3" t="inlineStr">
        <is>
          <t>Asistente administrativa y contable</t>
        </is>
      </c>
      <c r="D108" s="3" t="inlineStr">
        <is>
          <t>ASESORES FINANCIEROS Y TRIBUTARIOS GR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HYPERLINK("https://www.elempleo.com/co/ofertas-trabajo/asistente-administrativa-y-contable-1886758421",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08014f384f124ec4</t>
        </is>
      </c>
      <c r="B109" s="2" t="inlineStr">
        <is>
          <t>2026-09-24 16:07</t>
        </is>
      </c>
      <c r="C109" s="3" t="inlineStr">
        <is>
          <t>Asistente administrativo y contable - villeta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HYPERLINK("https://www.elempleo.com/co/ofertas-trabajo/asistente-administrativo-y-contable-villeta-1886759076",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c62a542387886bca</t>
        </is>
      </c>
      <c r="B110" s="2" t="inlineStr">
        <is>
          <t>2026-09-24 16:07</t>
        </is>
      </c>
      <c r="C110" s="3" t="inlineStr">
        <is>
          <t>Asistente administrativo y contable - villeta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HYPERLINK("https://www.elempleo.com/co/ofertas-trabajo/asistente-administrativo-y-contable-villeta-1886758361",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fec983a79bc46288</t>
        </is>
      </c>
      <c r="B111" s="2" t="inlineStr">
        <is>
          <t>2026-09-24 16:07</t>
        </is>
      </c>
      <c r="C111" s="3" t="inlineStr">
        <is>
          <t>Asistente administrativo y contable</t>
        </is>
      </c>
      <c r="D111" s="3" t="inlineStr">
        <is>
          <t>iLingo Integrated Solutions in Languages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HYPERLINK("https://www.elempleo.com/co/ofertas-trabajo/asistente-administrativo-y-contable-1886747606",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1871e0c68a13d38e</t>
        </is>
      </c>
      <c r="B112" s="2" t="inlineStr">
        <is>
          <t>2026-09-24 16:07</t>
        </is>
      </c>
      <c r="C112" s="3" t="inlineStr">
        <is>
          <t>Auxiliar contable - sap - bogota</t>
        </is>
      </c>
      <c r="D112" s="3" t="inlineStr">
        <is>
          <t>ADECCO COLOMBIA S 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HYPERLINK("https://www.elempleo.com/co/ofertas-trabajo/auxiliar-contable-sap-bogota-1886767163",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6367348e3671a1aa</t>
        </is>
      </c>
      <c r="B113" s="2" t="inlineStr">
        <is>
          <t>2026-09-24 16:07</t>
        </is>
      </c>
      <c r="C113" s="3" t="inlineStr">
        <is>
          <t>Asistente contable y administrativo con experiencia contable en sap, cartera y tesoreria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HYPERLINK("https://www.elempleo.com/co/ofertas-trabajo/asistente-contable-y-administrativo-con-experiencia-contable-en-sap-cartera-y-tesoreria-1886760656",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fa85204cef58799f</t>
        </is>
      </c>
      <c r="B114" s="2" t="inlineStr">
        <is>
          <t>2026-09-24 16:07</t>
        </is>
      </c>
      <c r="C114" s="3" t="inlineStr">
        <is>
          <t>Asistente contable y administrativo con experiencia contable en sap - cartera y tesoreria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HYPERLINK("https://www.elempleo.com/co/ofertas-trabajo/asistente-contable-y-administrativo-con-experiencia-contable-en-sap-cartera-y-tesoreria-1886766820",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d8062d850cbf46a1</t>
        </is>
      </c>
      <c r="B115" s="2" t="inlineStr">
        <is>
          <t>2026-09-24 16:07</t>
        </is>
      </c>
      <c r="C115" s="3" t="inlineStr">
        <is>
          <t>Digitador - 353703-113642</t>
        </is>
      </c>
      <c r="D115" s="3" t="inlineStr">
        <is>
          <t>AGENCIA DE EMPLEO Y FOMENTO EMPRESARIAL COMPENSAR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HYPERLINK("https://www.elempleo.com/co/ofertas-trabajo/digitador-353703113642-1886769566",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2f520ba083e2847f</t>
        </is>
      </c>
      <c r="B116" s="2" t="inlineStr">
        <is>
          <t>2026-09-24 16:07</t>
        </is>
      </c>
      <c r="C116" s="3" t="inlineStr">
        <is>
          <t>Digitador en planta de producción</t>
        </is>
      </c>
      <c r="D116" s="3" t="inlineStr">
        <is>
          <t>Prysmian Group - Procables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HYPERLINK("https://www.elempleo.com/co/ofertas-trabajo/digitador-en-planta-de-produccion-1886722751",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475f3966c5302ff0</t>
        </is>
      </c>
      <c r="B117" s="2" t="inlineStr">
        <is>
          <t>2026-09-24 16:07</t>
        </is>
      </c>
      <c r="C117" s="3" t="inlineStr">
        <is>
          <t>Analista de aduana - digitador opencomex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HYPERLINK("https://www.elempleo.com/co/ofertas-trabajo/analista-de-aduana-digitador-opencomex-1886762323",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107d0765b8dfce86</t>
        </is>
      </c>
      <c r="B118" s="2" t="inlineStr">
        <is>
          <t>2026-09-24 16:07</t>
        </is>
      </c>
      <c r="C118" s="3" t="inlineStr">
        <is>
          <t>Auxiliar digitador(a) de contabilidad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HYPERLINK("https://www.elempleo.com/co/ofertas-trabajo/auxiliar-digitadora-de-contabilidad-1886770758",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b1591783dbbcb1f9</t>
        </is>
      </c>
      <c r="B119" s="2" t="inlineStr">
        <is>
          <t>2026-09-24 16:07</t>
        </is>
      </c>
      <c r="C119" s="3" t="inlineStr">
        <is>
          <t>Analista de aduana - digitador opencomex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HYPERLINK("https://www.elempleo.com/co/ofertas-trabajo/analista-de-aduana-digitador-opencomex-1886763468",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cfe8b8276b28373b</t>
        </is>
      </c>
      <c r="B120" s="2" t="inlineStr">
        <is>
          <t>2026-09-24 16:07</t>
        </is>
      </c>
      <c r="C120" s="3" t="inlineStr">
        <is>
          <t>Analista de aduana - digitador opencomex - santa marta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HYPERLINK("https://www.elempleo.com/co/ofertas-trabajo/analista-de-aduana-digitador-opencomex-santa-marta-1886762869",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01c7ac97b62a3626</t>
        </is>
      </c>
      <c r="B121" s="2" t="inlineStr">
        <is>
          <t>2026-09-24 16:07</t>
        </is>
      </c>
      <c r="C121" s="3" t="inlineStr">
        <is>
          <t>Auxiliar digitador(a) de contabilidad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HYPERLINK("https://www.elempleo.com/co/ofertas-trabajo/auxiliar-digitadora-de-contabilidad-1886761791",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2fc59d447ad455e1</t>
        </is>
      </c>
      <c r="B122" s="2" t="inlineStr">
        <is>
          <t>2026-09-24 16:07</t>
        </is>
      </c>
      <c r="C122" s="3" t="inlineStr">
        <is>
          <t>Digitador comercial interno</t>
        </is>
      </c>
      <c r="D122" s="3" t="inlineStr">
        <is>
          <t>TEMPORIZAR SERVICIOS TEMPORALES SAS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HYPERLINK("https://www.elempleo.com/co/ofertas-trabajo/digitador-comercial-interno-1886746080",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e58059d4e095bd7a</t>
        </is>
      </c>
      <c r="B123" s="2" t="inlineStr">
        <is>
          <t>2026-09-24 16:07</t>
        </is>
      </c>
      <c r="C123" s="3" t="inlineStr">
        <is>
          <t>Apoyo facturación - palmira</t>
        </is>
      </c>
      <c r="D123" s="3" t="inlineStr">
        <is>
          <t>ALQUERIA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HYPERLINK("https://www.elempleo.com/co/ofertas-trabajo/apoyo-facturacion-palmira-1886758686", "Ver Vacante")</f>
        <v/>
      </c>
      <c r="H123" s="6" t="inlineStr"/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62e7c31c63a388da</t>
        </is>
      </c>
      <c r="B124" s="2" t="inlineStr">
        <is>
          <t>2026-09-24 16:07</t>
        </is>
      </c>
      <c r="C124" s="3" t="inlineStr">
        <is>
          <t>Recepcion y facturacion de laboratorio clínico</t>
        </is>
      </c>
      <c r="D124" s="3" t="inlineStr">
        <is>
          <t>Fundación Santa Fe de Bogotá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HYPERLINK("https://www.elempleo.com/co/ofertas-trabajo/recepcion-y-facturacion-de-laboratorio-clinico-1886761193",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6eafefaa9d4e76e6</t>
        </is>
      </c>
      <c r="B125" s="2" t="inlineStr">
        <is>
          <t>2026-09-24 16:07</t>
        </is>
      </c>
      <c r="C125" s="3" t="inlineStr">
        <is>
          <t>Recepcionista facturación en laboratorio clínico</t>
        </is>
      </c>
      <c r="D125" s="3" t="inlineStr">
        <is>
          <t>Fundación Santa Fe de Bogotá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HYPERLINK("https://www.elempleo.com/co/ofertas-trabajo/recepcionista-facturacion-en-laboratorio-clinico-1886753959",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1ac2af8aa1b80d19</t>
        </is>
      </c>
      <c r="B126" s="2" t="inlineStr">
        <is>
          <t>2026-09-24 16:07</t>
        </is>
      </c>
      <c r="C126" s="3" t="inlineStr">
        <is>
          <t>Recepcionista facturación en laboratorio clínico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HYPERLINK("https://www.elempleo.com/co/ofertas-trabajo/recepcionista-facturacion-en-laboratorio-clinico-1886746927",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5fb21eaeba4e417d</t>
        </is>
      </c>
      <c r="B127" s="2" t="inlineStr">
        <is>
          <t>2026-09-24 16:07</t>
        </is>
      </c>
      <c r="C127" s="3" t="inlineStr">
        <is>
          <t>Gestor de Facturación e Ingresos // Remoto</t>
        </is>
      </c>
      <c r="D127" s="3" t="inlineStr">
        <is>
          <t>Siigo</t>
        </is>
      </c>
      <c r="E127" s="7" t="n">
        <v>0.58</v>
      </c>
      <c r="F127" s="2" t="inlineStr">
        <is>
          <t>Remoto</t>
        </is>
      </c>
      <c r="G127" s="5">
        <f>HYPERLINK("https://co.linkedin.com/jobs/view/gestor-de-facturaci%C3%B3n-e-ingresos-remoto-pcd-at-siigo-4463333674",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acc279cbcc202e8c</t>
        </is>
      </c>
      <c r="B128" s="2" t="inlineStr">
        <is>
          <t>2026-09-24 16:07</t>
        </is>
      </c>
      <c r="C128" s="3" t="inlineStr">
        <is>
          <t>Data Entry Clerk</t>
        </is>
      </c>
      <c r="D128" s="3" t="inlineStr">
        <is>
          <t>Hired</t>
        </is>
      </c>
      <c r="E128" s="7" t="n">
        <v>0.58</v>
      </c>
      <c r="F128" s="2" t="inlineStr">
        <is>
          <t>Remoto</t>
        </is>
      </c>
      <c r="G128" s="5">
        <f>HYPERLINK("https://co.linkedin.com/jobs/view/data-entry-clerk-remote-at-hired-4466319108",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c9df64f69713d9c3</t>
        </is>
      </c>
      <c r="B129" s="2" t="inlineStr">
        <is>
          <t>2026-09-24 16:07</t>
        </is>
      </c>
      <c r="C129" s="3" t="inlineStr">
        <is>
          <t>Client Intake and Data Entry Specialist</t>
        </is>
      </c>
      <c r="D129" s="3" t="inlineStr">
        <is>
          <t>Job Duck</t>
        </is>
      </c>
      <c r="E129" s="7" t="n">
        <v>0.58</v>
      </c>
      <c r="F129" s="2" t="inlineStr">
        <is>
          <t>Remoto</t>
        </is>
      </c>
      <c r="G129" s="5">
        <f>HYPERLINK("https://co.linkedin.com/jobs/view/client-intake-and-data-entry-specialist-at-job-duck-4469179215",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bfd4f2e4c8eb51d6</t>
        </is>
      </c>
      <c r="B130" s="2" t="inlineStr">
        <is>
          <t>2026-09-24 16:07</t>
        </is>
      </c>
      <c r="C130" s="3" t="inlineStr">
        <is>
          <t>Data Entry Specialist - Remote Work | REF#169097</t>
        </is>
      </c>
      <c r="D130" s="3" t="inlineStr">
        <is>
          <t>BairesDev</t>
        </is>
      </c>
      <c r="E130" s="7" t="n">
        <v>0.58</v>
      </c>
      <c r="F130" s="2" t="inlineStr">
        <is>
          <t>Remoto</t>
        </is>
      </c>
      <c r="G130" s="5">
        <f>HYPERLINK("https://co.linkedin.com/jobs/view/data-entry-specialist-remote-work-ref%23169097-at-bairesdev-4140196697",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f71b85e853980a5b</t>
        </is>
      </c>
      <c r="B131" s="2" t="inlineStr">
        <is>
          <t>2026-09-24 16:07</t>
        </is>
      </c>
      <c r="C131" s="3" t="inlineStr">
        <is>
          <t>Data Entry Specialist</t>
        </is>
      </c>
      <c r="D131" s="3" t="inlineStr">
        <is>
          <t>Booth</t>
        </is>
      </c>
      <c r="E131" s="7" t="n">
        <v>0.58</v>
      </c>
      <c r="F131" s="2" t="inlineStr">
        <is>
          <t>Remoto</t>
        </is>
      </c>
      <c r="G131" s="5">
        <f>HYPERLINK("https://co.linkedin.com/jobs/view/data-entry-specialist-at-booth-4468950013",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b124540f32e77f79</t>
        </is>
      </c>
      <c r="B132" s="2" t="inlineStr">
        <is>
          <t>2026-09-24 16:07</t>
        </is>
      </c>
      <c r="C132" s="3" t="inlineStr">
        <is>
          <t>Digitador</t>
        </is>
      </c>
      <c r="D132" s="3" t="inlineStr">
        <is>
          <t>Iron Mountain</t>
        </is>
      </c>
      <c r="E132" s="7" t="n">
        <v>0.58</v>
      </c>
      <c r="F132" s="2" t="inlineStr">
        <is>
          <t>Remoto</t>
        </is>
      </c>
      <c r="G132" s="5">
        <f>HYPERLINK("https://co.linkedin.com/jobs/view/digitador-at-iron-mountain-4468884742",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648f264595161cd7</t>
        </is>
      </c>
      <c r="B133" s="2" t="inlineStr">
        <is>
          <t>2026-09-24 16:07</t>
        </is>
      </c>
      <c r="C133" s="3" t="inlineStr">
        <is>
          <t>Auxiliar Administrativa de Vicepresidencia Bilingüe</t>
        </is>
      </c>
      <c r="D133" s="3" t="inlineStr">
        <is>
          <t>Adecco</t>
        </is>
      </c>
      <c r="E133" s="7" t="n">
        <v>0.58</v>
      </c>
      <c r="F133" s="2" t="inlineStr">
        <is>
          <t>Remoto</t>
        </is>
      </c>
      <c r="G133" s="5">
        <f>HYPERLINK("https://co.linkedin.com/jobs/view/auxiliar-administrativa-de-vicepresidencia-biling%C3%BCe-at-adecco-4469224990",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eb90ed56020b1176</t>
        </is>
      </c>
      <c r="B134" s="2" t="inlineStr">
        <is>
          <t>2026-09-24 16:07</t>
        </is>
      </c>
      <c r="C134" s="3" t="inlineStr">
        <is>
          <t>Inside Sales Contractor</t>
        </is>
      </c>
      <c r="D134" s="3" t="inlineStr">
        <is>
          <t>Credit Wellness, LLC</t>
        </is>
      </c>
      <c r="E134" s="7" t="n">
        <v>0.58</v>
      </c>
      <c r="F134" s="2" t="inlineStr">
        <is>
          <t>Remoto</t>
        </is>
      </c>
      <c r="G134" s="5">
        <f>HYPERLINK("https://remotive.com/remote-jobs/sales/inside-sales-contractor-2086540", "Ver Vacante")</f>
        <v/>
      </c>
      <c r="H134" s="6" t="inlineStr">
        <is>
          <t>OTE $25k - $35k</t>
        </is>
      </c>
      <c r="I134" s="3" t="inlineStr">
        <is>
          <t>[Afinidad: 58/100 - Afinidad Moderada] Alta coincidencia técnica en Herramientas Ofimáticas, Excel y Soporte Contable / Facturación.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ebabcd51596d0d3b</t>
        </is>
      </c>
      <c r="B135" s="2" t="inlineStr">
        <is>
          <t>2026-09-25 15:56</t>
        </is>
      </c>
      <c r="C135" s="3" t="inlineStr">
        <is>
          <t>Auxiliar contable y administrativo</t>
        </is>
      </c>
      <c r="D135" s="3" t="inlineStr">
        <is>
          <t>ACTIVE ACCOUNTING GROUP</t>
        </is>
      </c>
      <c r="E135" s="7" t="n">
        <v>0.58</v>
      </c>
      <c r="F135" s="2" t="inlineStr">
        <is>
          <t>Remoto</t>
        </is>
      </c>
      <c r="G135" s="5">
        <f>HYPERLINK("https://co.computrabajo.com/ofertas-de-trabajo/oferta-de-trabajo-de-auxiliar-contable-y-administrativo-con-experiencia-en-el-santuario-C71D6812AE6D474061373E686DCF3405", "Ver Vacante")</f>
        <v/>
      </c>
      <c r="H135" s="6" t="inlineStr">
        <is>
          <t>$ 1.750.905,00 (Mensual)</t>
        </is>
      </c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e12bdf1aa280de03</t>
        </is>
      </c>
      <c r="B136" s="2" t="inlineStr">
        <is>
          <t>2026-09-25 15:56</t>
        </is>
      </c>
      <c r="C136" s="3" t="inlineStr">
        <is>
          <t>Auxiliar administrativo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HYPERLINK("https://www.elempleo.com/co/ofertas-trabajo/auxiliar-administrativoa-1886768459",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b1fccbf6d15bddc2</t>
        </is>
      </c>
      <c r="B137" s="2" t="inlineStr">
        <is>
          <t>2026-09-25 15:56</t>
        </is>
      </c>
      <c r="C137" s="3" t="inlineStr">
        <is>
          <t>Asistente administrativa</t>
        </is>
      </c>
      <c r="D137" s="3" t="inlineStr">
        <is>
          <t>Dra Lina Bedoya Odontologia Estetica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HYPERLINK("https://www.elempleo.com/co/ofertas-trabajo/asistente-administrativa-1886766293",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db6a52513ae159ab</t>
        </is>
      </c>
      <c r="B138" s="2" t="inlineStr">
        <is>
          <t>2026-09-25 15:56</t>
        </is>
      </c>
      <c r="C138" s="3" t="inlineStr">
        <is>
          <t>Auxiliar contable - sap - bogota</t>
        </is>
      </c>
      <c r="D138" s="3" t="inlineStr">
        <is>
          <t>ADECCO COLOMBIA S 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HYPERLINK("https://www.elempleo.com/co/ofertas-trabajo/auxiliar-contable-sap-bogota-1886767591",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ae9358eb43bb2f5b</t>
        </is>
      </c>
      <c r="B139" s="2" t="inlineStr">
        <is>
          <t>2026-09-25 15:56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HYPERLINK("https://www.elempleo.com/co/ofertas-trabajo/auxiliar-contable-sap-bogota-1886767165",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daa8b5315dfb38c2</t>
        </is>
      </c>
      <c r="B140" s="2" t="inlineStr">
        <is>
          <t>2026-09-25 15:56</t>
        </is>
      </c>
      <c r="C140" s="3" t="inlineStr">
        <is>
          <t>Auxiliar contable - sap - bogota</t>
        </is>
      </c>
      <c r="D140" s="3" t="inlineStr">
        <is>
          <t>ADECCO COLOMBIA S A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HYPERLINK("https://www.elempleo.com/co/ofertas-trabajo/auxiliar-contable-sap-bogota-1886767164",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2d35aa26ef7d8409</t>
        </is>
      </c>
      <c r="B141" s="2" t="inlineStr">
        <is>
          <t>2026-09-25 15:56</t>
        </is>
      </c>
      <c r="C141" s="3" t="inlineStr">
        <is>
          <t>Almacenista digitador</t>
        </is>
      </c>
      <c r="D141" s="3" t="inlineStr">
        <is>
          <t>Confidencial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HYPERLINK("https://www.elempleo.com/co/ofertas-trabajo/almacenista-digitador-1886754273",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a36cc8c2293d75bb</t>
        </is>
      </c>
      <c r="B142" s="2" t="inlineStr">
        <is>
          <t>2026-09-25 15:56</t>
        </is>
      </c>
      <c r="C142" s="3" t="inlineStr">
        <is>
          <t>Aux de facturacion - personas con discapacidad - bogota</t>
        </is>
      </c>
      <c r="D142" s="3" t="inlineStr">
        <is>
          <t>Quirón Prevención Colombia S.A.S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HYPERLINK("https://www.elempleo.com/co/ofertas-trabajo/aux-de-facturacion-personas-con-discapacidad-bogota-1886768842",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e482852a389226cd</t>
        </is>
      </c>
      <c r="B143" s="2" t="inlineStr">
        <is>
          <t>2026-09-25 15:56</t>
        </is>
      </c>
      <c r="C143" s="3" t="inlineStr">
        <is>
          <t>Ejecutivo de cuenta / facturación electrónica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HYPERLINK("https://www.elempleo.com/co/ofertas-trabajo/ejecutivo-de-cuenta-facturacion-electronica-1886754585",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0dfab7dcd9959d45</t>
        </is>
      </c>
      <c r="B144" s="2" t="inlineStr">
        <is>
          <t>2026-09-25 15:56</t>
        </is>
      </c>
      <c r="C144" s="3" t="inlineStr">
        <is>
          <t>Recepcion y facturacion de laboratorio clínico</t>
        </is>
      </c>
      <c r="D144" s="3" t="inlineStr">
        <is>
          <t>Fundación Santa Fe de Bogotá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HYPERLINK("https://www.elempleo.com/co/ofertas-trabajo/recepcion-y-facturacion-de-laboratorio-clinico-1886771931",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f89540ec077787b1</t>
        </is>
      </c>
      <c r="B145" s="2" t="inlineStr">
        <is>
          <t>2026-09-26 15:05</t>
        </is>
      </c>
      <c r="C145" s="3" t="inlineStr">
        <is>
          <t>Auxiliar administrativo</t>
        </is>
      </c>
      <c r="D145" s="3" t="inlineStr">
        <is>
          <t>FUCS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HYPERLINK("https://www.elempleo.com/co/ofertas-trabajo/auxiliar-administrativoa-1886772558",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abffa88133eaa978</t>
        </is>
      </c>
      <c r="B146" s="2" t="inlineStr">
        <is>
          <t>2026-09-26 15:05</t>
        </is>
      </c>
      <c r="C146" s="3" t="inlineStr">
        <is>
          <t>Almacenista digitador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HYPERLINK("https://www.elempleo.com/co/ofertas-trabajo/almacenista-digitador-1886749637",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e4ad43c355211b6e</t>
        </is>
      </c>
      <c r="B147" s="2" t="inlineStr">
        <is>
          <t>2026-09-26 15:05</t>
        </is>
      </c>
      <c r="C147" s="3" t="inlineStr">
        <is>
          <t>Aux de facturacion - personas con discapacidad - bogota</t>
        </is>
      </c>
      <c r="D147" s="3" t="inlineStr">
        <is>
          <t>Quirón Prevención Colombia S.A.S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HYPERLINK("https://www.elempleo.com/co/ofertas-trabajo/aux-de-facturacion-personas-con-discapacidad-bogota-1886772337", "Ver Vacante")</f>
        <v/>
      </c>
      <c r="H147" s="6" t="inlineStr"/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ebfb9e3d2b3f916c</t>
        </is>
      </c>
      <c r="B148" s="2" t="inlineStr">
        <is>
          <t>2026-09-26 15:05</t>
        </is>
      </c>
      <c r="C148" s="3" t="inlineStr">
        <is>
          <t>Recepcion y facturacion de laboratorio clínico</t>
        </is>
      </c>
      <c r="D148" s="3" t="inlineStr">
        <is>
          <t>Fundación Santa Fe de Bogotá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HYPERLINK("https://www.elempleo.com/co/ofertas-trabajo/recepcion-y-facturacion-de-laboratorio-clinico-1886767371",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8478e893d783ed5e</t>
        </is>
      </c>
      <c r="B149" s="2" t="inlineStr">
        <is>
          <t>2026-09-26 15:05</t>
        </is>
      </c>
      <c r="C149" s="3" t="inlineStr">
        <is>
          <t>Recepcion y facturacion de laboratorio clinico</t>
        </is>
      </c>
      <c r="D149" s="3" t="inlineStr">
        <is>
          <t>Fundación Santa Fe de Bogotá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HYPERLINK("https://www.elempleo.com/co/ofertas-trabajo/recepcion-y-facturacion-de-laboratorio-clinico-1886760903",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d45621f8599206ec</t>
        </is>
      </c>
      <c r="B150" s="2" t="inlineStr">
        <is>
          <t>2026-09-26 15:05</t>
        </is>
      </c>
      <c r="C150" s="3" t="inlineStr">
        <is>
          <t>Data Entry Specialist</t>
        </is>
      </c>
      <c r="D150" s="3" t="inlineStr">
        <is>
          <t>ZEISS Group</t>
        </is>
      </c>
      <c r="E150" s="7" t="n">
        <v>0.58</v>
      </c>
      <c r="F150" s="2" t="inlineStr">
        <is>
          <t>Remoto</t>
        </is>
      </c>
      <c r="G150" s="5">
        <f>HYPERLINK("https://co.linkedin.com/jobs/view/data-entry-specialist-at-zeiss-group-4467880077",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6051bd21daa83566</t>
        </is>
      </c>
      <c r="B151" s="2" t="inlineStr">
        <is>
          <t>2026-09-28 18:38</t>
        </is>
      </c>
      <c r="C151" s="3" t="inlineStr">
        <is>
          <t>Auxiliar contable y administrativo</t>
        </is>
      </c>
      <c r="D151" s="3" t="inlineStr">
        <is>
          <t>distrigomez seguros</t>
        </is>
      </c>
      <c r="E151" s="7" t="n">
        <v>0.58</v>
      </c>
      <c r="F151" s="2" t="inlineStr">
        <is>
          <t>Remoto</t>
        </is>
      </c>
      <c r="G151" s="5">
        <f>HYPERLINK("https://co.computrabajo.com/ofertas-de-trabajo/oferta-de-trabajo-de-auxiliar-contable-y-administrativo-trabajo-desde-casa-en-pereira-3EEDFFC0D2447F8B61373E686DCF3405", "Ver Vacante")</f>
        <v/>
      </c>
      <c r="H151" s="6" t="inlineStr">
        <is>
          <t>$ 1.750.905,00 (Mensual)</t>
        </is>
      </c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1a7a81ed9e2a4160</t>
        </is>
      </c>
      <c r="B152" s="2" t="inlineStr">
        <is>
          <t>2026-09-28 18:38</t>
        </is>
      </c>
      <c r="C152" s="3" t="inlineStr">
        <is>
          <t>Auxiliar administrativo(a) - campus neiva</t>
        </is>
      </c>
      <c r="D152" s="3" t="inlineStr">
        <is>
          <t>Universidad Cooperativa de Colombia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HYPERLINK("https://www.elempleo.com/co/ofertas-trabajo/auxiliar-administrativoa-campus-neiva-1886773020",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a81375d5a4201305</t>
        </is>
      </c>
      <c r="B153" s="2" t="inlineStr">
        <is>
          <t>2026-09-28 18:38</t>
        </is>
      </c>
      <c r="C153" s="3" t="inlineStr">
        <is>
          <t>Digitador - bogotá</t>
        </is>
      </c>
      <c r="D153" s="3" t="inlineStr">
        <is>
          <t>BUREAU VERITAS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HYPERLINK("https://www.elempleo.com/co/ofertas-trabajo/digitador-bogota-1886762709",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9164fad20028594e</t>
        </is>
      </c>
      <c r="B154" s="2" t="inlineStr">
        <is>
          <t>2026-09-29 17:03</t>
        </is>
      </c>
      <c r="C154" s="3" t="inlineStr">
        <is>
          <t>Digitador(a) de nómina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HYPERLINK("https://www.elempleo.com/co/ofertas-trabajo/digitadora-de-nomina-1886773344",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eb9248ba68f06027</t>
        </is>
      </c>
      <c r="B155" s="2" t="inlineStr">
        <is>
          <t>2026-09-29 17:03</t>
        </is>
      </c>
      <c r="C155" s="3" t="inlineStr">
        <is>
          <t>Young Professional – Data Entry - Remote Work</t>
        </is>
      </c>
      <c r="D155" s="3" t="inlineStr">
        <is>
          <t>BairesDev</t>
        </is>
      </c>
      <c r="E155" s="7" t="n">
        <v>0.58</v>
      </c>
      <c r="F155" s="2" t="inlineStr">
        <is>
          <t>Remoto</t>
        </is>
      </c>
      <c r="G155" s="5">
        <f>HYPERLINK("https://co.linkedin.com/jobs/view/young-professional-%E2%80%93-data-entry-remote-work-at-bairesdev-4471917951",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ab0015399fb0fd5a</t>
        </is>
      </c>
      <c r="B156" s="2" t="inlineStr">
        <is>
          <t>2026-09-30 16:51</t>
        </is>
      </c>
      <c r="C156" s="3" t="inlineStr">
        <is>
          <t>Cali- asistente administrativo y contable</t>
        </is>
      </c>
      <c r="D156" s="3" t="inlineStr">
        <is>
          <t>GERENCIA SELECTA SAS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HYPERLINK("https://www.elempleo.com/co/ofertas-trabajo/cali-asistente-administrativo-y-contable-1886774199",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f151a5101fd2098d</t>
        </is>
      </c>
      <c r="B157" s="2" t="inlineStr">
        <is>
          <t>2026-09-30 16:51</t>
        </is>
      </c>
      <c r="C157" s="3" t="inlineStr">
        <is>
          <t>Auxiliar contable y administrativo 212747-148845</t>
        </is>
      </c>
      <c r="D157" s="3" t="inlineStr">
        <is>
          <t>AGENCIA DE EMPLEO Y FOMENTO EMPRESARIAL COMPENSAR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HYPERLINK("https://www.elempleo.com/co/ofertas-trabajo/auxiliar-contable-y-administrativo-212747148845-1886774053",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2ad924abc5b01201</t>
        </is>
      </c>
      <c r="B158" s="2" t="inlineStr">
        <is>
          <t>2026-09-30 16:51</t>
        </is>
      </c>
      <c r="C158" s="3" t="inlineStr">
        <is>
          <t>Auxiliar administrativa y contable- mosquera- 1626546205-1</t>
        </is>
      </c>
      <c r="D158" s="3" t="inlineStr">
        <is>
          <t>AGENCIA DE EMPLEO Y FOMENTO EMPRESARIAL COMPENSAR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HYPERLINK("https://www.elempleo.com/co/ofertas-trabajo/auxiliar-administrativa-y-contable-mosquera-16265462051-1886773852",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cb0d1367aba57052</t>
        </is>
      </c>
      <c r="B159" s="2" t="inlineStr">
        <is>
          <t>2026-09-30 16:51</t>
        </is>
      </c>
      <c r="C159" s="3" t="inlineStr">
        <is>
          <t>Client Intake and Data Entry Specialist</t>
        </is>
      </c>
      <c r="D159" s="3" t="inlineStr">
        <is>
          <t>Job Duck</t>
        </is>
      </c>
      <c r="E159" s="7" t="n">
        <v>0.58</v>
      </c>
      <c r="F159" s="2" t="inlineStr">
        <is>
          <t>Remoto</t>
        </is>
      </c>
      <c r="G159" s="5">
        <f>HYPERLINK("https://co.linkedin.com/jobs/view/client-intake-and-data-entry-specialist-at-job-duck-4473785617",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aa2ff4b012a2356b</t>
        </is>
      </c>
      <c r="B160" s="2" t="inlineStr">
        <is>
          <t>2026-09-30 16:51</t>
        </is>
      </c>
      <c r="C160" s="3" t="inlineStr">
        <is>
          <t>Data entry specialist</t>
        </is>
      </c>
      <c r="D160" s="3" t="inlineStr">
        <is>
          <t>Naur Talent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HYPERLINK("https://co.linkedin.com/jobs/view/data-entry-specialist-at-naur-talent-4473907227",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0fb7813f6ca58c19</t>
        </is>
      </c>
      <c r="B161" s="2" t="inlineStr">
        <is>
          <t>2026-10-01 17:28</t>
        </is>
      </c>
      <c r="C161" s="3" t="inlineStr">
        <is>
          <t>Data Entry Assistant</t>
        </is>
      </c>
      <c r="D161" s="3" t="inlineStr">
        <is>
          <t>NEO - New Estate Only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HYPERLINK("https://co.linkedin.com/jobs/view/data-entry-assistant-at-neo-new-estate-only-4474342064",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e03aa4c6959d3eb4</t>
        </is>
      </c>
      <c r="B162" s="2" t="inlineStr">
        <is>
          <t>2026-10-03 15:14</t>
        </is>
      </c>
      <c r="C162" s="3" t="inlineStr">
        <is>
          <t>Auxiliar administrativo/a Vacante Inclusiva para personas con Discapacidad</t>
        </is>
      </c>
      <c r="D162" s="3" t="inlineStr">
        <is>
          <t>CENTRO DE EMPLEO Y TALENTO COLSUBSIDIO</t>
        </is>
      </c>
      <c r="E162" s="7" t="n">
        <v>0.58</v>
      </c>
      <c r="F162" s="2" t="inlineStr">
        <is>
          <t>Remoto</t>
        </is>
      </c>
      <c r="G162" s="5">
        <f>HYPERLINK("https://co.computrabajo.com/ofertas-de-trabajo/oferta-de-trabajo-de-auxiliar-administrativoa-vacante-inclusiva-para-personas-con-discapacidad-en-bogota-dc-C48470AF94C2CBCC61373E686DCF3405", "Ver Vacante")</f>
        <v/>
      </c>
      <c r="H162" s="6" t="inlineStr">
        <is>
          <t>Remoto</t>
        </is>
      </c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1a638820869677f4</t>
        </is>
      </c>
      <c r="B163" s="2" t="inlineStr">
        <is>
          <t>2026-10-03 15:14</t>
        </is>
      </c>
      <c r="C163" s="3" t="inlineStr">
        <is>
          <t>Asistente administrativa</t>
        </is>
      </c>
      <c r="D163" s="3" t="inlineStr">
        <is>
          <t>Valgroup Realty LLC</t>
        </is>
      </c>
      <c r="E163" s="7" t="n">
        <v>0.58</v>
      </c>
      <c r="F163" s="2" t="inlineStr">
        <is>
          <t>Remoto</t>
        </is>
      </c>
      <c r="G163" s="5">
        <f>HYPERLINK("https://co.computrabajo.com/ofertas-de-trabajo/oferta-de-trabajo-de-asistente-administrativa-con-conocimiento-del-idioma-ingles-en-bucaramanga-E109D498CC2B20FD61373E686DCF3405", "Ver Vacante")</f>
        <v/>
      </c>
      <c r="H163" s="6" t="inlineStr">
        <is>
          <t>Remoto</t>
        </is>
      </c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d310964f2dc8e97e</t>
        </is>
      </c>
      <c r="B164" s="2" t="inlineStr">
        <is>
          <t>2026-10-05 19:48</t>
        </is>
      </c>
      <c r="C164" s="3" t="inlineStr">
        <is>
          <t>Aprendiz sena - auxiliar de servicio al cliente y ventas digitales remoto</t>
        </is>
      </c>
      <c r="D164" s="3" t="inlineStr">
        <is>
          <t>M&amp;S VITAMINS SAS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HYPERLINK("https://www.elempleo.com/co/ofertas-trabajo/aprendiz-sena-auxiliar-de-servicio-al-cliente-y-ventas-digitales-remoto-1886776017",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feadb7d6306993cf</t>
        </is>
      </c>
      <c r="B165" s="2" t="inlineStr">
        <is>
          <t>2026-10-05 19:48</t>
        </is>
      </c>
      <c r="C165" s="3" t="inlineStr">
        <is>
          <t>Asistente administrativa</t>
        </is>
      </c>
      <c r="D165" s="3" t="inlineStr">
        <is>
          <t>MENTORHUB COLOMBIA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HYPERLINK("https://www.elempleo.com/co/ofertas-trabajo/asistente-administrativa-1886776241",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6dae76f41229d9ff</t>
        </is>
      </c>
      <c r="B166" s="2" t="inlineStr">
        <is>
          <t>2026-10-06 17:14</t>
        </is>
      </c>
      <c r="C166" s="3" t="inlineStr">
        <is>
          <t>Auxiliar Administrativo desde casa</t>
        </is>
      </c>
      <c r="D166" s="3" t="inlineStr">
        <is>
          <t>POLITÉCNICO INTERNACIONAL DE OCCIDENTE</t>
        </is>
      </c>
      <c r="E166" s="7" t="n">
        <v>0.58</v>
      </c>
      <c r="F166" s="2" t="inlineStr">
        <is>
          <t>Remoto</t>
        </is>
      </c>
      <c r="G166" s="5">
        <f>HYPERLINK("https://co.computrabajo.com/ofertas-de-trabajo/oferta-de-trabajo-de-auxiliar-administrativo-desde-casa-personal-con-discapacidad-en-bogota-dc-5A794030AFDA0F8661373E686DCF3405", "Ver Vacante")</f>
        <v/>
      </c>
      <c r="H166" s="6" t="inlineStr">
        <is>
          <t>Remoto</t>
        </is>
      </c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d59b1a44f5bebbdc</t>
        </is>
      </c>
      <c r="B167" s="2" t="inlineStr">
        <is>
          <t>2026-10-06 17:14</t>
        </is>
      </c>
      <c r="C167" s="3" t="inlineStr">
        <is>
          <t>Auxiliar contable y administrativo</t>
        </is>
      </c>
      <c r="D167" s="3" t="inlineStr">
        <is>
          <t>TALENT SPEAKERS COLOMBIA SAS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HYPERLINK("https://www.elempleo.com/co/ofertas-trabajo/auxiliar-contable-y-administrativo-1886775760",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bab8c57875b70054</t>
        </is>
      </c>
      <c r="B168" s="2" t="inlineStr">
        <is>
          <t>2026-09-24 16:07</t>
        </is>
      </c>
      <c r="C168" s="3" t="inlineStr">
        <is>
          <t>Analista de Servicio al Cliente Digital / Personal con Discapacidad</t>
        </is>
      </c>
      <c r="D168" s="3" t="inlineStr">
        <is>
          <t>HOME BURGERS</t>
        </is>
      </c>
      <c r="E168" s="7" t="n">
        <v>0.53</v>
      </c>
      <c r="F168" s="2" t="inlineStr">
        <is>
          <t>Remoto</t>
        </is>
      </c>
      <c r="G168" s="5">
        <f>HYPERLINK("https://co.computrabajo.com/ofertas-de-trabajo/oferta-de-trabajo-de-analista-de-servicio-al-cliente-digital-personal-con-discapacidad-en-bogota-dc-11CE94961396D4CF61373E686DCF3405", "Ver Vacante")</f>
        <v/>
      </c>
      <c r="H168" s="6" t="inlineStr">
        <is>
          <t>$ 1.750.000,00 (Mensual)</t>
        </is>
      </c>
      <c r="I168" s="3" t="inlineStr">
        <is>
          <t>[Afinidad: 53/100 -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e4553a32da3edf6d</t>
        </is>
      </c>
      <c r="B169" s="2" t="inlineStr">
        <is>
          <t>2026-09-24 16:07</t>
        </is>
      </c>
      <c r="C169" s="3" t="inlineStr">
        <is>
          <t>Asesor de Servicio al Cliente / Remoto</t>
        </is>
      </c>
      <c r="D169" s="3" t="inlineStr">
        <is>
          <t>SIIGO S.A.S</t>
        </is>
      </c>
      <c r="E169" s="7" t="n">
        <v>0.53</v>
      </c>
      <c r="F169" s="2" t="inlineStr">
        <is>
          <t>Remoto</t>
        </is>
      </c>
      <c r="G169" s="5">
        <f>HYPERLINK("https://co.computrabajo.com/ofertas-de-trabajo/oferta-de-trabajo-de-asesor-de-servicio-al-cliente-remoto-en-bogota-dc-00C206C9966382F961373E686DCF3405", "Ver Vacante")</f>
        <v/>
      </c>
      <c r="H169" s="6" t="inlineStr">
        <is>
          <t>$ 1.750.905,00 (Mensual)</t>
        </is>
      </c>
      <c r="I169" s="3" t="inlineStr">
        <is>
          <t>[Afinidad: 53/100 -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838f39602895a4e7</t>
        </is>
      </c>
      <c r="B170" s="2" t="inlineStr">
        <is>
          <t>2026-10-03 15:14</t>
        </is>
      </c>
      <c r="C170" s="3" t="inlineStr">
        <is>
          <t>Analista de facturación (billing analyst)/ inglés b2 /híbrido</t>
        </is>
      </c>
      <c r="D170" s="3" t="inlineStr">
        <is>
          <t>MANPOWER</t>
        </is>
      </c>
      <c r="E170" s="7" t="n">
        <v>0.53</v>
      </c>
      <c r="F170" s="2" t="inlineStr">
        <is>
          <t>Hibrido</t>
        </is>
      </c>
      <c r="G170" s="5">
        <f>HYPERLINK("https://www.elempleo.com/co/ofertas-trabajo/analista-de-facturacion-billing-analyst-ingles-b2-hibrido-1886773841", "Ver Vacante")</f>
        <v/>
      </c>
      <c r="H170" s="6" t="inlineStr"/>
      <c r="I170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c2dea1f07ef53647</t>
        </is>
      </c>
      <c r="B171" s="2" t="inlineStr">
        <is>
          <t>2026-10-06 17:14</t>
        </is>
      </c>
      <c r="C171" s="3" t="inlineStr">
        <is>
          <t>Consultor sap fi-gl / fi-aa s/4hana - remoto colombia</t>
        </is>
      </c>
      <c r="D171" s="3" t="inlineStr">
        <is>
          <t>TALYCAP GLOBAL SAS</t>
        </is>
      </c>
      <c r="E171" s="7" t="n">
        <v>0.53</v>
      </c>
      <c r="F171" s="2" t="inlineStr">
        <is>
          <t>Remoto</t>
        </is>
      </c>
      <c r="G171" s="5">
        <f>HYPERLINK("https://www.elempleo.com/co/ofertas-trabajo/consultor-sap-figl-fiaa-s-4hana-remoto-colombia-1886776900", "Ver Vacante")</f>
        <v/>
      </c>
      <c r="H171" s="6" t="inlineStr"/>
      <c r="I171" s="3" t="inlineStr">
        <is>
          <t>[Afinidad: 53/100 -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cd1036bcf66024dc</t>
        </is>
      </c>
      <c r="B172" s="2" t="inlineStr">
        <is>
          <t>2026-09-26 15:05</t>
        </is>
      </c>
      <c r="C172" s="3" t="inlineStr">
        <is>
          <t>Aprendiz practicante administrativo</t>
        </is>
      </c>
      <c r="D172" s="3" t="inlineStr">
        <is>
          <t>Bold.co</t>
        </is>
      </c>
      <c r="E172" s="7" t="n">
        <v>0.5</v>
      </c>
      <c r="F172" s="2" t="inlineStr">
        <is>
          <t>Remoto</t>
        </is>
      </c>
      <c r="G172" s="5">
        <f>HYPERLINK("https://co.linkedin.com/jobs/view/aprendiz-practicante-administrativo-etapa-productiva-at-bold-4457032181", "Ver Vacante")</f>
        <v/>
      </c>
      <c r="H172" s="6" t="inlineStr"/>
      <c r="I172" s="3" t="inlineStr">
        <is>
          <t>[Afinidad: 50/100 - Afinidad Moderada] Afinidad en rol base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dbdce1eb16060a6a</t>
        </is>
      </c>
      <c r="B173" s="2" t="inlineStr">
        <is>
          <t>2026-09-28 18:38</t>
        </is>
      </c>
      <c r="C173" s="3" t="inlineStr">
        <is>
          <t>Auxiliar contable jr</t>
        </is>
      </c>
      <c r="D173" s="3" t="inlineStr">
        <is>
          <t>Confidencial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HYPERLINK("https://www.elempleo.com/co/ofertas-trabajo/auxiliar-contable-jr-1886767584", "Ver Vacante")</f>
        <v/>
      </c>
      <c r="H173" s="6" t="inlineStr"/>
      <c r="I173" s="3" t="inlineStr">
        <is>
          <t>[Afinidad: 50/100 - Afinidad Moderada] Afinidad en rol base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550ad8afea6faf9b</t>
        </is>
      </c>
      <c r="B174" s="2" t="inlineStr">
        <is>
          <t>2026-09-28 18:38</t>
        </is>
      </c>
      <c r="C174" s="3" t="inlineStr">
        <is>
          <t>Auxiliar Contable Junior</t>
        </is>
      </c>
      <c r="D174" s="3" t="inlineStr">
        <is>
          <t>Ariadna Communications Group</t>
        </is>
      </c>
      <c r="E174" s="7" t="n">
        <v>0.5</v>
      </c>
      <c r="F174" s="2" t="inlineStr">
        <is>
          <t>Remoto</t>
        </is>
      </c>
      <c r="G174" s="5">
        <f>HYPERLINK("https://co.linkedin.com/jobs/view/auxiliar-contable-junior-at-ariadna-communications-group-4472764062", "Ver Vacante")</f>
        <v/>
      </c>
      <c r="H174" s="6" t="inlineStr"/>
      <c r="I174" s="3" t="inlineStr">
        <is>
          <t>[Afinidad: 50/100 - Afinidad Moderada] Afinidad en rol base (Auxiliar Administrativo / Asistente Virtual). Modalidad: 100% Remoto en Colombia confirmado.</t>
        </is>
      </c>
      <c r="J174" s="2" t="inlineStr">
        <is>
          <t>Nueva</t>
        </is>
      </c>
      <c r="K17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2026-10-06T17:14:52Z</dcterms:created>
  <dcterms:modified xmlns:dcterms="http://purl.org/dc/terms/" xmlns:xsi="http://www.w3.org/2001/XMLSchema-instance" xsi:type="dcterms:W3CDTF">2026-10-06T17:14:52Z</dcterms:modified>
</cp:coreProperties>
</file>