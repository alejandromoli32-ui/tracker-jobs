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d7b10cded83b71f2</t>
        </is>
      </c>
      <c r="B74" s="2" t="inlineStr">
        <is>
          <t>2026-09-24 16:07</t>
        </is>
      </c>
      <c r="C74" s="3" t="inlineStr">
        <is>
          <t>Analista junior de facturación y telecomunicaciones</t>
        </is>
      </c>
      <c r="D74" s="3" t="inlineStr">
        <is>
          <t>TP COLOMBIA</t>
        </is>
      </c>
      <c r="E74" s="4" t="n">
        <v>0.7</v>
      </c>
      <c r="F74" s="2" t="inlineStr">
        <is>
          <t>Remoto</t>
        </is>
      </c>
      <c r="G74" s="5">
        <f>HYPERLINK("https://www.elempleo.com/co/ofertas-trabajo/analista-junior-de-facturacion-y-telecomunicaciones-1886758607", "Ver Vacante")</f>
        <v/>
      </c>
      <c r="H74" s="6" t="inlineStr"/>
      <c r="I74" s="3" t="inlineStr">
        <is>
          <t>[Afinidad: 70/100 -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7c8e4b63802fbfdd</t>
        </is>
      </c>
      <c r="B75" s="2" t="inlineStr">
        <is>
          <t>2026-09-24 16:07</t>
        </is>
      </c>
      <c r="C75" s="3" t="inlineStr">
        <is>
          <t>Analista de facturacion - mocoa</t>
        </is>
      </c>
      <c r="D75" s="3" t="inlineStr">
        <is>
          <t>Clínica Medilaser S.A.S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HYPERLINK("https://www.elempleo.com/co/ofertas-trabajo/analista-de-facturacion-mocoa-1886758704",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6a1a399dbe055821</t>
        </is>
      </c>
      <c r="B76" s="2" t="inlineStr">
        <is>
          <t>2026-09-24 16:07</t>
        </is>
      </c>
      <c r="C76" s="3" t="inlineStr">
        <is>
          <t>Analista de facturación</t>
        </is>
      </c>
      <c r="D76" s="3" t="inlineStr">
        <is>
          <t>CONTINAUTOS S.A.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HYPERLINK("https://www.elempleo.com/co/ofertas-trabajo/analista-de-facturacion-1886758032",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8d104e6e0596782f</t>
        </is>
      </c>
      <c r="B77" s="2" t="inlineStr">
        <is>
          <t>2026-09-24 16:07</t>
        </is>
      </c>
      <c r="C77" s="3" t="inlineStr">
        <is>
          <t>Analista de facturación - zipaquira</t>
        </is>
      </c>
      <c r="D77" s="3" t="inlineStr">
        <is>
          <t>Confidencial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HYPERLINK("https://www.elempleo.com/co/ofertas-trabajo/analista-de-facturacion-zipaquira-1886769380",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30c981b787bd9e84</t>
        </is>
      </c>
      <c r="B78" s="2" t="inlineStr">
        <is>
          <t>2026-09-24 16:07</t>
        </is>
      </c>
      <c r="C78" s="3" t="inlineStr">
        <is>
          <t>Analista de facturación</t>
        </is>
      </c>
      <c r="D78" s="3" t="inlineStr">
        <is>
          <t>IMPULSO TEMPORAL SAS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HYPERLINK("https://www.elempleo.com/co/ofertas-trabajo/analista-de-facturacion-1886751641",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6ba85335e71be4cc</t>
        </is>
      </c>
      <c r="B79" s="2" t="inlineStr">
        <is>
          <t>2026-09-24 16:07</t>
        </is>
      </c>
      <c r="C79" s="3" t="inlineStr">
        <is>
          <t>Analista de Facturacion</t>
        </is>
      </c>
      <c r="D79" s="3" t="inlineStr">
        <is>
          <t>Experian Spanish Latam</t>
        </is>
      </c>
      <c r="E79" s="7" t="n">
        <v>0.68</v>
      </c>
      <c r="F79" s="2" t="inlineStr">
        <is>
          <t>Remoto</t>
        </is>
      </c>
      <c r="G79" s="5">
        <f>HYPERLINK("https://co.linkedin.com/jobs/view/analista-de-facturacion-at-experian-spanish-latam-4462035775",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0ba2c0ed565928ee</t>
        </is>
      </c>
      <c r="B80" s="2" t="inlineStr">
        <is>
          <t>2026-09-24 16:07</t>
        </is>
      </c>
      <c r="C80" s="3" t="inlineStr">
        <is>
          <t>Analista de facturación y gasto</t>
        </is>
      </c>
      <c r="D80" s="3" t="inlineStr">
        <is>
          <t>AXA Partners</t>
        </is>
      </c>
      <c r="E80" s="7" t="n">
        <v>0.68</v>
      </c>
      <c r="F80" s="2" t="inlineStr">
        <is>
          <t>Remoto</t>
        </is>
      </c>
      <c r="G80" s="5">
        <f>HYPERLINK("https://co.linkedin.com/jobs/view/analista-de-facturaci%C3%B3n-y-gasto-at-axa-partners-4468296274",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2adbc58cb85c19c7</t>
        </is>
      </c>
      <c r="B81" s="2" t="inlineStr">
        <is>
          <t>2026-09-24 16:07</t>
        </is>
      </c>
      <c r="C81" s="3" t="inlineStr">
        <is>
          <t>Analista de Facturación de servicios</t>
        </is>
      </c>
      <c r="D81" s="3" t="inlineStr">
        <is>
          <t>Américas BPS</t>
        </is>
      </c>
      <c r="E81" s="7" t="n">
        <v>0.68</v>
      </c>
      <c r="F81" s="2" t="inlineStr">
        <is>
          <t>Remoto</t>
        </is>
      </c>
      <c r="G81" s="5">
        <f>HYPERLINK("https://co.linkedin.com/jobs/view/analista-de-facturaci%C3%B3n-de-servicios-at-am%C3%A9ricas-bps-4464891719",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a831855f10d17417</t>
        </is>
      </c>
      <c r="B82" s="2" t="inlineStr">
        <is>
          <t>2026-09-25 15:56</t>
        </is>
      </c>
      <c r="C82" s="3" t="inlineStr">
        <is>
          <t>Analista de facturación</t>
        </is>
      </c>
      <c r="D82" s="3" t="inlineStr">
        <is>
          <t>Confidencial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HYPERLINK("https://www.elempleo.com/co/ofertas-trabajo/analista-de-facturacion-1886756696",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d59df408fc52566d</t>
        </is>
      </c>
      <c r="B83" s="2" t="inlineStr">
        <is>
          <t>2026-09-25 15:56</t>
        </is>
      </c>
      <c r="C83" s="3" t="inlineStr">
        <is>
          <t>Analista de facturación- manejo de sap -</t>
        </is>
      </c>
      <c r="D83" s="3" t="inlineStr">
        <is>
          <t>Confidencial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HYPERLINK("https://www.elempleo.com/co/ofertas-trabajo/analista-de-facturacion-manejo-de-sap-1886756806",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a1b8ba55f8922e99</t>
        </is>
      </c>
      <c r="B84" s="2" t="inlineStr">
        <is>
          <t>2026-09-25 15:56</t>
        </is>
      </c>
      <c r="C84" s="3" t="inlineStr">
        <is>
          <t>Analista de cartera y facturación</t>
        </is>
      </c>
      <c r="D84" s="3" t="inlineStr">
        <is>
          <t>MENTORHUB COLOMBIA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HYPERLINK("https://www.elempleo.com/co/ofertas-trabajo/analista-de-cartera-y-facturacion-1886741299",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62e18b4bd9d42926</t>
        </is>
      </c>
      <c r="B85" s="2" t="inlineStr">
        <is>
          <t>2026-09-26 15:05</t>
        </is>
      </c>
      <c r="C85" s="3" t="inlineStr">
        <is>
          <t>Analista de control operativo y facturación aduanera</t>
        </is>
      </c>
      <c r="D85" s="3" t="inlineStr">
        <is>
          <t>crane ww logistics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HYPERLINK("https://www.elempleo.com/co/ofertas-trabajo/analista-de-control-operativo-y-facturacion-aduanera-1886771256",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62ab67e660127864</t>
        </is>
      </c>
      <c r="B86" s="2" t="inlineStr">
        <is>
          <t>2026-09-28 18:38</t>
        </is>
      </c>
      <c r="C86" s="3" t="inlineStr">
        <is>
          <t>Analista de facturación y cartera</t>
        </is>
      </c>
      <c r="D86" s="3" t="inlineStr">
        <is>
          <t>DON MAKINON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HYPERLINK("https://www.elempleo.com/co/ofertas-trabajo/analista-de-facturacion-y-cartera-1886773105",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39bf6fcb2b2ffb07</t>
        </is>
      </c>
      <c r="B87" s="2" t="inlineStr">
        <is>
          <t>2026-09-30 16:51</t>
        </is>
      </c>
      <c r="C87" s="3" t="inlineStr">
        <is>
          <t>Analista de facturación - medellín</t>
        </is>
      </c>
      <c r="D87" s="3" t="inlineStr">
        <is>
          <t>SERVICIOS DE AUDITORIA Y CONSULTORIA DE NEGOCIOS SAS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HYPERLINK("https://www.elempleo.com/co/ofertas-trabajo/analista-de-facturacion-medellin-1886754458",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65f969075798969c</t>
        </is>
      </c>
      <c r="B88" s="2" t="inlineStr">
        <is>
          <t>2026-10-06 17:14</t>
        </is>
      </c>
      <c r="C88" s="3" t="inlineStr">
        <is>
          <t>Analista de facturación en salud</t>
        </is>
      </c>
      <c r="D88" s="3" t="inlineStr">
        <is>
          <t>Confidencial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HYPERLINK("https://www.elempleo.com/co/ofertas-trabajo/analista-de-facturacion-en-salud-1886772546",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d9914a231367448b</t>
        </is>
      </c>
      <c r="B89" s="2" t="inlineStr">
        <is>
          <t>2026-10-11 16:45</t>
        </is>
      </c>
      <c r="C89" s="3" t="inlineStr">
        <is>
          <t>Analista de facturación en salud</t>
        </is>
      </c>
      <c r="D89" s="3" t="inlineStr">
        <is>
          <t>Confidencial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HYPERLINK("https://www.elempleo.com/co/ofertas-trabajo/analista-de-facturacion-en-salud-1886772545",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4af7e52faa9f8409</t>
        </is>
      </c>
      <c r="B90" s="2" t="inlineStr">
        <is>
          <t>2026-10-12 20:20</t>
        </is>
      </c>
      <c r="C90" s="3" t="inlineStr">
        <is>
          <t>Analista de facturación hospitalario</t>
        </is>
      </c>
      <c r="D90" s="3" t="inlineStr">
        <is>
          <t>INSTITUTO ROOSEVELT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HYPERLINK("https://www.elempleo.com/co/ofertas-trabajo/analista-de-facturacion-hospitalario-1886773997",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b208b09ef2cd03c6</t>
        </is>
      </c>
      <c r="B91" s="2" t="inlineStr">
        <is>
          <t>2026-10-12 20:20</t>
        </is>
      </c>
      <c r="C91" s="3" t="inlineStr">
        <is>
          <t>Analista de facturacion hospitalaria</t>
        </is>
      </c>
      <c r="D91" s="3" t="inlineStr">
        <is>
          <t>CLINICA SHAIO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HYPERLINK("https://www.elempleo.com/co/ofertas-trabajo/analista-de-facturacion-hospitalaria-1886771961",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ce912c6817a7c4c6</t>
        </is>
      </c>
      <c r="B92" s="2" t="inlineStr">
        <is>
          <t>2026-10-17 14:17</t>
        </is>
      </c>
      <c r="C92" s="3" t="inlineStr">
        <is>
          <t>Analista de facturación</t>
        </is>
      </c>
      <c r="D92" s="3" t="inlineStr">
        <is>
          <t>Pro TALENTI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HYPERLINK("https://www.elempleo.com/co/ofertas-trabajo/analista-de-facturacion-1886690944",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8ea64e48a843110e</t>
        </is>
      </c>
      <c r="B93" s="2" t="inlineStr">
        <is>
          <t>2026-09-24 16:07</t>
        </is>
      </c>
      <c r="C93" s="3" t="inlineStr">
        <is>
          <t>Auxiliar de Digitación y Validación de Información</t>
        </is>
      </c>
      <c r="D93" s="3" t="inlineStr">
        <is>
          <t>Hy Cite</t>
        </is>
      </c>
      <c r="E93" s="7" t="n">
        <v>0.66</v>
      </c>
      <c r="F93" s="2" t="inlineStr">
        <is>
          <t>Remoto</t>
        </is>
      </c>
      <c r="G93" s="5">
        <f>HYPERLINK("https://co.linkedin.com/jobs/view/auxiliar-de-digitaci%C3%B3n-y-validaci%C3%B3n-de-informaci%C3%B3n-at-hy-cite-4444163970", "Ver Vacante")</f>
        <v/>
      </c>
      <c r="H93" s="6" t="inlineStr"/>
      <c r="I93" s="3" t="inlineStr">
        <is>
          <t>[Afinidad: 66/100 - Afinidad Moderada] Alta coincidencia técnica en Gestión Administrativa, Documental y Archivo.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0810fb157c23918e</t>
        </is>
      </c>
      <c r="B94" s="2" t="inlineStr">
        <is>
          <t>2026-09-24 16:07</t>
        </is>
      </c>
      <c r="C94" s="3" t="inlineStr">
        <is>
          <t>Junior Tax Accountant / Data entry</t>
        </is>
      </c>
      <c r="D94" s="3" t="inlineStr">
        <is>
          <t>George Dimov, CPA</t>
        </is>
      </c>
      <c r="E94" s="7" t="n">
        <v>0.6</v>
      </c>
      <c r="F94" s="2" t="inlineStr">
        <is>
          <t>Remoto</t>
        </is>
      </c>
      <c r="G94" s="5">
        <f>HYPERLINK("https://co.linkedin.com/jobs/view/junior-tax-accountant-data-entry-remote-at-george-dimov-cpa-4468922588", "Ver Vacante")</f>
        <v/>
      </c>
      <c r="H94" s="6" t="inlineStr"/>
      <c r="I94" s="3" t="inlineStr">
        <is>
          <t>[Afinidad: 60/100 -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e9f0dba8da234b07</t>
        </is>
      </c>
      <c r="B95" s="2" t="inlineStr">
        <is>
          <t>2026-10-15 15:43</t>
        </is>
      </c>
      <c r="C95" s="3" t="inlineStr">
        <is>
          <t>Data Entry Jr.</t>
        </is>
      </c>
      <c r="D95" s="3" t="inlineStr">
        <is>
          <t>VIP Universal Medical Insurance Group (VUMI)</t>
        </is>
      </c>
      <c r="E95" s="7" t="n">
        <v>0.6</v>
      </c>
      <c r="F95" s="2" t="inlineStr">
        <is>
          <t>Remoto</t>
        </is>
      </c>
      <c r="G95" s="5">
        <f>HYPERLINK("https://co.linkedin.com/jobs/view/data-entry-jr-at-vip-universal-medical-insurance-group-vumi-4476487517", "Ver Vacante")</f>
        <v/>
      </c>
      <c r="H95" s="6" t="inlineStr"/>
      <c r="I95" s="3" t="inlineStr">
        <is>
          <t>[Afinidad: 60/100 -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b9e81da0bd12d416</t>
        </is>
      </c>
      <c r="B96" s="2" t="inlineStr">
        <is>
          <t>2026-09-24 16:07</t>
        </is>
      </c>
      <c r="C96" s="3" t="inlineStr">
        <is>
          <t>Auxiliar administrativo</t>
        </is>
      </c>
      <c r="D96" s="3" t="inlineStr">
        <is>
          <t>VR RISK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HYPERLINK("https://co.computrabajo.com/ofertas-de-trabajo/oferta-de-trabajo-de-auxiliar-administrativo-remoto-en-bogota-dc-08C32BD16679929A61373E686DCF3405", "Ver Vacante")</f>
        <v/>
      </c>
      <c r="H96" s="6" t="inlineStr">
        <is>
          <t>$ 2.000.000,00 (Mensual)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60a767236cb83e2b</t>
        </is>
      </c>
      <c r="B97" s="2" t="inlineStr">
        <is>
          <t>2026-09-24 16:07</t>
        </is>
      </c>
      <c r="C97" s="3" t="inlineStr">
        <is>
          <t>Asistente Administrativo y de Operaciones</t>
        </is>
      </c>
      <c r="D97" s="3" t="inlineStr">
        <is>
          <t>Direct Home Solutions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HYPERLINK("https://co.computrabajo.com/ofertas-de-trabajo/oferta-de-trabajo-de-asistente-administrativo-y-de-operaciones-remoto-en-pereira-737F61DE07AA2E7F61373E686DCF3405", "Ver Vacante")</f>
        <v/>
      </c>
      <c r="H97" s="6" t="inlineStr">
        <is>
          <t>$ 2.600.000,00 (Mensual)</t>
        </is>
      </c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04855c966d018926</t>
        </is>
      </c>
      <c r="B98" s="2" t="inlineStr">
        <is>
          <t>2026-09-24 16:07</t>
        </is>
      </c>
      <c r="C98" s="3" t="inlineStr">
        <is>
          <t>Auxiliar administrativo/a Vacante Inclusiva para personas con Discapacidad</t>
        </is>
      </c>
      <c r="D98" s="3" t="inlineStr">
        <is>
          <t>CENTRO DE EMPLEO Y TALENTO COLSUBSIDIO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HYPERLINK("https://co.computrabajo.com/ofertas-de-trabajo/oferta-de-trabajo-de-auxiliar-administrativoa-vacante-inclusiva-para-personas-con-discapacidad-en-bogota-dc-F5B96991A8C617B661373E686DCF3405", "Ver Vacante")</f>
        <v/>
      </c>
      <c r="H98" s="6" t="inlineStr">
        <is>
          <t>$ 2.000.000,00 (Mensual)</t>
        </is>
      </c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a30e3afa7b66502b</t>
        </is>
      </c>
      <c r="B99" s="2" t="inlineStr">
        <is>
          <t>2026-09-24 16:07</t>
        </is>
      </c>
      <c r="C99" s="3" t="inlineStr">
        <is>
          <t>auxiliar administrativo/a</t>
        </is>
      </c>
      <c r="D99" s="3" t="inlineStr">
        <is>
          <t>ELITE SKIN ITALY S.A.S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HYPERLINK("https://co.computrabajo.com/ofertas-de-trabajo/oferta-de-trabajo-de-auxiliar-administrativoa-virtual-remoto-con-o-sin-experiencia-en-bogota-dc-246C4633B2C1D28D61373E686DCF3405", "Ver Vacante")</f>
        <v/>
      </c>
      <c r="H99" s="6" t="inlineStr">
        <is>
          <t>$ 2.000.000,00 (Mensual)</t>
        </is>
      </c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899512a1b5af847f</t>
        </is>
      </c>
      <c r="B100" s="2" t="inlineStr">
        <is>
          <t>2026-09-24 16:07</t>
        </is>
      </c>
      <c r="C100" s="3" t="inlineStr">
        <is>
          <t>auxiliar contable y administrativo</t>
        </is>
      </c>
      <c r="D100" s="3" t="inlineStr">
        <is>
          <t>AZ LOGICA SAS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HYPERLINK("https://co.computrabajo.com/ofertas-de-trabajo/oferta-de-trabajo-de-auxiliar-contable-y-administrativo-en-bogota-dc-E79FB52CC71B1AAF61373E686DCF3405", "Ver Vacante")</f>
        <v/>
      </c>
      <c r="H100" s="6" t="inlineStr">
        <is>
          <t>$ 2.000.000,00 (Mensual)</t>
        </is>
      </c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0048b5632ef5acf6</t>
        </is>
      </c>
      <c r="B101" s="2" t="inlineStr">
        <is>
          <t>2026-09-24 16:07</t>
        </is>
      </c>
      <c r="C101" s="3" t="inlineStr">
        <is>
          <t>Asistente Administrativo</t>
        </is>
      </c>
      <c r="D101" s="3" t="inlineStr">
        <is>
          <t>Naonsoft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HYPERLINK("https://co.computrabajo.com/ofertas-de-trabajo/oferta-de-trabajo-de-asistente-administrativo-en-medellin-268B37E50FB0D28461373E686DCF3405", "Ver Vacante")</f>
        <v/>
      </c>
      <c r="H101" s="6" t="inlineStr">
        <is>
          <t>Remoto</t>
        </is>
      </c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062ee3244ed08bb4</t>
        </is>
      </c>
      <c r="B102" s="2" t="inlineStr">
        <is>
          <t>2026-09-24 16:07</t>
        </is>
      </c>
      <c r="C102" s="3" t="inlineStr">
        <is>
          <t>Asistente de Servicio al Cliente y Administrativo</t>
        </is>
      </c>
      <c r="D102" s="3" t="inlineStr">
        <is>
          <t>Health and Fitness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02" s="6" t="inlineStr">
        <is>
          <t>$ 2.500.000,00 (Mensual)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90d5245bdef0186a</t>
        </is>
      </c>
      <c r="B103" s="2" t="inlineStr">
        <is>
          <t>2026-09-24 16:07</t>
        </is>
      </c>
      <c r="C103" s="3" t="inlineStr">
        <is>
          <t>Asistente administrativo y financiero</t>
        </is>
      </c>
      <c r="D103" s="3" t="inlineStr">
        <is>
          <t>SOLVO S.A.S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HYPERLINK("https://co.computrabajo.com/ofertas-de-trabajo/oferta-de-trabajo-de-asistente-administrativo-y-financiero-b2-en-bogota-dc-8B5C137D8309F1F661373E686DCF3405", "Ver Vacante")</f>
        <v/>
      </c>
      <c r="H103" s="6" t="inlineStr">
        <is>
          <t>Remoto</t>
        </is>
      </c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760f13e3724f6b31</t>
        </is>
      </c>
      <c r="B104" s="2" t="inlineStr">
        <is>
          <t>2026-09-24 16:07</t>
        </is>
      </c>
      <c r="C104" s="3" t="inlineStr">
        <is>
          <t>Asistente administrativo y financiero</t>
        </is>
      </c>
      <c r="D104" s="3" t="inlineStr">
        <is>
          <t>SOLVO S.A.S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HYPERLINK("https://co.computrabajo.com/ofertas-de-trabajo/oferta-de-trabajo-de-asistente-administrativo-y-financiero-b2-en-medellin-837774FFD1C514D261373E686DCF3405", "Ver Vacante")</f>
        <v/>
      </c>
      <c r="H104" s="6" t="inlineStr">
        <is>
          <t>Remoto</t>
        </is>
      </c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2d0d5c2d341e3d17</t>
        </is>
      </c>
      <c r="B105" s="2" t="inlineStr">
        <is>
          <t>2026-09-24 16:07</t>
        </is>
      </c>
      <c r="C105" s="3" t="inlineStr">
        <is>
          <t>Asistente administrativo y financiero</t>
        </is>
      </c>
      <c r="D105" s="3" t="inlineStr">
        <is>
          <t>SOLVO S.A.S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HYPERLINK("https://co.computrabajo.com/ofertas-de-trabajo/oferta-de-trabajo-de-asistente-administrativo-y-financiero-b2-en-barranquilla-08F31F737CD14CED61373E686DCF3405", "Ver Vacante")</f>
        <v/>
      </c>
      <c r="H105" s="6" t="inlineStr">
        <is>
          <t>Remoto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63592c52663ab0e0</t>
        </is>
      </c>
      <c r="B106" s="2" t="inlineStr">
        <is>
          <t>2026-09-24 16:07</t>
        </is>
      </c>
      <c r="C106" s="3" t="inlineStr">
        <is>
          <t>Auxiliar administrativo horario flexible remoto</t>
        </is>
      </c>
      <c r="D106" s="3" t="inlineStr">
        <is>
          <t>Empire Co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HYPERLINK("https://www.elempleo.com/co/ofertas-trabajo/auxiliar-administrativo-horario-flexible-remoto-1886769479",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729fb015086632d9</t>
        </is>
      </c>
      <c r="B107" s="2" t="inlineStr">
        <is>
          <t>2026-09-24 16:07</t>
        </is>
      </c>
      <c r="C107" s="3" t="inlineStr">
        <is>
          <t>Asistente de cuentas por pagar o tesoreria -remoto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HYPERLINK("https://www.elempleo.com/co/ofertas-trabajo/asistente-de-cuentas-por-pagar-o-tesoreria-remoto-1886744484",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e4a3b83ad6ab6438</t>
        </is>
      </c>
      <c r="B108" s="2" t="inlineStr">
        <is>
          <t>2026-09-24 16:07</t>
        </is>
      </c>
      <c r="C108" s="3" t="inlineStr">
        <is>
          <t>Auxiliar administrativo(a) - licencia</t>
        </is>
      </c>
      <c r="D108" s="3" t="inlineStr">
        <is>
          <t>FUCS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HYPERLINK("https://www.elempleo.com/co/ofertas-trabajo/auxiliar-administrativoa-licencia-1886759487",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2b1aa0caccddf7e4</t>
        </is>
      </c>
      <c r="B109" s="2" t="inlineStr">
        <is>
          <t>2026-09-24 16:07</t>
        </is>
      </c>
      <c r="C109" s="3" t="inlineStr">
        <is>
          <t>Auxiliar administrativo</t>
        </is>
      </c>
      <c r="D109" s="3" t="inlineStr">
        <is>
          <t>Cruz Roja Colombiana Seccional Cundinamarca y Bogotá.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HYPERLINK("https://www.elempleo.com/co/ofertas-trabajo/auxiliar-administrativo-1886753336",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f864b0373b9419ab</t>
        </is>
      </c>
      <c r="B110" s="2" t="inlineStr">
        <is>
          <t>2026-09-24 16:07</t>
        </is>
      </c>
      <c r="C110" s="3" t="inlineStr">
        <is>
          <t>Auxiliar administrativo -ciencias basicas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HYPERLINK("https://www.elempleo.com/co/ofertas-trabajo/auxiliar-administrativo-ciencias-basicas-1886759929",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00a48d615f284d91</t>
        </is>
      </c>
      <c r="B111" s="2" t="inlineStr">
        <is>
          <t>2026-09-24 16:07</t>
        </is>
      </c>
      <c r="C111" s="3" t="inlineStr">
        <is>
          <t>Auxiliar administrativo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HYPERLINK("https://www.elempleo.com/co/ofertas-trabajo/auxiliar-administrativo-bienestar-universitario-1886744996",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0544391db42d3941</t>
        </is>
      </c>
      <c r="B112" s="2" t="inlineStr">
        <is>
          <t>2026-09-24 16:07</t>
        </is>
      </c>
      <c r="C112" s="3" t="inlineStr">
        <is>
          <t>Auxiliar administrativo</t>
        </is>
      </c>
      <c r="D112" s="3" t="inlineStr">
        <is>
          <t>FUCS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HYPERLINK("https://www.elempleo.com/co/ofertas-trabajo/auxiliar-administrativoa-1886769676",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e4338d6723631384</t>
        </is>
      </c>
      <c r="B113" s="2" t="inlineStr">
        <is>
          <t>2026-09-24 16:07</t>
        </is>
      </c>
      <c r="C113" s="3" t="inlineStr">
        <is>
          <t>Auxiliar administrativo y de logística corporativa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HYPERLINK("https://www.elempleo.com/co/ofertas-trabajo/auxiliar-administrativo-y-de-logistica-corporativa-1886765843",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54d4c3f98f954a41</t>
        </is>
      </c>
      <c r="B114" s="2" t="inlineStr">
        <is>
          <t>2026-09-24 16:07</t>
        </is>
      </c>
      <c r="C114" s="3" t="inlineStr">
        <is>
          <t>Auxiliar administrativo educación continua</t>
        </is>
      </c>
      <c r="D114" s="3" t="inlineStr">
        <is>
          <t>Fundación Santa Fe de Bogotá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HYPERLINK("https://www.elempleo.com/co/ofertas-trabajo/auxiliar-administrativo-educacion-continua-1886750214",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e824af898bf9a932</t>
        </is>
      </c>
      <c r="B115" s="2" t="inlineStr">
        <is>
          <t>2026-09-24 16:07</t>
        </is>
      </c>
      <c r="C115" s="3" t="inlineStr">
        <is>
          <t>Auxiliar administrativo y financiero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HYPERLINK("https://www.elempleo.com/co/ofertas-trabajo/auxiliar-administrativo-y-financiero-1886753619",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54c86d8a0d796617</t>
        </is>
      </c>
      <c r="B116" s="2" t="inlineStr">
        <is>
          <t>2026-09-24 16:07</t>
        </is>
      </c>
      <c r="C116" s="3" t="inlineStr">
        <is>
          <t>Auxiliar administrativa</t>
        </is>
      </c>
      <c r="D116" s="3" t="inlineStr">
        <is>
          <t>ASISTALENTO SAS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HYPERLINK("https://www.elempleo.com/co/ofertas-trabajo/auxiliar-administrativa-1886767177",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372b28276b98282f</t>
        </is>
      </c>
      <c r="B117" s="2" t="inlineStr">
        <is>
          <t>2026-09-24 16:07</t>
        </is>
      </c>
      <c r="C117" s="3" t="inlineStr">
        <is>
          <t>Secretaria administrativa</t>
        </is>
      </c>
      <c r="D117" s="3" t="inlineStr">
        <is>
          <t>FUNDACIÓN ANDES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HYPERLINK("https://www.elempleo.com/co/ofertas-trabajo/secretaria-administrativa-1886756322",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cee8b3db11750755</t>
        </is>
      </c>
      <c r="B118" s="2" t="inlineStr">
        <is>
          <t>2026-09-24 16:07</t>
        </is>
      </c>
      <c r="C118" s="3" t="inlineStr">
        <is>
          <t>Auxiliar administrativo de obra</t>
        </is>
      </c>
      <c r="D118" s="3" t="inlineStr">
        <is>
          <t>GRUPO AR S.A.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HYPERLINK("https://www.elempleo.com/co/ofertas-trabajo/auxiliar-administrativo-de-obra-1886747241",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f86d411dd7ab31c0</t>
        </is>
      </c>
      <c r="B119" s="2" t="inlineStr">
        <is>
          <t>2026-09-24 16:07</t>
        </is>
      </c>
      <c r="C119" s="3" t="inlineStr">
        <is>
          <t>Asistente administrativa supernumeraria</t>
        </is>
      </c>
      <c r="D119" s="3" t="inlineStr">
        <is>
          <t>Grupo Good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HYPERLINK("https://www.elempleo.com/co/ofertas-trabajo/asistente-administrativa-supernumeraria-1886762173",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02d246dd2c1d19fd</t>
        </is>
      </c>
      <c r="B120" s="2" t="inlineStr">
        <is>
          <t>2026-09-24 16:07</t>
        </is>
      </c>
      <c r="C120" s="3" t="inlineStr">
        <is>
          <t>Asistente ejecutiva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HYPERLINK("https://www.elempleo.com/co/ofertas-trabajo/asistente-ejecutiva-1886745926",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b56bb36e9fc82e1e</t>
        </is>
      </c>
      <c r="B121" s="2" t="inlineStr">
        <is>
          <t>2026-09-24 16:07</t>
        </is>
      </c>
      <c r="C121" s="3" t="inlineStr">
        <is>
          <t>Asistente administrativo/a</t>
        </is>
      </c>
      <c r="D121" s="3" t="inlineStr">
        <is>
          <t>MEDICALL TALENTO HUMANO S.A.S.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HYPERLINK("https://www.elempleo.com/co/ofertas-trabajo/asistente-administrativo-a-1886747464",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58fe156c45c49fc4</t>
        </is>
      </c>
      <c r="B122" s="2" t="inlineStr">
        <is>
          <t>2026-09-24 16:07</t>
        </is>
      </c>
      <c r="C122" s="3" t="inlineStr">
        <is>
          <t>Asistente ejecutiva y personal de presidencia</t>
        </is>
      </c>
      <c r="D122" s="3" t="inlineStr">
        <is>
          <t>ADECCO COLOMBIA S 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HYPERLINK("https://www.elempleo.com/co/ofertas-trabajo/asistente-ejecutiva-y-personal-de-presidencia-1886765043",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c68c842aec0507f5</t>
        </is>
      </c>
      <c r="B123" s="2" t="inlineStr">
        <is>
          <t>2026-09-24 16:07</t>
        </is>
      </c>
      <c r="C123" s="3" t="inlineStr">
        <is>
          <t>Asistente administrativo y operativo</t>
        </is>
      </c>
      <c r="D123" s="3" t="inlineStr">
        <is>
          <t>ALIANZA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HYPERLINK("https://www.elempleo.com/co/ofertas-trabajo/asistente-administrativo-y-operativo-1886769341",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e55c41f8f35d0d12</t>
        </is>
      </c>
      <c r="B124" s="2" t="inlineStr">
        <is>
          <t>2026-09-24 16:07</t>
        </is>
      </c>
      <c r="C124" s="3" t="inlineStr">
        <is>
          <t>Asistente administrativa y comercial pereira</t>
        </is>
      </c>
      <c r="D124" s="3" t="inlineStr">
        <is>
          <t>EDITORIAL LA REPÚBLICA S.A.S.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HYPERLINK("https://www.elempleo.com/co/ofertas-trabajo/asistente-administrativa-y-comercial-pereira-1886746894",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0504d9833ad54912</t>
        </is>
      </c>
      <c r="B125" s="2" t="inlineStr">
        <is>
          <t>2026-09-24 16:07</t>
        </is>
      </c>
      <c r="C125" s="3" t="inlineStr">
        <is>
          <t>Asistente administrativo(a) at | bogotá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HYPERLINK("https://www.elempleo.com/co/ofertas-trabajo/asistente-administrativoa-at-bogota-1886765770",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bacc38002882c624</t>
        </is>
      </c>
      <c r="B126" s="2" t="inlineStr">
        <is>
          <t>2026-09-24 16:07</t>
        </is>
      </c>
      <c r="C126" s="3" t="inlineStr">
        <is>
          <t>Asistente administrativo</t>
        </is>
      </c>
      <c r="D126" s="3" t="inlineStr">
        <is>
          <t>POSSE HERRERA Y RUIZ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HYPERLINK("https://www.elempleo.com/co/ofertas-trabajo/asistente-administrativo-1886757128",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115c420d4e627838</t>
        </is>
      </c>
      <c r="B127" s="2" t="inlineStr">
        <is>
          <t>2026-09-24 16:07</t>
        </is>
      </c>
      <c r="C127" s="3" t="inlineStr">
        <is>
          <t>Recepcionista y asistente administrativa</t>
        </is>
      </c>
      <c r="D127" s="3" t="inlineStr">
        <is>
          <t>Colliers International Colombia S.A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HYPERLINK("https://www.elempleo.com/co/ofertas-trabajo/recepcionista-y-asistente-administrativa-1886769882",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0eafe890d09dc027</t>
        </is>
      </c>
      <c r="B128" s="2" t="inlineStr">
        <is>
          <t>2026-09-24 16:07</t>
        </is>
      </c>
      <c r="C128" s="3" t="inlineStr">
        <is>
          <t>Asistente administrativa y contable - chía | ref. 1626544466-1</t>
        </is>
      </c>
      <c r="D128" s="3" t="inlineStr">
        <is>
          <t>AGENCIA DE EMPLEO Y FOMENTO EMPRESARIAL COMPENSAR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HYPERLINK("https://www.elempleo.com/co/ofertas-trabajo/asistente-administrativa-y-contable-chia-ref-16265444661-1886766808",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7fdb3ec2bb49ce90</t>
        </is>
      </c>
      <c r="B129" s="2" t="inlineStr">
        <is>
          <t>2026-09-24 16:07</t>
        </is>
      </c>
      <c r="C129" s="3" t="inlineStr">
        <is>
          <t>Asistente administrativa y contable</t>
        </is>
      </c>
      <c r="D129" s="3" t="inlineStr">
        <is>
          <t>ASESORES FINANCIEROS Y TRIBUTARIOS GR SAS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HYPERLINK("https://www.elempleo.com/co/ofertas-trabajo/asistente-administrativa-y-contable-1886758421",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08014f384f124ec4</t>
        </is>
      </c>
      <c r="B130" s="2" t="inlineStr">
        <is>
          <t>2026-09-24 16:07</t>
        </is>
      </c>
      <c r="C130" s="3" t="inlineStr">
        <is>
          <t>Asistente administrativo y contable - villeta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HYPERLINK("https://www.elempleo.com/co/ofertas-trabajo/asistente-administrativo-y-contable-villeta-1886759076",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c62a542387886bca</t>
        </is>
      </c>
      <c r="B131" s="2" t="inlineStr">
        <is>
          <t>2026-09-24 16:07</t>
        </is>
      </c>
      <c r="C131" s="3" t="inlineStr">
        <is>
          <t>Asistente administrativo y contable - villeta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HYPERLINK("https://www.elempleo.com/co/ofertas-trabajo/asistente-administrativo-y-contable-villeta-1886758361",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fec983a79bc46288</t>
        </is>
      </c>
      <c r="B132" s="2" t="inlineStr">
        <is>
          <t>2026-09-24 16:07</t>
        </is>
      </c>
      <c r="C132" s="3" t="inlineStr">
        <is>
          <t>Asistente administrativo y contable</t>
        </is>
      </c>
      <c r="D132" s="3" t="inlineStr">
        <is>
          <t>iLingo Integrated Solutions in Languages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HYPERLINK("https://www.elempleo.com/co/ofertas-trabajo/asistente-administrativo-y-contable-1886747606",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1871e0c68a13d38e</t>
        </is>
      </c>
      <c r="B133" s="2" t="inlineStr">
        <is>
          <t>2026-09-24 16:07</t>
        </is>
      </c>
      <c r="C133" s="3" t="inlineStr">
        <is>
          <t>Auxiliar contable - sap - bogota</t>
        </is>
      </c>
      <c r="D133" s="3" t="inlineStr">
        <is>
          <t>ADECCO COLOMBIA S A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HYPERLINK("https://www.elempleo.com/co/ofertas-trabajo/auxiliar-contable-sap-bogota-1886767163",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6367348e3671a1aa</t>
        </is>
      </c>
      <c r="B134" s="2" t="inlineStr">
        <is>
          <t>2026-09-24 16:07</t>
        </is>
      </c>
      <c r="C134" s="3" t="inlineStr">
        <is>
          <t>Asistente contable y administrativo con experiencia contable en sap, cartera y tesoreria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HYPERLINK("https://www.elempleo.com/co/ofertas-trabajo/asistente-contable-y-administrativo-con-experiencia-contable-en-sap-cartera-y-tesoreria-1886760656",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fa85204cef58799f</t>
        </is>
      </c>
      <c r="B135" s="2" t="inlineStr">
        <is>
          <t>2026-09-24 16:07</t>
        </is>
      </c>
      <c r="C135" s="3" t="inlineStr">
        <is>
          <t>Asistente contable y administrativo con experiencia contable en sap - cartera y tesoreria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HYPERLINK("https://www.elempleo.com/co/ofertas-trabajo/asistente-contable-y-administrativo-con-experiencia-contable-en-sap-cartera-y-tesoreria-1886766820",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d8062d850cbf46a1</t>
        </is>
      </c>
      <c r="B136" s="2" t="inlineStr">
        <is>
          <t>2026-09-24 16:07</t>
        </is>
      </c>
      <c r="C136" s="3" t="inlineStr">
        <is>
          <t>Digitador - 353703-113642</t>
        </is>
      </c>
      <c r="D136" s="3" t="inlineStr">
        <is>
          <t>AGENCIA DE EMPLEO Y FOMENTO EMPRESARIAL COMPENSAR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HYPERLINK("https://www.elempleo.com/co/ofertas-trabajo/digitador-353703113642-1886769566",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2f520ba083e2847f</t>
        </is>
      </c>
      <c r="B137" s="2" t="inlineStr">
        <is>
          <t>2026-09-24 16:07</t>
        </is>
      </c>
      <c r="C137" s="3" t="inlineStr">
        <is>
          <t>Digitador en planta de producción</t>
        </is>
      </c>
      <c r="D137" s="3" t="inlineStr">
        <is>
          <t>Prysmian Group - Procables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HYPERLINK("https://www.elempleo.com/co/ofertas-trabajo/digitador-en-planta-de-produccion-1886722751",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475f3966c5302ff0</t>
        </is>
      </c>
      <c r="B138" s="2" t="inlineStr">
        <is>
          <t>2026-09-24 16:07</t>
        </is>
      </c>
      <c r="C138" s="3" t="inlineStr">
        <is>
          <t>Analista de aduana - digitador opencomex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HYPERLINK("https://www.elempleo.com/co/ofertas-trabajo/analista-de-aduana-digitador-opencomex-1886762323",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107d0765b8dfce86</t>
        </is>
      </c>
      <c r="B139" s="2" t="inlineStr">
        <is>
          <t>2026-09-24 16:07</t>
        </is>
      </c>
      <c r="C139" s="3" t="inlineStr">
        <is>
          <t>Auxiliar digitador(a) de contabilidad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HYPERLINK("https://www.elempleo.com/co/ofertas-trabajo/auxiliar-digitadora-de-contabilidad-1886770758",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b1591783dbbcb1f9</t>
        </is>
      </c>
      <c r="B140" s="2" t="inlineStr">
        <is>
          <t>2026-09-24 16:07</t>
        </is>
      </c>
      <c r="C140" s="3" t="inlineStr">
        <is>
          <t>Analista de aduana - digitador opencomex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HYPERLINK("https://www.elempleo.com/co/ofertas-trabajo/analista-de-aduana-digitador-opencomex-1886763468",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cfe8b8276b28373b</t>
        </is>
      </c>
      <c r="B141" s="2" t="inlineStr">
        <is>
          <t>2026-09-24 16:07</t>
        </is>
      </c>
      <c r="C141" s="3" t="inlineStr">
        <is>
          <t>Analista de aduana - digitador opencomex - santa marta</t>
        </is>
      </c>
      <c r="D141" s="3" t="inlineStr">
        <is>
          <t>Confidencial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HYPERLINK("https://www.elempleo.com/co/ofertas-trabajo/analista-de-aduana-digitador-opencomex-santa-marta-1886762869",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01c7ac97b62a3626</t>
        </is>
      </c>
      <c r="B142" s="2" t="inlineStr">
        <is>
          <t>2026-09-24 16:07</t>
        </is>
      </c>
      <c r="C142" s="3" t="inlineStr">
        <is>
          <t>Auxiliar digitador(a) de contabilidad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HYPERLINK("https://www.elempleo.com/co/ofertas-trabajo/auxiliar-digitadora-de-contabilidad-1886761791",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2fc59d447ad455e1</t>
        </is>
      </c>
      <c r="B143" s="2" t="inlineStr">
        <is>
          <t>2026-09-24 16:07</t>
        </is>
      </c>
      <c r="C143" s="3" t="inlineStr">
        <is>
          <t>Digitador comercial interno</t>
        </is>
      </c>
      <c r="D143" s="3" t="inlineStr">
        <is>
          <t>TEMPORIZAR SERVICIOS TEMPORALES SAS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HYPERLINK("https://www.elempleo.com/co/ofertas-trabajo/digitador-comercial-interno-1886746080",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e58059d4e095bd7a</t>
        </is>
      </c>
      <c r="B144" s="2" t="inlineStr">
        <is>
          <t>2026-09-24 16:07</t>
        </is>
      </c>
      <c r="C144" s="3" t="inlineStr">
        <is>
          <t>Apoyo facturación - palmira</t>
        </is>
      </c>
      <c r="D144" s="3" t="inlineStr">
        <is>
          <t>ALQUERIA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HYPERLINK("https://www.elempleo.com/co/ofertas-trabajo/apoyo-facturacion-palmira-1886758686",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62e7c31c63a388da</t>
        </is>
      </c>
      <c r="B145" s="2" t="inlineStr">
        <is>
          <t>2026-09-24 16:07</t>
        </is>
      </c>
      <c r="C145" s="3" t="inlineStr">
        <is>
          <t>Recepcion y facturacion de laboratorio clínico</t>
        </is>
      </c>
      <c r="D145" s="3" t="inlineStr">
        <is>
          <t>Fundación Santa Fe de Bogotá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HYPERLINK("https://www.elempleo.com/co/ofertas-trabajo/recepcion-y-facturacion-de-laboratorio-clinico-1886761193",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6eafefaa9d4e76e6</t>
        </is>
      </c>
      <c r="B146" s="2" t="inlineStr">
        <is>
          <t>2026-09-24 16:07</t>
        </is>
      </c>
      <c r="C146" s="3" t="inlineStr">
        <is>
          <t>Recepcionista facturación en laboratorio clínico</t>
        </is>
      </c>
      <c r="D146" s="3" t="inlineStr">
        <is>
          <t>Fundación Santa Fe de Bogotá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HYPERLINK("https://www.elempleo.com/co/ofertas-trabajo/recepcionista-facturacion-en-laboratorio-clinico-1886753959",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1ac2af8aa1b80d19</t>
        </is>
      </c>
      <c r="B147" s="2" t="inlineStr">
        <is>
          <t>2026-09-24 16:07</t>
        </is>
      </c>
      <c r="C147" s="3" t="inlineStr">
        <is>
          <t>Recepcionista facturación en laboratorio clínico</t>
        </is>
      </c>
      <c r="D147" s="3" t="inlineStr">
        <is>
          <t>Fundación Santa Fe de Bogotá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HYPERLINK("https://www.elempleo.com/co/ofertas-trabajo/recepcionista-facturacion-en-laboratorio-clinico-1886746927", "Ver Vacante")</f>
        <v/>
      </c>
      <c r="H147" s="6" t="inlineStr"/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5fb21eaeba4e417d</t>
        </is>
      </c>
      <c r="B148" s="2" t="inlineStr">
        <is>
          <t>2026-09-24 16:07</t>
        </is>
      </c>
      <c r="C148" s="3" t="inlineStr">
        <is>
          <t>Gestor de Facturación e Ingresos // Remoto</t>
        </is>
      </c>
      <c r="D148" s="3" t="inlineStr">
        <is>
          <t>Siigo</t>
        </is>
      </c>
      <c r="E148" s="7" t="n">
        <v>0.58</v>
      </c>
      <c r="F148" s="2" t="inlineStr">
        <is>
          <t>Remoto</t>
        </is>
      </c>
      <c r="G148" s="5">
        <f>HYPERLINK("https://co.linkedin.com/jobs/view/gestor-de-facturaci%C3%B3n-e-ingresos-remoto-pcd-at-siigo-4463333674",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acc279cbcc202e8c</t>
        </is>
      </c>
      <c r="B149" s="2" t="inlineStr">
        <is>
          <t>2026-09-24 16:07</t>
        </is>
      </c>
      <c r="C149" s="3" t="inlineStr">
        <is>
          <t>Data Entry Clerk</t>
        </is>
      </c>
      <c r="D149" s="3" t="inlineStr">
        <is>
          <t>Hired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HYPERLINK("https://co.linkedin.com/jobs/view/data-entry-clerk-remote-at-hired-4466319108",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c9df64f69713d9c3</t>
        </is>
      </c>
      <c r="B150" s="2" t="inlineStr">
        <is>
          <t>2026-09-24 16:07</t>
        </is>
      </c>
      <c r="C150" s="3" t="inlineStr">
        <is>
          <t>Client Intake and Data Entry Specialist</t>
        </is>
      </c>
      <c r="D150" s="3" t="inlineStr">
        <is>
          <t>Job Duck</t>
        </is>
      </c>
      <c r="E150" s="7" t="n">
        <v>0.58</v>
      </c>
      <c r="F150" s="2" t="inlineStr">
        <is>
          <t>Remoto</t>
        </is>
      </c>
      <c r="G150" s="5">
        <f>HYPERLINK("https://co.linkedin.com/jobs/view/client-intake-and-data-entry-specialist-at-job-duck-4469179215",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bfd4f2e4c8eb51d6</t>
        </is>
      </c>
      <c r="B151" s="2" t="inlineStr">
        <is>
          <t>2026-09-24 16:07</t>
        </is>
      </c>
      <c r="C151" s="3" t="inlineStr">
        <is>
          <t>Data Entry Specialist - Remote Work | REF#169097</t>
        </is>
      </c>
      <c r="D151" s="3" t="inlineStr">
        <is>
          <t>BairesDev</t>
        </is>
      </c>
      <c r="E151" s="7" t="n">
        <v>0.58</v>
      </c>
      <c r="F151" s="2" t="inlineStr">
        <is>
          <t>Remoto</t>
        </is>
      </c>
      <c r="G151" s="5">
        <f>HYPERLINK("https://co.linkedin.com/jobs/view/data-entry-specialist-remote-work-ref%23169097-at-bairesdev-4140196697",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f71b85e853980a5b</t>
        </is>
      </c>
      <c r="B152" s="2" t="inlineStr">
        <is>
          <t>2026-09-24 16:07</t>
        </is>
      </c>
      <c r="C152" s="3" t="inlineStr">
        <is>
          <t>Data Entry Specialist</t>
        </is>
      </c>
      <c r="D152" s="3" t="inlineStr">
        <is>
          <t>Booth</t>
        </is>
      </c>
      <c r="E152" s="7" t="n">
        <v>0.58</v>
      </c>
      <c r="F152" s="2" t="inlineStr">
        <is>
          <t>Remoto</t>
        </is>
      </c>
      <c r="G152" s="5">
        <f>HYPERLINK("https://co.linkedin.com/jobs/view/data-entry-specialist-at-booth-4468950013",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b124540f32e77f79</t>
        </is>
      </c>
      <c r="B153" s="2" t="inlineStr">
        <is>
          <t>2026-09-24 16:07</t>
        </is>
      </c>
      <c r="C153" s="3" t="inlineStr">
        <is>
          <t>Digitador</t>
        </is>
      </c>
      <c r="D153" s="3" t="inlineStr">
        <is>
          <t>Iron Mountain</t>
        </is>
      </c>
      <c r="E153" s="7" t="n">
        <v>0.58</v>
      </c>
      <c r="F153" s="2" t="inlineStr">
        <is>
          <t>Remoto</t>
        </is>
      </c>
      <c r="G153" s="5">
        <f>HYPERLINK("https://co.linkedin.com/jobs/view/digitador-at-iron-mountain-4468884742",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648f264595161cd7</t>
        </is>
      </c>
      <c r="B154" s="2" t="inlineStr">
        <is>
          <t>2026-09-24 16:07</t>
        </is>
      </c>
      <c r="C154" s="3" t="inlineStr">
        <is>
          <t>Auxiliar Administrativa de Vicepresidencia Bilingüe</t>
        </is>
      </c>
      <c r="D154" s="3" t="inlineStr">
        <is>
          <t>Adecco</t>
        </is>
      </c>
      <c r="E154" s="7" t="n">
        <v>0.58</v>
      </c>
      <c r="F154" s="2" t="inlineStr">
        <is>
          <t>Remoto</t>
        </is>
      </c>
      <c r="G154" s="5">
        <f>HYPERLINK("https://co.linkedin.com/jobs/view/auxiliar-administrativa-de-vicepresidencia-biling%C3%BCe-at-adecco-4469224990",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eb90ed56020b1176</t>
        </is>
      </c>
      <c r="B155" s="2" t="inlineStr">
        <is>
          <t>2026-09-24 16:07</t>
        </is>
      </c>
      <c r="C155" s="3" t="inlineStr">
        <is>
          <t>Inside Sales Contractor</t>
        </is>
      </c>
      <c r="D155" s="3" t="inlineStr">
        <is>
          <t>Credit Wellness, LLC</t>
        </is>
      </c>
      <c r="E155" s="7" t="n">
        <v>0.58</v>
      </c>
      <c r="F155" s="2" t="inlineStr">
        <is>
          <t>Remoto</t>
        </is>
      </c>
      <c r="G155" s="5">
        <f>HYPERLINK("https://remotive.com/remote-jobs/sales/inside-sales-contractor-2086540", "Ver Vacante")</f>
        <v/>
      </c>
      <c r="H155" s="6" t="inlineStr">
        <is>
          <t>OTE $25k - $35k</t>
        </is>
      </c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ebabcd51596d0d3b</t>
        </is>
      </c>
      <c r="B156" s="2" t="inlineStr">
        <is>
          <t>2026-09-25 15:56</t>
        </is>
      </c>
      <c r="C156" s="3" t="inlineStr">
        <is>
          <t>Auxiliar contable y administrativo</t>
        </is>
      </c>
      <c r="D156" s="3" t="inlineStr">
        <is>
          <t>ACTIVE ACCOUNTING GROUP</t>
        </is>
      </c>
      <c r="E156" s="7" t="n">
        <v>0.58</v>
      </c>
      <c r="F156" s="2" t="inlineStr">
        <is>
          <t>Remoto</t>
        </is>
      </c>
      <c r="G156" s="5">
        <f>HYPERLINK("https://co.computrabajo.com/ofertas-de-trabajo/oferta-de-trabajo-de-auxiliar-contable-y-administrativo-con-experiencia-en-el-santuario-C71D6812AE6D474061373E686DCF3405", "Ver Vacante")</f>
        <v/>
      </c>
      <c r="H156" s="6" t="inlineStr">
        <is>
          <t>$ 1.750.905,00 (Mensual)</t>
        </is>
      </c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e12bdf1aa280de03</t>
        </is>
      </c>
      <c r="B157" s="2" t="inlineStr">
        <is>
          <t>2026-09-25 15:56</t>
        </is>
      </c>
      <c r="C157" s="3" t="inlineStr">
        <is>
          <t>Auxiliar administrativo</t>
        </is>
      </c>
      <c r="D157" s="3" t="inlineStr">
        <is>
          <t>Confidencial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HYPERLINK("https://www.elempleo.com/co/ofertas-trabajo/auxiliar-administrativoa-1886768459",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b1fccbf6d15bddc2</t>
        </is>
      </c>
      <c r="B158" s="2" t="inlineStr">
        <is>
          <t>2026-09-25 15:56</t>
        </is>
      </c>
      <c r="C158" s="3" t="inlineStr">
        <is>
          <t>Asistente administrativa</t>
        </is>
      </c>
      <c r="D158" s="3" t="inlineStr">
        <is>
          <t>Dra Lina Bedoya Odontologia Estetica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HYPERLINK("https://www.elempleo.com/co/ofertas-trabajo/asistente-administrativa-1886766293",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db6a52513ae159ab</t>
        </is>
      </c>
      <c r="B159" s="2" t="inlineStr">
        <is>
          <t>2026-09-25 15:56</t>
        </is>
      </c>
      <c r="C159" s="3" t="inlineStr">
        <is>
          <t>Auxiliar contable - sap - bogota</t>
        </is>
      </c>
      <c r="D159" s="3" t="inlineStr">
        <is>
          <t>ADECCO COLOMBIA S A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HYPERLINK("https://www.elempleo.com/co/ofertas-trabajo/auxiliar-contable-sap-bogota-1886767591",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ae9358eb43bb2f5b</t>
        </is>
      </c>
      <c r="B160" s="2" t="inlineStr">
        <is>
          <t>2026-09-25 15:56</t>
        </is>
      </c>
      <c r="C160" s="3" t="inlineStr">
        <is>
          <t>Auxiliar contable - sap - bogota</t>
        </is>
      </c>
      <c r="D160" s="3" t="inlineStr">
        <is>
          <t>ADECCO COLOMBIA S A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HYPERLINK("https://www.elempleo.com/co/ofertas-trabajo/auxiliar-contable-sap-bogota-1886767165",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daa8b5315dfb38c2</t>
        </is>
      </c>
      <c r="B161" s="2" t="inlineStr">
        <is>
          <t>2026-09-25 15:56</t>
        </is>
      </c>
      <c r="C161" s="3" t="inlineStr">
        <is>
          <t>Auxiliar contable - sap - bogota</t>
        </is>
      </c>
      <c r="D161" s="3" t="inlineStr">
        <is>
          <t>ADECCO COLOMBIA S A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HYPERLINK("https://www.elempleo.com/co/ofertas-trabajo/auxiliar-contable-sap-bogota-1886767164",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2d35aa26ef7d8409</t>
        </is>
      </c>
      <c r="B162" s="2" t="inlineStr">
        <is>
          <t>2026-09-25 15:56</t>
        </is>
      </c>
      <c r="C162" s="3" t="inlineStr">
        <is>
          <t>Almacenista digitador</t>
        </is>
      </c>
      <c r="D162" s="3" t="inlineStr">
        <is>
          <t>Confidencial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HYPERLINK("https://www.elempleo.com/co/ofertas-trabajo/almacenista-digitador-1886754273",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a36cc8c2293d75bb</t>
        </is>
      </c>
      <c r="B163" s="2" t="inlineStr">
        <is>
          <t>2026-09-25 15:56</t>
        </is>
      </c>
      <c r="C163" s="3" t="inlineStr">
        <is>
          <t>Aux de facturacion - personas con discapacidad - bogota</t>
        </is>
      </c>
      <c r="D163" s="3" t="inlineStr">
        <is>
          <t>Quirón Prevención Colombia S.A.S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HYPERLINK("https://www.elempleo.com/co/ofertas-trabajo/aux-de-facturacion-personas-con-discapacidad-bogota-1886768842", "Ver Vacante")</f>
        <v/>
      </c>
      <c r="H163" s="6" t="inlineStr"/>
      <c r="I163" s="3" t="inlineStr">
        <is>
          <t>[Afinidad: 58/100 - Afinidad Moderada] Alta coincidencia técnica en Herramientas Ofimáticas, Excel y Soporte Contable / Facturación.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e482852a389226cd</t>
        </is>
      </c>
      <c r="B164" s="2" t="inlineStr">
        <is>
          <t>2026-09-25 15:56</t>
        </is>
      </c>
      <c r="C164" s="3" t="inlineStr">
        <is>
          <t>Ejecutivo de cuenta / facturación electrónica</t>
        </is>
      </c>
      <c r="D164" s="3" t="inlineStr">
        <is>
          <t>Confidencial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HYPERLINK("https://www.elempleo.com/co/ofertas-trabajo/ejecutivo-de-cuenta-facturacion-electronica-1886754585", "Ver Vacante")</f>
        <v/>
      </c>
      <c r="H164" s="6" t="inlineStr"/>
      <c r="I164" s="3" t="inlineStr">
        <is>
          <t>[Afinidad: 58/100 - Afinidad Moderada] Alta coincidencia técnica en Herramientas Ofimáticas, Excel y Soporte Contable / Facturación.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0dfab7dcd9959d45</t>
        </is>
      </c>
      <c r="B165" s="2" t="inlineStr">
        <is>
          <t>2026-09-25 15:56</t>
        </is>
      </c>
      <c r="C165" s="3" t="inlineStr">
        <is>
          <t>Recepcion y facturacion de laboratorio clínico</t>
        </is>
      </c>
      <c r="D165" s="3" t="inlineStr">
        <is>
          <t>Fundación Santa Fe de Bogotá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HYPERLINK("https://www.elempleo.com/co/ofertas-trabajo/recepcion-y-facturacion-de-laboratorio-clinico-1886771931", "Ver Vacante")</f>
        <v/>
      </c>
      <c r="H165" s="6" t="inlineStr"/>
      <c r="I165" s="3" t="inlineStr">
        <is>
          <t>[Afinidad: 58/100 - Afinidad Moderada] Alta coincidencia técnica en Herramientas Ofimáticas, Excel y Soporte Contable / Facturación.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f89540ec077787b1</t>
        </is>
      </c>
      <c r="B166" s="2" t="inlineStr">
        <is>
          <t>2026-09-26 15:05</t>
        </is>
      </c>
      <c r="C166" s="3" t="inlineStr">
        <is>
          <t>Auxiliar administrativo</t>
        </is>
      </c>
      <c r="D166" s="3" t="inlineStr">
        <is>
          <t>FUCS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HYPERLINK("https://www.elempleo.com/co/ofertas-trabajo/auxiliar-administrativoa-1886772558",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abffa88133eaa978</t>
        </is>
      </c>
      <c r="B167" s="2" t="inlineStr">
        <is>
          <t>2026-09-26 15:05</t>
        </is>
      </c>
      <c r="C167" s="3" t="inlineStr">
        <is>
          <t>Almacenista digitador</t>
        </is>
      </c>
      <c r="D167" s="3" t="inlineStr">
        <is>
          <t>Confidencial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HYPERLINK("https://www.elempleo.com/co/ofertas-trabajo/almacenista-digitador-1886749637",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e4ad43c355211b6e</t>
        </is>
      </c>
      <c r="B168" s="2" t="inlineStr">
        <is>
          <t>2026-09-26 15:05</t>
        </is>
      </c>
      <c r="C168" s="3" t="inlineStr">
        <is>
          <t>Aux de facturacion - personas con discapacidad - bogota</t>
        </is>
      </c>
      <c r="D168" s="3" t="inlineStr">
        <is>
          <t>Quirón Prevención Colombia S.A.S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HYPERLINK("https://www.elempleo.com/co/ofertas-trabajo/aux-de-facturacion-personas-con-discapacidad-bogota-1886772337", "Ver Vacante")</f>
        <v/>
      </c>
      <c r="H168" s="6" t="inlineStr"/>
      <c r="I168" s="3" t="inlineStr">
        <is>
          <t>[Afinidad: 58/100 - Afinidad Moderada] Alta coincidencia técnica en Herramientas Ofimáticas, Excel y Soporte Contable / Facturación.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ebfb9e3d2b3f916c</t>
        </is>
      </c>
      <c r="B169" s="2" t="inlineStr">
        <is>
          <t>2026-09-26 15:05</t>
        </is>
      </c>
      <c r="C169" s="3" t="inlineStr">
        <is>
          <t>Recepcion y facturacion de laboratorio clínico</t>
        </is>
      </c>
      <c r="D169" s="3" t="inlineStr">
        <is>
          <t>Fundación Santa Fe de Bogotá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HYPERLINK("https://www.elempleo.com/co/ofertas-trabajo/recepcion-y-facturacion-de-laboratorio-clinico-1886767371", "Ver Vacante")</f>
        <v/>
      </c>
      <c r="H169" s="6" t="inlineStr"/>
      <c r="I169" s="3" t="inlineStr">
        <is>
          <t>[Afinidad: 58/100 - Afinidad Moderada] Alta coincidencia técnica en Herramientas Ofimáticas, Excel y Soporte Contable / Facturación.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8478e893d783ed5e</t>
        </is>
      </c>
      <c r="B170" s="2" t="inlineStr">
        <is>
          <t>2026-09-26 15:05</t>
        </is>
      </c>
      <c r="C170" s="3" t="inlineStr">
        <is>
          <t>Recepcion y facturacion de laboratorio clinico</t>
        </is>
      </c>
      <c r="D170" s="3" t="inlineStr">
        <is>
          <t>Fundación Santa Fe de Bogotá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HYPERLINK("https://www.elempleo.com/co/ofertas-trabajo/recepcion-y-facturacion-de-laboratorio-clinico-1886760903", "Ver Vacante")</f>
        <v/>
      </c>
      <c r="H170" s="6" t="inlineStr"/>
      <c r="I170" s="3" t="inlineStr">
        <is>
          <t>[Afinidad: 58/100 - Afinidad Moderada] Alta coincidencia técnica en Herramientas Ofimáticas, Excel y Soporte Contable / Facturación.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d45621f8599206ec</t>
        </is>
      </c>
      <c r="B171" s="2" t="inlineStr">
        <is>
          <t>2026-09-26 15:05</t>
        </is>
      </c>
      <c r="C171" s="3" t="inlineStr">
        <is>
          <t>Data Entry Specialist</t>
        </is>
      </c>
      <c r="D171" s="3" t="inlineStr">
        <is>
          <t>ZEISS Group</t>
        </is>
      </c>
      <c r="E171" s="7" t="n">
        <v>0.58</v>
      </c>
      <c r="F171" s="2" t="inlineStr">
        <is>
          <t>Remoto</t>
        </is>
      </c>
      <c r="G171" s="5">
        <f>HYPERLINK("https://co.linkedin.com/jobs/view/data-entry-specialist-at-zeiss-group-4467880077",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6051bd21daa83566</t>
        </is>
      </c>
      <c r="B172" s="2" t="inlineStr">
        <is>
          <t>2026-09-28 18:38</t>
        </is>
      </c>
      <c r="C172" s="3" t="inlineStr">
        <is>
          <t>Auxiliar contable y administrativo</t>
        </is>
      </c>
      <c r="D172" s="3" t="inlineStr">
        <is>
          <t>distrigomez seguros</t>
        </is>
      </c>
      <c r="E172" s="7" t="n">
        <v>0.58</v>
      </c>
      <c r="F172" s="2" t="inlineStr">
        <is>
          <t>Remoto</t>
        </is>
      </c>
      <c r="G172" s="5">
        <f>HYPERLINK("https://co.computrabajo.com/ofertas-de-trabajo/oferta-de-trabajo-de-auxiliar-contable-y-administrativo-trabajo-desde-casa-en-pereira-3EEDFFC0D2447F8B61373E686DCF3405", "Ver Vacante")</f>
        <v/>
      </c>
      <c r="H172" s="6" t="inlineStr">
        <is>
          <t>$ 1.750.905,00 (Mensual)</t>
        </is>
      </c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1a7a81ed9e2a4160</t>
        </is>
      </c>
      <c r="B173" s="2" t="inlineStr">
        <is>
          <t>2026-09-28 18:38</t>
        </is>
      </c>
      <c r="C173" s="3" t="inlineStr">
        <is>
          <t>Auxiliar administrativo(a) - campus neiva</t>
        </is>
      </c>
      <c r="D173" s="3" t="inlineStr">
        <is>
          <t>Universidad Cooperativa de Colombia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HYPERLINK("https://www.elempleo.com/co/ofertas-trabajo/auxiliar-administrativoa-campus-neiva-1886773020",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a81375d5a4201305</t>
        </is>
      </c>
      <c r="B174" s="2" t="inlineStr">
        <is>
          <t>2026-09-28 18:38</t>
        </is>
      </c>
      <c r="C174" s="3" t="inlineStr">
        <is>
          <t>Digitador - bogotá</t>
        </is>
      </c>
      <c r="D174" s="3" t="inlineStr">
        <is>
          <t>BUREAU VERITAS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HYPERLINK("https://www.elempleo.com/co/ofertas-trabajo/digitador-bogota-1886762709",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9164fad20028594e</t>
        </is>
      </c>
      <c r="B175" s="2" t="inlineStr">
        <is>
          <t>2026-09-29 17:03</t>
        </is>
      </c>
      <c r="C175" s="3" t="inlineStr">
        <is>
          <t>Digitador(a) de nómina</t>
        </is>
      </c>
      <c r="D175" s="3" t="inlineStr">
        <is>
          <t>Confidencial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HYPERLINK("https://www.elempleo.com/co/ofertas-trabajo/digitadora-de-nomina-1886773344",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eb9248ba68f06027</t>
        </is>
      </c>
      <c r="B176" s="2" t="inlineStr">
        <is>
          <t>2026-09-29 17:03</t>
        </is>
      </c>
      <c r="C176" s="3" t="inlineStr">
        <is>
          <t>Young Professional – Data Entry - Remote Work</t>
        </is>
      </c>
      <c r="D176" s="3" t="inlineStr">
        <is>
          <t>BairesDev</t>
        </is>
      </c>
      <c r="E176" s="7" t="n">
        <v>0.58</v>
      </c>
      <c r="F176" s="2" t="inlineStr">
        <is>
          <t>Remoto</t>
        </is>
      </c>
      <c r="G176" s="5">
        <f>HYPERLINK("https://co.linkedin.com/jobs/view/young-professional-%E2%80%93-data-entry-remote-work-at-bairesdev-4471917951",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ab0015399fb0fd5a</t>
        </is>
      </c>
      <c r="B177" s="2" t="inlineStr">
        <is>
          <t>2026-09-30 16:51</t>
        </is>
      </c>
      <c r="C177" s="3" t="inlineStr">
        <is>
          <t>Cali- asistente administrativo y contable</t>
        </is>
      </c>
      <c r="D177" s="3" t="inlineStr">
        <is>
          <t>GERENCIA SELECTA SAS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HYPERLINK("https://www.elempleo.com/co/ofertas-trabajo/cali-asistente-administrativo-y-contable-1886774199",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f151a5101fd2098d</t>
        </is>
      </c>
      <c r="B178" s="2" t="inlineStr">
        <is>
          <t>2026-09-30 16:51</t>
        </is>
      </c>
      <c r="C178" s="3" t="inlineStr">
        <is>
          <t>Auxiliar contable y administrativo 212747-148845</t>
        </is>
      </c>
      <c r="D178" s="3" t="inlineStr">
        <is>
          <t>AGENCIA DE EMPLEO Y FOMENTO EMPRESARIAL COMPENSAR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HYPERLINK("https://www.elempleo.com/co/ofertas-trabajo/auxiliar-contable-y-administrativo-212747148845-1886774053",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2ad924abc5b01201</t>
        </is>
      </c>
      <c r="B179" s="2" t="inlineStr">
        <is>
          <t>2026-09-30 16:51</t>
        </is>
      </c>
      <c r="C179" s="3" t="inlineStr">
        <is>
          <t>Auxiliar administrativa y contable- mosquera- 1626546205-1</t>
        </is>
      </c>
      <c r="D179" s="3" t="inlineStr">
        <is>
          <t>AGENCIA DE EMPLEO Y FOMENTO EMPRESARIAL COMPENSAR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HYPERLINK("https://www.elempleo.com/co/ofertas-trabajo/auxiliar-administrativa-y-contable-mosquera-16265462051-1886773852",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cb0d1367aba57052</t>
        </is>
      </c>
      <c r="B180" s="2" t="inlineStr">
        <is>
          <t>2026-09-30 16:51</t>
        </is>
      </c>
      <c r="C180" s="3" t="inlineStr">
        <is>
          <t>Client Intake and Data Entry Specialist</t>
        </is>
      </c>
      <c r="D180" s="3" t="inlineStr">
        <is>
          <t>Job Duck</t>
        </is>
      </c>
      <c r="E180" s="7" t="n">
        <v>0.58</v>
      </c>
      <c r="F180" s="2" t="inlineStr">
        <is>
          <t>Remoto</t>
        </is>
      </c>
      <c r="G180" s="5">
        <f>HYPERLINK("https://co.linkedin.com/jobs/view/client-intake-and-data-entry-specialist-at-job-duck-4473785617",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aa2ff4b012a2356b</t>
        </is>
      </c>
      <c r="B181" s="2" t="inlineStr">
        <is>
          <t>2026-09-30 16:51</t>
        </is>
      </c>
      <c r="C181" s="3" t="inlineStr">
        <is>
          <t>Data entry specialist</t>
        </is>
      </c>
      <c r="D181" s="3" t="inlineStr">
        <is>
          <t>Naur Talent</t>
        </is>
      </c>
      <c r="E181" s="7" t="n">
        <v>0.58</v>
      </c>
      <c r="F181" s="2" t="inlineStr">
        <is>
          <t>Remoto</t>
        </is>
      </c>
      <c r="G181" s="5">
        <f>HYPERLINK("https://co.linkedin.com/jobs/view/data-entry-specialist-at-naur-talent-4473907227",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0fb7813f6ca58c19</t>
        </is>
      </c>
      <c r="B182" s="2" t="inlineStr">
        <is>
          <t>2026-10-01 17:28</t>
        </is>
      </c>
      <c r="C182" s="3" t="inlineStr">
        <is>
          <t>Data Entry Assistant</t>
        </is>
      </c>
      <c r="D182" s="3" t="inlineStr">
        <is>
          <t>NEO - New Estate Only</t>
        </is>
      </c>
      <c r="E182" s="7" t="n">
        <v>0.58</v>
      </c>
      <c r="F182" s="2" t="inlineStr">
        <is>
          <t>Remoto</t>
        </is>
      </c>
      <c r="G182" s="5">
        <f>HYPERLINK("https://co.linkedin.com/jobs/view/data-entry-assistant-at-neo-new-estate-only-4474342064",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e03aa4c6959d3eb4</t>
        </is>
      </c>
      <c r="B183" s="2" t="inlineStr">
        <is>
          <t>2026-10-03 15:14</t>
        </is>
      </c>
      <c r="C183" s="3" t="inlineStr">
        <is>
          <t>Auxiliar administrativo/a Vacante Inclusiva para personas con Discapacidad</t>
        </is>
      </c>
      <c r="D183" s="3" t="inlineStr">
        <is>
          <t>CENTRO DE EMPLEO Y TALENTO COLSUBSIDIO</t>
        </is>
      </c>
      <c r="E183" s="7" t="n">
        <v>0.58</v>
      </c>
      <c r="F183" s="2" t="inlineStr">
        <is>
          <t>Remoto</t>
        </is>
      </c>
      <c r="G183" s="5">
        <f>HYPERLINK("https://co.computrabajo.com/ofertas-de-trabajo/oferta-de-trabajo-de-auxiliar-administrativoa-vacante-inclusiva-para-personas-con-discapacidad-en-bogota-dc-C48470AF94C2CBCC61373E686DCF3405", "Ver Vacante")</f>
        <v/>
      </c>
      <c r="H183" s="6" t="inlineStr">
        <is>
          <t>Remoto</t>
        </is>
      </c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1a638820869677f4</t>
        </is>
      </c>
      <c r="B184" s="2" t="inlineStr">
        <is>
          <t>2026-10-03 15:14</t>
        </is>
      </c>
      <c r="C184" s="3" t="inlineStr">
        <is>
          <t>Asistente administrativa</t>
        </is>
      </c>
      <c r="D184" s="3" t="inlineStr">
        <is>
          <t>Valgroup Realty LLC</t>
        </is>
      </c>
      <c r="E184" s="7" t="n">
        <v>0.58</v>
      </c>
      <c r="F184" s="2" t="inlineStr">
        <is>
          <t>Remoto</t>
        </is>
      </c>
      <c r="G184" s="5">
        <f>HYPERLINK("https://co.computrabajo.com/ofertas-de-trabajo/oferta-de-trabajo-de-asistente-administrativa-con-conocimiento-del-idioma-ingles-en-bucaramanga-E109D498CC2B20FD61373E686DCF3405", "Ver Vacante")</f>
        <v/>
      </c>
      <c r="H184" s="6" t="inlineStr">
        <is>
          <t>Remoto</t>
        </is>
      </c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d310964f2dc8e97e</t>
        </is>
      </c>
      <c r="B185" s="2" t="inlineStr">
        <is>
          <t>2026-10-05 19:48</t>
        </is>
      </c>
      <c r="C185" s="3" t="inlineStr">
        <is>
          <t>Aprendiz sena - auxiliar de servicio al cliente y ventas digitales remoto</t>
        </is>
      </c>
      <c r="D185" s="3" t="inlineStr">
        <is>
          <t>M&amp;S VITAMINS SAS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HYPERLINK("https://www.elempleo.com/co/ofertas-trabajo/aprendiz-sena-auxiliar-de-servicio-al-cliente-y-ventas-digitales-remoto-1886776017",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feadb7d6306993cf</t>
        </is>
      </c>
      <c r="B186" s="2" t="inlineStr">
        <is>
          <t>2026-10-05 19:48</t>
        </is>
      </c>
      <c r="C186" s="3" t="inlineStr">
        <is>
          <t>Asistente administrativa</t>
        </is>
      </c>
      <c r="D186" s="3" t="inlineStr">
        <is>
          <t>MENTORHUB COLOMBIA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HYPERLINK("https://www.elempleo.com/co/ofertas-trabajo/asistente-administrativa-1886776241",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6dae76f41229d9ff</t>
        </is>
      </c>
      <c r="B187" s="2" t="inlineStr">
        <is>
          <t>2026-10-06 17:14</t>
        </is>
      </c>
      <c r="C187" s="3" t="inlineStr">
        <is>
          <t>Auxiliar Administrativo desde casa</t>
        </is>
      </c>
      <c r="D187" s="3" t="inlineStr">
        <is>
          <t>POLITÉCNICO INTERNACIONAL DE OCCIDENTE</t>
        </is>
      </c>
      <c r="E187" s="7" t="n">
        <v>0.58</v>
      </c>
      <c r="F187" s="2" t="inlineStr">
        <is>
          <t>Remoto</t>
        </is>
      </c>
      <c r="G187" s="5">
        <f>HYPERLINK("https://co.computrabajo.com/ofertas-de-trabajo/oferta-de-trabajo-de-auxiliar-administrativo-desde-casa-personal-con-discapacidad-en-bogota-dc-5A794030AFDA0F8661373E686DCF3405", "Ver Vacante")</f>
        <v/>
      </c>
      <c r="H187" s="6" t="inlineStr">
        <is>
          <t>Remoto</t>
        </is>
      </c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d59b1a44f5bebbdc</t>
        </is>
      </c>
      <c r="B188" s="2" t="inlineStr">
        <is>
          <t>2026-10-06 17:14</t>
        </is>
      </c>
      <c r="C188" s="3" t="inlineStr">
        <is>
          <t>Auxiliar contable y administrativo</t>
        </is>
      </c>
      <c r="D188" s="3" t="inlineStr">
        <is>
          <t>TALENT SPEAKERS COLOMBIA SAS</t>
        </is>
      </c>
      <c r="E188" s="7" t="n">
        <v>0.58</v>
      </c>
      <c r="F188" s="2" t="inlineStr">
        <is>
          <t>Remoto</t>
        </is>
      </c>
      <c r="G188" s="5">
        <f>HYPERLINK("https://www.elempleo.com/co/ofertas-trabajo/auxiliar-contable-y-administrativo-1886775760",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594e79b4cd7df756</t>
        </is>
      </c>
      <c r="B189" s="2" t="inlineStr">
        <is>
          <t>2026-10-07 17:52</t>
        </is>
      </c>
      <c r="C189" s="3" t="inlineStr">
        <is>
          <t>Auxiliar administrativo - contable y operativo</t>
        </is>
      </c>
      <c r="D189" s="3" t="inlineStr">
        <is>
          <t>EFICACIA S.A.S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HYPERLINK("https://www.elempleo.com/co/ofertas-trabajo/auxiliar-administrativo-contable-y-operativo-1886776165",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30c827aff6e8bff7</t>
        </is>
      </c>
      <c r="B190" s="2" t="inlineStr">
        <is>
          <t>2026-10-07 17:52</t>
        </is>
      </c>
      <c r="C190" s="3" t="inlineStr">
        <is>
          <t>Data Entry - Remote Work</t>
        </is>
      </c>
      <c r="D190" s="3" t="inlineStr">
        <is>
          <t>INDI Staffing Services</t>
        </is>
      </c>
      <c r="E190" s="7" t="n">
        <v>0.58</v>
      </c>
      <c r="F190" s="2" t="inlineStr">
        <is>
          <t>Remoto</t>
        </is>
      </c>
      <c r="G190" s="5">
        <f>HYPERLINK("https://co.linkedin.com/jobs/view/data-entry-remote-work-at-indi-staffing-services-4476714759",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3b42a1ea5ac16f07</t>
        </is>
      </c>
      <c r="B191" s="2" t="inlineStr">
        <is>
          <t>2026-10-08 17:54</t>
        </is>
      </c>
      <c r="C191" s="3" t="inlineStr">
        <is>
          <t>Atención al cliente</t>
        </is>
      </c>
      <c r="D191" s="3" t="inlineStr">
        <is>
          <t>CEO BUSSINES ADVICE SAS</t>
        </is>
      </c>
      <c r="E191" s="7" t="n">
        <v>0.58</v>
      </c>
      <c r="F191" s="2" t="inlineStr">
        <is>
          <t>Remoto</t>
        </is>
      </c>
      <c r="G191" s="5">
        <f>HYPERLINK("https://co.computrabajo.com/ofertas-de-trabajo/oferta-de-trabajo-de-atencion-al-cliente-en-bogota-dc-AC1B2F778774ED6561373E686DCF3405", "Ver Vacante")</f>
        <v/>
      </c>
      <c r="H191" s="6" t="inlineStr">
        <is>
          <t>Remoto</t>
        </is>
      </c>
      <c r="I191" s="3" t="inlineStr">
        <is>
          <t>[Afinidad: 58/100 - Afinidad Moderada] Alta coincidencia técnica en Gestión Administrativa, Documental y Archivo.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478e11adcb76b027</t>
        </is>
      </c>
      <c r="B192" s="2" t="inlineStr">
        <is>
          <t>2026-10-08 17:54</t>
        </is>
      </c>
      <c r="C192" s="3" t="inlineStr">
        <is>
          <t>Auxiliar administrativo almacen</t>
        </is>
      </c>
      <c r="D192" s="3" t="inlineStr">
        <is>
          <t>AVSA S.A</t>
        </is>
      </c>
      <c r="E192" s="7" t="n">
        <v>0.58</v>
      </c>
      <c r="F192" s="2" t="inlineStr">
        <is>
          <t>Remoto</t>
        </is>
      </c>
      <c r="G192" s="5">
        <f>HYPERLINK("https://www.elempleo.com/co/ofertas-trabajo/auxiliar-administrativo-almacen-1886777997",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0df6c8526a27b503</t>
        </is>
      </c>
      <c r="B193" s="2" t="inlineStr">
        <is>
          <t>2026-10-08 17:54</t>
        </is>
      </c>
      <c r="C193" s="3" t="inlineStr">
        <is>
          <t>Auxiliar contable y administrativo - norte de bogotá</t>
        </is>
      </c>
      <c r="D193" s="3" t="inlineStr">
        <is>
          <t>Confidencial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HYPERLINK("https://www.elempleo.com/co/ofertas-trabajo/auxiliar-contable-y-administrativo-norte-de-bogota-1886766550",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2e347f9b8c0b4b27</t>
        </is>
      </c>
      <c r="B194" s="2" t="inlineStr">
        <is>
          <t>2026-10-08 17:54</t>
        </is>
      </c>
      <c r="C194" s="3" t="inlineStr">
        <is>
          <t>Digitador control de producción 634333</t>
        </is>
      </c>
      <c r="D194" s="3" t="inlineStr">
        <is>
          <t>JOBANDTALENT CO SAS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HYPERLINK("https://www.elempleo.com/co/ofertas-trabajo/digitador-control-de-produccion-634333-1886777795",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1716d782af9a31c3</t>
        </is>
      </c>
      <c r="B195" s="2" t="inlineStr">
        <is>
          <t>2026-10-08 17:54</t>
        </is>
      </c>
      <c r="C195" s="3" t="inlineStr">
        <is>
          <t>Auxiliar i conciliaciones bancarias</t>
        </is>
      </c>
      <c r="D195" s="3" t="inlineStr">
        <is>
          <t>PONTIFICIA UNIVERSID</t>
        </is>
      </c>
      <c r="E195" s="7" t="n">
        <v>0.58</v>
      </c>
      <c r="F195" s="2" t="inlineStr">
        <is>
          <t>Remoto</t>
        </is>
      </c>
      <c r="G195" s="5">
        <f>HYPERLINK("https://www.elempleo.com/co/ofertas-trabajo/auxiliar-i-conciliaciones-bancarias-1886774371",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bcabe86161d0fafa</t>
        </is>
      </c>
      <c r="B196" s="2" t="inlineStr">
        <is>
          <t>2026-10-08 17:54</t>
        </is>
      </c>
      <c r="C196" s="3" t="inlineStr">
        <is>
          <t>Auxiliar administrativo contable</t>
        </is>
      </c>
      <c r="D196" s="3" t="inlineStr">
        <is>
          <t>Neuroactivo - Rodsal</t>
        </is>
      </c>
      <c r="E196" s="7" t="n">
        <v>0.58</v>
      </c>
      <c r="F196" s="2" t="inlineStr">
        <is>
          <t>Remoto</t>
        </is>
      </c>
      <c r="G196" s="5">
        <f>HYPERLINK("https://co.linkedin.com/jobs/view/auxiliar-administrativo-contable-at-neuroactivo-rodsal-4476940406",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c44dcea756fe7627</t>
        </is>
      </c>
      <c r="B197" s="2" t="inlineStr">
        <is>
          <t>2026-10-08 17:54</t>
        </is>
      </c>
      <c r="C197" s="3" t="inlineStr">
        <is>
          <t>Young Professional – Data Entry - Remote Work</t>
        </is>
      </c>
      <c r="D197" s="3" t="inlineStr">
        <is>
          <t>BairesDev</t>
        </is>
      </c>
      <c r="E197" s="7" t="n">
        <v>0.58</v>
      </c>
      <c r="F197" s="2" t="inlineStr">
        <is>
          <t>Remoto</t>
        </is>
      </c>
      <c r="G197" s="5">
        <f>HYPERLINK("https://co.linkedin.com/jobs/view/young-professional-%E2%80%93-data-entry-remote-work-at-bairesdev-4475962498",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c6719253a68b0b7b</t>
        </is>
      </c>
      <c r="B198" s="2" t="inlineStr">
        <is>
          <t>2026-10-09 17:30</t>
        </is>
      </c>
      <c r="C198" s="3" t="inlineStr">
        <is>
          <t>Asistente Virtual Bilingüe Remoto con Inglés Avanzado</t>
        </is>
      </c>
      <c r="D198" s="3" t="inlineStr">
        <is>
          <t>Assistiq</t>
        </is>
      </c>
      <c r="E198" s="7" t="n">
        <v>0.58</v>
      </c>
      <c r="F198" s="2" t="inlineStr">
        <is>
          <t>Remoto</t>
        </is>
      </c>
      <c r="G198" s="5">
        <f>HYPERLINK("https://co.computrabajo.com/ofertas-de-trabajo/oferta-de-trabajo-de-asistente-virtual-bilingue-remoto-con-ingles-avanzado-en-bogota-dc-648B6753680D9B9E61373E686DCF3405", "Ver Vacante")</f>
        <v/>
      </c>
      <c r="H198" s="6" t="inlineStr">
        <is>
          <t>Remoto</t>
        </is>
      </c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fed139d0477046bd</t>
        </is>
      </c>
      <c r="B199" s="2" t="inlineStr">
        <is>
          <t>2026-10-10 16:18</t>
        </is>
      </c>
      <c r="C199" s="3" t="inlineStr">
        <is>
          <t>Auxiliar administrativo bilingüe en barranquilla</t>
        </is>
      </c>
      <c r="D199" s="3" t="inlineStr">
        <is>
          <t>MANPOWER</t>
        </is>
      </c>
      <c r="E199" s="7" t="n">
        <v>0.58</v>
      </c>
      <c r="F199" s="2" t="inlineStr">
        <is>
          <t>Remoto</t>
        </is>
      </c>
      <c r="G199" s="5">
        <f>HYPERLINK("https://www.elempleo.com/co/ofertas-trabajo/auxiliar-administrativo-bilingue-en-barranquilla-1886773896",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0b790b67038f3a2c</t>
        </is>
      </c>
      <c r="B200" s="2" t="inlineStr">
        <is>
          <t>2026-10-12 20:20</t>
        </is>
      </c>
      <c r="C200" s="3" t="inlineStr">
        <is>
          <t>Product Data Entry Agent</t>
        </is>
      </c>
      <c r="D200" s="3" t="inlineStr">
        <is>
          <t>Overseas Network</t>
        </is>
      </c>
      <c r="E200" s="7" t="n">
        <v>0.58</v>
      </c>
      <c r="F200" s="2" t="inlineStr">
        <is>
          <t>Remoto</t>
        </is>
      </c>
      <c r="G200" s="5">
        <f>HYPERLINK("https://co.linkedin.com/jobs/view/product-data-entry-agent-at-overseas-network-4477903916",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ccdbe7000f52da42</t>
        </is>
      </c>
      <c r="B201" s="2" t="inlineStr">
        <is>
          <t>2026-10-13 18:11</t>
        </is>
      </c>
      <c r="C201" s="3" t="inlineStr">
        <is>
          <t>Licensing and Compliance Data Entry Support Representative, HOA</t>
        </is>
      </c>
      <c r="D201" s="3" t="inlineStr">
        <is>
          <t>Porch Group</t>
        </is>
      </c>
      <c r="E201" s="7" t="n">
        <v>0.58</v>
      </c>
      <c r="F201" s="2" t="inlineStr">
        <is>
          <t>Remoto</t>
        </is>
      </c>
      <c r="G201" s="5">
        <f>HYPERLINK("https://co.linkedin.com/jobs/view/licensing-and-compliance-data-entry-support-representative-hoa-at-porch-group-4478728820",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c717da5c95d7d03e</t>
        </is>
      </c>
      <c r="B202" s="2" t="inlineStr">
        <is>
          <t>2026-10-14 15:54</t>
        </is>
      </c>
      <c r="C202" s="3" t="inlineStr">
        <is>
          <t>Bogota - auxiliar administrativo y logística de eventos</t>
        </is>
      </c>
      <c r="D202" s="3" t="inlineStr">
        <is>
          <t>Confidencial</t>
        </is>
      </c>
      <c r="E202" s="7" t="n">
        <v>0.58</v>
      </c>
      <c r="F202" s="2" t="inlineStr">
        <is>
          <t>Remoto</t>
        </is>
      </c>
      <c r="G202" s="5">
        <f>HYPERLINK("https://www.elempleo.com/co/ofertas-trabajo/bogota-auxiliar-administrativo-y-logistica-de-eventos-1886765837",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7ec5dd7dc0dda675</t>
        </is>
      </c>
      <c r="B203" s="2" t="inlineStr">
        <is>
          <t>2026-10-14 15:54</t>
        </is>
      </c>
      <c r="C203" s="3" t="inlineStr">
        <is>
          <t>Data Entry - Remote Work</t>
        </is>
      </c>
      <c r="D203" s="3" t="inlineStr">
        <is>
          <t>INDI Staffing Services</t>
        </is>
      </c>
      <c r="E203" s="7" t="n">
        <v>0.58</v>
      </c>
      <c r="F203" s="2" t="inlineStr">
        <is>
          <t>Remoto</t>
        </is>
      </c>
      <c r="G203" s="5">
        <f>HYPERLINK("https://co.linkedin.com/jobs/view/data-entry-remote-work-at-indi-staffing-services-4479514857",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d73788010c0fb4b1</t>
        </is>
      </c>
      <c r="B204" s="2" t="inlineStr">
        <is>
          <t>2026-10-14 15:54</t>
        </is>
      </c>
      <c r="C204" s="3" t="inlineStr">
        <is>
          <t>Auxiliar administrativo/a Sede Caucasia</t>
        </is>
      </c>
      <c r="D204" s="3" t="inlineStr">
        <is>
          <t>Uniremington</t>
        </is>
      </c>
      <c r="E204" s="7" t="n">
        <v>0.58</v>
      </c>
      <c r="F204" s="2" t="inlineStr">
        <is>
          <t>Remoto</t>
        </is>
      </c>
      <c r="G204" s="5">
        <f>HYPERLINK("https://co.linkedin.com/jobs/view/auxiliar-administrativo-a-sede-caucasia-at-uniremington-4479234300",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1e615b73642574ca</t>
        </is>
      </c>
      <c r="B205" s="2" t="inlineStr">
        <is>
          <t>2026-10-15 15:43</t>
        </is>
      </c>
      <c r="C205" s="3" t="inlineStr">
        <is>
          <t>Digitador / Auxiliar de Datos Remoto</t>
        </is>
      </c>
      <c r="D205" s="3" t="inlineStr">
        <is>
          <t>MÁS QUE PIZZA</t>
        </is>
      </c>
      <c r="E205" s="7" t="n">
        <v>0.58</v>
      </c>
      <c r="F205" s="2" t="inlineStr">
        <is>
          <t>Remoto</t>
        </is>
      </c>
      <c r="G205" s="5">
        <f>HYPERLINK("https://co.computrabajo.com/ofertas-de-trabajo/oferta-de-trabajo-de-digitador-auxiliar-de-datos-remoto-sin-experiencia-manejo-basico-de-excel-en-bogota-dc-CA495496FFC84E1761373E686DCF3405", "Ver Vacante")</f>
        <v/>
      </c>
      <c r="H205" s="6" t="inlineStr">
        <is>
          <t>$ 1.440.000,00 (Mensual)</t>
        </is>
      </c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856586a382d7d861</t>
        </is>
      </c>
      <c r="B206" s="2" t="inlineStr">
        <is>
          <t>2026-10-16 15:24</t>
        </is>
      </c>
      <c r="C206" s="3" t="inlineStr">
        <is>
          <t>Asistente administrativo de admisiones _ puerto colombia</t>
        </is>
      </c>
      <c r="D206" s="3" t="inlineStr">
        <is>
          <t>Fundación Universitaria San Martin</t>
        </is>
      </c>
      <c r="E206" s="7" t="n">
        <v>0.58</v>
      </c>
      <c r="F206" s="2" t="inlineStr">
        <is>
          <t>Remoto</t>
        </is>
      </c>
      <c r="G206" s="5">
        <f>HYPERLINK("https://www.elempleo.com/co/ofertas-trabajo/asistente-administrativo-de-admisiones-puerto-colombia-1886780174",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8e556aeab870f0d3</t>
        </is>
      </c>
      <c r="B207" s="2" t="inlineStr">
        <is>
          <t>2026-10-17 14:17</t>
        </is>
      </c>
      <c r="C207" s="3" t="inlineStr">
        <is>
          <t>Young Professional – Data Entry - Remote Work</t>
        </is>
      </c>
      <c r="D207" s="3" t="inlineStr">
        <is>
          <t>BairesDev</t>
        </is>
      </c>
      <c r="E207" s="7" t="n">
        <v>0.58</v>
      </c>
      <c r="F207" s="2" t="inlineStr">
        <is>
          <t>Remoto</t>
        </is>
      </c>
      <c r="G207" s="5">
        <f>HYPERLINK("https://co.linkedin.com/jobs/view/young-professional-%E2%80%93-data-entry-remote-work-at-bairesdev-4479604004",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307a5d082ee6ef17</t>
        </is>
      </c>
      <c r="B208" s="2" t="inlineStr">
        <is>
          <t>2026-10-17 14:17</t>
        </is>
      </c>
      <c r="C208" s="3" t="inlineStr">
        <is>
          <t>Tax Data Entry &amp; Preparation Specialist - 65863452249</t>
        </is>
      </c>
      <c r="D208" s="3" t="inlineStr">
        <is>
          <t>Somewhere</t>
        </is>
      </c>
      <c r="E208" s="7" t="n">
        <v>0.58</v>
      </c>
      <c r="F208" s="2" t="inlineStr">
        <is>
          <t>Remoto</t>
        </is>
      </c>
      <c r="G208" s="5">
        <f>HYPERLINK("https://co.linkedin.com/jobs/view/tax-data-entry-preparation-specialist-65863452249-at-somewhere-4480534787",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a033e2534bb77521</t>
        </is>
      </c>
      <c r="B209" s="2" t="inlineStr">
        <is>
          <t>2026-10-19 17:33</t>
        </is>
      </c>
      <c r="C209" s="3" t="inlineStr">
        <is>
          <t>Auxiliar administrativo - mercadeo</t>
        </is>
      </c>
      <c r="D209" s="3" t="inlineStr">
        <is>
          <t>Confidencial</t>
        </is>
      </c>
      <c r="E209" s="7" t="n">
        <v>0.58</v>
      </c>
      <c r="F209" s="2" t="inlineStr">
        <is>
          <t>Remoto</t>
        </is>
      </c>
      <c r="G209" s="5">
        <f>HYPERLINK("https://www.elempleo.com/co/ofertas-trabajo/auxiliar-administrativo-mercadeo-1886781917",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b198abb4477fb8cd</t>
        </is>
      </c>
      <c r="B210" s="2" t="inlineStr">
        <is>
          <t>2026-10-20 15:46</t>
        </is>
      </c>
      <c r="C210" s="3" t="inlineStr">
        <is>
          <t>Asistente Virtual Bilingüe</t>
        </is>
      </c>
      <c r="D210" s="3" t="inlineStr">
        <is>
          <t>VICARS AUTOGLASS</t>
        </is>
      </c>
      <c r="E210" s="7" t="n">
        <v>0.58</v>
      </c>
      <c r="F210" s="2" t="inlineStr">
        <is>
          <t>Remoto</t>
        </is>
      </c>
      <c r="G210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0" s="6" t="inlineStr">
        <is>
          <t>$ 4.576.000,00 (Mensual)</t>
        </is>
      </c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3110a1609a561be9</t>
        </is>
      </c>
      <c r="B211" s="2" t="inlineStr">
        <is>
          <t>2026-10-20 15:46</t>
        </is>
      </c>
      <c r="C211" s="3" t="inlineStr">
        <is>
          <t>Digitador/a</t>
        </is>
      </c>
      <c r="D211" s="3" t="inlineStr">
        <is>
          <t>HESEGO INGENIERÍA SAS</t>
        </is>
      </c>
      <c r="E211" s="7" t="n">
        <v>0.58</v>
      </c>
      <c r="F211" s="2" t="inlineStr">
        <is>
          <t>Remoto</t>
        </is>
      </c>
      <c r="G211" s="5">
        <f>HYPERLINK("https://co.linkedin.com/jobs/view/digitador-a-at-hesego-ingenier%C3%ADa-sas-4481288815",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45bbe193ea1c74b5</t>
        </is>
      </c>
      <c r="B212" s="2" t="inlineStr">
        <is>
          <t>2026-10-20 15:46</t>
        </is>
      </c>
      <c r="C212" s="3" t="inlineStr">
        <is>
          <t>Digitador/a</t>
        </is>
      </c>
      <c r="D212" s="3" t="inlineStr">
        <is>
          <t>SkyDrill Power Systems, LLC</t>
        </is>
      </c>
      <c r="E212" s="7" t="n">
        <v>0.58</v>
      </c>
      <c r="F212" s="2" t="inlineStr">
        <is>
          <t>Remoto</t>
        </is>
      </c>
      <c r="G212" s="5">
        <f>HYPERLINK("https://co.linkedin.com/jobs/view/digitador-a-at-skydrill-power-systems-llc-4481559733",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bab8c57875b70054</t>
        </is>
      </c>
      <c r="B213" s="2" t="inlineStr">
        <is>
          <t>2026-09-24 16:07</t>
        </is>
      </c>
      <c r="C213" s="3" t="inlineStr">
        <is>
          <t>Analista de Servicio al Cliente Digital / Personal con Discapacidad</t>
        </is>
      </c>
      <c r="D213" s="3" t="inlineStr">
        <is>
          <t>HOME BURGERS</t>
        </is>
      </c>
      <c r="E213" s="7" t="n">
        <v>0.53</v>
      </c>
      <c r="F213" s="2" t="inlineStr">
        <is>
          <t>Remoto</t>
        </is>
      </c>
      <c r="G213" s="5">
        <f>HYPERLINK("https://co.computrabajo.com/ofertas-de-trabajo/oferta-de-trabajo-de-analista-de-servicio-al-cliente-digital-personal-con-discapacidad-en-bogota-dc-11CE94961396D4CF61373E686DCF3405", "Ver Vacante")</f>
        <v/>
      </c>
      <c r="H213" s="6" t="inlineStr">
        <is>
          <t>$ 1.750.000,00 (Mensual)</t>
        </is>
      </c>
      <c r="I213" s="3" t="inlineStr">
        <is>
          <t>[Afinidad: 53/100 -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e4553a32da3edf6d</t>
        </is>
      </c>
      <c r="B214" s="2" t="inlineStr">
        <is>
          <t>2026-09-24 16:07</t>
        </is>
      </c>
      <c r="C214" s="3" t="inlineStr">
        <is>
          <t>Asesor de Servicio al Cliente / Remoto</t>
        </is>
      </c>
      <c r="D214" s="3" t="inlineStr">
        <is>
          <t>SIIGO S.A.S</t>
        </is>
      </c>
      <c r="E214" s="7" t="n">
        <v>0.53</v>
      </c>
      <c r="F214" s="2" t="inlineStr">
        <is>
          <t>Remoto</t>
        </is>
      </c>
      <c r="G214" s="5">
        <f>HYPERLINK("https://co.computrabajo.com/ofertas-de-trabajo/oferta-de-trabajo-de-asesor-de-servicio-al-cliente-remoto-en-bogota-dc-00C206C9966382F961373E686DCF3405", "Ver Vacante")</f>
        <v/>
      </c>
      <c r="H214" s="6" t="inlineStr">
        <is>
          <t>$ 1.750.905,00 (Mensual)</t>
        </is>
      </c>
      <c r="I214" s="3" t="inlineStr">
        <is>
          <t>[Afinidad: 53/100 -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838f39602895a4e7</t>
        </is>
      </c>
      <c r="B215" s="2" t="inlineStr">
        <is>
          <t>2026-10-03 15:14</t>
        </is>
      </c>
      <c r="C215" s="3" t="inlineStr">
        <is>
          <t>Analista de facturación (billing analyst)/ inglés b2 /híbrido</t>
        </is>
      </c>
      <c r="D215" s="3" t="inlineStr">
        <is>
          <t>MANPOWER</t>
        </is>
      </c>
      <c r="E215" s="7" t="n">
        <v>0.53</v>
      </c>
      <c r="F215" s="2" t="inlineStr">
        <is>
          <t>Hibrido</t>
        </is>
      </c>
      <c r="G215" s="5">
        <f>HYPERLINK("https://www.elempleo.com/co/ofertas-trabajo/analista-de-facturacion-billing-analyst-ingles-b2-hibrido-1886773841", "Ver Vacante")</f>
        <v/>
      </c>
      <c r="H215" s="6" t="inlineStr"/>
      <c r="I215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c2dea1f07ef53647</t>
        </is>
      </c>
      <c r="B216" s="2" t="inlineStr">
        <is>
          <t>2026-10-06 17:14</t>
        </is>
      </c>
      <c r="C216" s="3" t="inlineStr">
        <is>
          <t>Consultor sap fi-gl / fi-aa s/4hana - remoto colombia</t>
        </is>
      </c>
      <c r="D216" s="3" t="inlineStr">
        <is>
          <t>TALYCAP GLOBAL SAS</t>
        </is>
      </c>
      <c r="E216" s="7" t="n">
        <v>0.53</v>
      </c>
      <c r="F216" s="2" t="inlineStr">
        <is>
          <t>Remoto</t>
        </is>
      </c>
      <c r="G216" s="5">
        <f>HYPERLINK("https://www.elempleo.com/co/ofertas-trabajo/consultor-sap-figl-fiaa-s-4hana-remoto-colombia-1886776900", "Ver Vacante")</f>
        <v/>
      </c>
      <c r="H216" s="6" t="inlineStr"/>
      <c r="I216" s="3" t="inlineStr">
        <is>
          <t>[Afinidad: 53/100 -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d55c5bcc13a598dc</t>
        </is>
      </c>
      <c r="B217" s="2" t="inlineStr">
        <is>
          <t>2026-10-07 17:52</t>
        </is>
      </c>
      <c r="C217" s="3" t="inlineStr">
        <is>
          <t>Asesor(a) de servicio al cliente bilingüe</t>
        </is>
      </c>
      <c r="D217" s="3" t="inlineStr">
        <is>
          <t>Empresa en expansión</t>
        </is>
      </c>
      <c r="E217" s="7" t="n">
        <v>0.53</v>
      </c>
      <c r="F217" s="2" t="inlineStr">
        <is>
          <t>Remoto</t>
        </is>
      </c>
      <c r="G217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17" s="6" t="inlineStr">
        <is>
          <t>$ 3.500.000,00 (Mensual)</t>
        </is>
      </c>
      <c r="I217" s="3" t="inlineStr">
        <is>
          <t>[Afinidad: 53/100 -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08504d61be6d0f7f</t>
        </is>
      </c>
      <c r="B218" s="2" t="inlineStr">
        <is>
          <t>2026-10-14 15:54</t>
        </is>
      </c>
      <c r="C218" s="3" t="inlineStr">
        <is>
          <t>Consultor sap datasphere - remoto</t>
        </is>
      </c>
      <c r="D218" s="3" t="inlineStr">
        <is>
          <t>Cinte Colombia SAS</t>
        </is>
      </c>
      <c r="E218" s="7" t="n">
        <v>0.53</v>
      </c>
      <c r="F218" s="2" t="inlineStr">
        <is>
          <t>Remoto</t>
        </is>
      </c>
      <c r="G218" s="5">
        <f>HYPERLINK("https://www.elempleo.com/co/ofertas-trabajo/consultor-sap-datasphere-remoto-1886759862", "Ver Vacante")</f>
        <v/>
      </c>
      <c r="H218" s="6" t="inlineStr"/>
      <c r="I218" s="3" t="inlineStr">
        <is>
          <t>[Afinidad: 53/100 -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fd0cf1451b259786</t>
        </is>
      </c>
      <c r="B219" s="2" t="inlineStr">
        <is>
          <t>2026-10-16 15:24</t>
        </is>
      </c>
      <c r="C219" s="3" t="inlineStr">
        <is>
          <t>Asesor de Servicio al Cliente / Remoto</t>
        </is>
      </c>
      <c r="D219" s="3" t="inlineStr">
        <is>
          <t>SIIGO S.A.S</t>
        </is>
      </c>
      <c r="E219" s="7" t="n">
        <v>0.53</v>
      </c>
      <c r="F219" s="2" t="inlineStr">
        <is>
          <t>Remoto</t>
        </is>
      </c>
      <c r="G219" s="5">
        <f>HYPERLINK("https://co.computrabajo.com/ofertas-de-trabajo/oferta-de-trabajo-de-asesor-de-servicio-al-cliente-remoto-en-bogota-dc-0757873A03E0E43661373E686DCF3405", "Ver Vacante")</f>
        <v/>
      </c>
      <c r="H219" s="6" t="inlineStr">
        <is>
          <t>$ 1.750.905,00 (Mensual)</t>
        </is>
      </c>
      <c r="I219" s="3" t="inlineStr">
        <is>
          <t>[Afinidad: 53/100 -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f4f5539b99aa321c</t>
        </is>
      </c>
      <c r="B220" s="2" t="inlineStr">
        <is>
          <t>2026-10-17 14:17</t>
        </is>
      </c>
      <c r="C220" s="3" t="inlineStr">
        <is>
          <t>Analista de cartera y servicio al cliente</t>
        </is>
      </c>
      <c r="D220" s="3" t="inlineStr">
        <is>
          <t>AMANECER MEDICO SAS</t>
        </is>
      </c>
      <c r="E220" s="7" t="n">
        <v>0.53</v>
      </c>
      <c r="F220" s="2" t="inlineStr">
        <is>
          <t>Remoto</t>
        </is>
      </c>
      <c r="G220" s="5">
        <f>HYPERLINK("https://co.linkedin.com/jobs/view/analista-de-cartera-y-servicio-al-cliente-at-amanecer-medico-sas-4480538113", "Ver Vacante")</f>
        <v/>
      </c>
      <c r="H220" s="6" t="inlineStr"/>
      <c r="I220" s="3" t="inlineStr">
        <is>
          <t>[Afinidad: 53/100 -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cd1036bcf66024dc</t>
        </is>
      </c>
      <c r="B221" s="2" t="inlineStr">
        <is>
          <t>2026-09-26 15:05</t>
        </is>
      </c>
      <c r="C221" s="3" t="inlineStr">
        <is>
          <t>Aprendiz practicante administrativo</t>
        </is>
      </c>
      <c r="D221" s="3" t="inlineStr">
        <is>
          <t>Bold.co</t>
        </is>
      </c>
      <c r="E221" s="7" t="n">
        <v>0.5</v>
      </c>
      <c r="F221" s="2" t="inlineStr">
        <is>
          <t>Remoto</t>
        </is>
      </c>
      <c r="G221" s="5">
        <f>HYPERLINK("https://co.linkedin.com/jobs/view/aprendiz-practicante-administrativo-etapa-productiva-at-bold-4457032181", "Ver Vacante")</f>
        <v/>
      </c>
      <c r="H221" s="6" t="inlineStr"/>
      <c r="I221" s="3" t="inlineStr">
        <is>
          <t>[Afinidad: 50/100 - Afinidad Moderada] Afinidad en rol base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dbdce1eb16060a6a</t>
        </is>
      </c>
      <c r="B222" s="2" t="inlineStr">
        <is>
          <t>2026-09-28 18:38</t>
        </is>
      </c>
      <c r="C222" s="3" t="inlineStr">
        <is>
          <t>Auxiliar contable jr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HYPERLINK("https://www.elempleo.com/co/ofertas-trabajo/auxiliar-contable-jr-1886767584", "Ver Vacante")</f>
        <v/>
      </c>
      <c r="H222" s="6" t="inlineStr"/>
      <c r="I222" s="3" t="inlineStr">
        <is>
          <t>[Afinidad: 50/100 - Afinidad Moderada] Afinidad en rol base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550ad8afea6faf9b</t>
        </is>
      </c>
      <c r="B223" s="2" t="inlineStr">
        <is>
          <t>2026-09-28 18:38</t>
        </is>
      </c>
      <c r="C223" s="3" t="inlineStr">
        <is>
          <t>Auxiliar Contable Junior</t>
        </is>
      </c>
      <c r="D223" s="3" t="inlineStr">
        <is>
          <t>Ariadna Communications Group</t>
        </is>
      </c>
      <c r="E223" s="7" t="n">
        <v>0.5</v>
      </c>
      <c r="F223" s="2" t="inlineStr">
        <is>
          <t>Remoto</t>
        </is>
      </c>
      <c r="G223" s="5">
        <f>HYPERLINK("https://co.linkedin.com/jobs/view/auxiliar-contable-junior-at-ariadna-communications-group-4472764062", "Ver Vacante")</f>
        <v/>
      </c>
      <c r="H223" s="6" t="inlineStr"/>
      <c r="I223" s="3" t="inlineStr">
        <is>
          <t>[Afinidad: 50/100 - Afinidad Moderada] Afinidad en rol base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e8956f3876a2127b</t>
        </is>
      </c>
      <c r="B224" s="2" t="inlineStr">
        <is>
          <t>2026-10-15 15:43</t>
        </is>
      </c>
      <c r="C224" s="3" t="inlineStr">
        <is>
          <t>Auxiliar Contable Junior</t>
        </is>
      </c>
      <c r="D224" s="3" t="inlineStr">
        <is>
          <t>Empresa Privada</t>
        </is>
      </c>
      <c r="E224" s="7" t="n">
        <v>0.5</v>
      </c>
      <c r="F224" s="2" t="inlineStr">
        <is>
          <t>Remoto</t>
        </is>
      </c>
      <c r="G224" s="5">
        <f>HYPERLINK("https://co.linkedin.com/jobs/view/auxiliar-contable-junior-at-private-company-4479719285", "Ver Vacante")</f>
        <v/>
      </c>
      <c r="H224" s="6" t="inlineStr"/>
      <c r="I224" s="3" t="inlineStr">
        <is>
          <t>[Afinidad: 50/100 - Afinidad Moderada] Afinidad en rol base (Auxiliar Administrativo / Asistente Virtual). Modalidad: 100% Remoto en Colombia confirmado.</t>
        </is>
      </c>
      <c r="J224" s="2" t="inlineStr">
        <is>
          <t>Nueva</t>
        </is>
      </c>
      <c r="K22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2026-10-20T15:46:08Z</dcterms:created>
  <dcterms:modified xmlns:dcterms="http://purl.org/dc/terms/" xmlns:xsi="http://www.w3.org/2001/XMLSchema-instance" xsi:type="dcterms:W3CDTF">2026-10-20T15:46:08Z</dcterms:modified>
</cp:coreProperties>
</file>