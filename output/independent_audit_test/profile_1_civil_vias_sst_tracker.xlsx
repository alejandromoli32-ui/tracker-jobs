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tes_Vias_S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color rgb="000563C1"/>
      <sz val="10"/>
      <u val="single"/>
    </font>
    <font>
      <name val="Calibri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65" customWidth="1" min="3" max="3"/>
    <col width="35" customWidth="1" min="4" max="4"/>
    <col width="12" customWidth="1" min="5" max="5"/>
    <col width="18" customWidth="1" min="6" max="6"/>
    <col width="18" customWidth="1" min="7" max="7"/>
    <col width="35" customWidth="1" min="8" max="8"/>
    <col width="65" customWidth="1" min="9" max="9"/>
    <col width="16" customWidth="1" min="10" max="10"/>
    <col width="51" customWidth="1" min="11" max="11"/>
  </cols>
  <sheetData>
    <row r="1" ht="28" customHeight="1">
      <c r="A1" s="1" t="inlineStr">
        <is>
          <t>ID/Hash</t>
        </is>
      </c>
      <c r="B1" s="1" t="inlineStr">
        <is>
          <t>Fecha Detección</t>
        </is>
      </c>
      <c r="C1" s="1" t="inlineStr">
        <is>
          <t>Título</t>
        </is>
      </c>
      <c r="D1" s="1" t="inlineStr">
        <is>
          <t>Empresa</t>
        </is>
      </c>
      <c r="E1" s="1" t="inlineStr">
        <is>
          <t>Score %</t>
        </is>
      </c>
      <c r="F1" s="1" t="inlineStr">
        <is>
          <t>Modalidad</t>
        </is>
      </c>
      <c r="G1" s="1" t="inlineStr">
        <is>
          <t>Enlace Directo</t>
        </is>
      </c>
      <c r="H1" s="1" t="inlineStr">
        <is>
          <t>Salario</t>
        </is>
      </c>
      <c r="I1" s="1" t="inlineStr">
        <is>
          <t>Resumen de Afinidad</t>
        </is>
      </c>
      <c r="J1" s="1" t="inlineStr">
        <is>
          <t>Estado</t>
        </is>
      </c>
      <c r="K1" s="1" t="inlineStr">
        <is>
          <t>Notas Usuario</t>
        </is>
      </c>
    </row>
    <row r="2" ht="22" customHeight="1">
      <c r="A2" s="2" t="inlineStr">
        <is>
          <t>mock_ideal_002</t>
        </is>
      </c>
      <c r="B2" s="2" t="inlineStr">
        <is>
          <t>2026-09-22 00:43</t>
        </is>
      </c>
      <c r="C2" s="3" t="inlineStr">
        <is>
          <t>Consultor/a Senior de Infraestructura Vial y Seguridad Laboral - Teletrabajo</t>
        </is>
      </c>
      <c r="D2" s="3" t="inlineStr">
        <is>
          <t>Infraservicios Colombia Tech</t>
        </is>
      </c>
      <c r="E2" s="4" t="n">
        <v>1</v>
      </c>
      <c r="F2" s="2" t="inlineStr">
        <is>
          <t>Remoto</t>
        </is>
      </c>
      <c r="G2" s="5">
        <f>HYPERLINK("https://www.elempleo.com/co/ofertas-trabajo/mock-ideal-002", "Ver Vacante")</f>
        <v/>
      </c>
      <c r="H2" s="6" t="inlineStr">
        <is>
          <t>$ 10.500.000 - $ 13.000.000 COP</t>
        </is>
      </c>
      <c r="I2" s="3" t="inlineStr">
        <is>
          <t>[Afinidad: 100/100 - Alta Afinidad] Coincide plenamente con el perfil Ingeniera Civil Senior - Especialista en Vías &amp; SST, integrando infraestructura vial y SG-SST (Sinergia dual). Modalidad: 100% Remoto en Colombia confirmado. Observación: Requiere tarjeta profesional COPNIA, Licencia en Seguridad y Salud en el Trabajo (SST) vigente.</t>
        </is>
      </c>
      <c r="J2" s="2" t="inlineStr">
        <is>
          <t>Nueva</t>
        </is>
      </c>
      <c r="K2" s="3" t="inlineStr"/>
    </row>
    <row r="3" ht="22" customHeight="1">
      <c r="A3" s="2" t="inlineStr">
        <is>
          <t>mock_ideal_003</t>
        </is>
      </c>
      <c r="B3" s="2" t="inlineStr">
        <is>
          <t>2026-09-22 00:43</t>
        </is>
      </c>
      <c r="C3" s="3" t="inlineStr">
        <is>
          <t>Coordinador Nacional de Seguridad y Salud en el Trabajo (SST) e Interventoría Vial</t>
        </is>
      </c>
      <c r="D3" s="3" t="inlineStr">
        <is>
          <t>Consorcio Vías Concesionadas</t>
        </is>
      </c>
      <c r="E3" s="4" t="n">
        <v>1</v>
      </c>
      <c r="F3" s="2" t="inlineStr">
        <is>
          <t>Remoto</t>
        </is>
      </c>
      <c r="G3" s="5">
        <f>HYPERLINK("https://co.linkedin.com/jobs/view/mock-ideal-003", "Ver Vacante")</f>
        <v/>
      </c>
      <c r="H3" s="6" t="inlineStr">
        <is>
          <t>$ 9.500.000 - $ 12.000.000 COP</t>
        </is>
      </c>
      <c r="I3" s="3" t="inlineStr">
        <is>
          <t>[Afinidad: 100/100 - Alta Afinidad] Coincide plenamente con el perfil Ingeniera Civil Senior - Especialista en Vías &amp; SST, integrando infraestructura vial y SG-SST (Sinergia dual). Modalidad: 100% Remoto en Colombia confirmado. Observación: Requiere tarjeta profesional COPNIA, Licencia en Seguridad y Salud en el Trabajo (SST) vigente.</t>
        </is>
      </c>
      <c r="J3" s="2" t="inlineStr">
        <is>
          <t>Nueva</t>
        </is>
      </c>
      <c r="K3" s="3" t="inlineStr"/>
    </row>
    <row r="4" ht="22" customHeight="1">
      <c r="A4" s="2" t="inlineStr">
        <is>
          <t>mock_edge_011</t>
        </is>
      </c>
      <c r="B4" s="2" t="inlineStr">
        <is>
          <t>2026-09-22 00:43</t>
        </is>
      </c>
      <c r="C4" s="3" t="inlineStr">
        <is>
          <t>Ingeniero/a consultor vias y seguridad</t>
        </is>
      </c>
      <c r="D4" s="3" t="inlineStr">
        <is>
          <t>Consultores Generales</t>
        </is>
      </c>
      <c r="E4" s="7" t="n">
        <v>0.58</v>
      </c>
      <c r="F4" s="2" t="inlineStr">
        <is>
          <t>Desconocido</t>
        </is>
      </c>
      <c r="G4" s="5">
        <f>HYPERLINK("https://co.computrabajo.com/ofertas-de-trabajo/mock-edge-011", "Ver Vacante")</f>
        <v/>
      </c>
      <c r="H4" s="6" t="inlineStr"/>
      <c r="I4" s="3" t="inlineStr">
        <is>
          <t>[Afinidad: 58/100 - Afinidad Moderada] Alta coincidencia técnica en infraestructura vial, diseño geométrico y pavimentos. Modalidad: Modalidad no declarada o por verificar.</t>
        </is>
      </c>
      <c r="J4" s="2" t="inlineStr">
        <is>
          <t>Nueva</t>
        </is>
      </c>
      <c r="K4" s="3" t="inlineStr"/>
    </row>
    <row r="5" ht="22" customHeight="1">
      <c r="A5" s="2" t="inlineStr">
        <is>
          <t>mock_nonmatch_008</t>
        </is>
      </c>
      <c r="B5" s="2" t="inlineStr">
        <is>
          <t>2026-09-22 00:43</t>
        </is>
      </c>
      <c r="C5" s="3" t="inlineStr">
        <is>
          <t>Especialista Hidráulico y Sanitario para Plantas de Tratamiento de Aguas Residuales</t>
        </is>
      </c>
      <c r="D5" s="3" t="inlineStr">
        <is>
          <t>Aguas y Cuencas Ambientales S.A.S. E.S.P.</t>
        </is>
      </c>
      <c r="E5" s="7" t="n">
        <v>0.5</v>
      </c>
      <c r="F5" s="2" t="inlineStr">
        <is>
          <t>Remoto</t>
        </is>
      </c>
      <c r="G5" s="5">
        <f>HYPERLINK("https://www.elempleo.com/co/ofertas-trabajo/mock-nonmatch-008", "Ver Vacante")</f>
        <v/>
      </c>
      <c r="H5" s="6" t="inlineStr">
        <is>
          <t>$ 7.500.000 COP</t>
        </is>
      </c>
      <c r="I5" s="3" t="inlineStr">
        <is>
          <t>[Afinidad: 50/100 - Afinidad Moderada] Afinidad en disciplina base (Ingeniera Civil Especialista en Vías y SST) sin especialidad directa en vías/SST. Modalidad: 100% Remoto en Colombia confirmado.</t>
        </is>
      </c>
      <c r="J5" s="2" t="inlineStr">
        <is>
          <t>Nueva</t>
        </is>
      </c>
      <c r="K5" s="3" t="inlineStr"/>
    </row>
    <row r="6" ht="22" customHeight="1">
      <c r="A6" s="2" t="inlineStr">
        <is>
          <t>mock_ideal_001</t>
        </is>
      </c>
      <c r="B6" s="2" t="inlineStr">
        <is>
          <t>2026-09-22 00:43</t>
        </is>
      </c>
      <c r="C6" s="3" t="inlineStr">
        <is>
          <t>Directora Técnica de Consultoría e Interventoría Vial y SST</t>
        </is>
      </c>
      <c r="D6" s="3" t="inlineStr">
        <is>
          <t>Vías Andinas Consultores &amp; Asociados S.A.S.</t>
        </is>
      </c>
      <c r="E6" s="4" t="n">
        <v>1</v>
      </c>
      <c r="F6" s="2" t="inlineStr">
        <is>
          <t>Remoto</t>
        </is>
      </c>
      <c r="G6" s="5">
        <f>HYPERLINK("https://co.computrabajo.com/ofertas-de-trabajo/mock-ideal-001", "Ver Vacante")</f>
        <v/>
      </c>
      <c r="H6" s="6" t="inlineStr">
        <is>
          <t>$ 12.000.000 - $ 15.000.000 COP</t>
        </is>
      </c>
      <c r="I6" s="3" t="inlineStr">
        <is>
          <t>[Afinidad: 100/100 - Alta Afinidad] Coincide plenamente con el perfil Ingeniera Civil Senior - Especialista en Vías &amp; SST, integrando infraestructura vial y SG-SST (Sinergia dual). Modalidad: 100% Remoto en Colombia confirmado. Observación: Requiere tarjeta profesional COPNIA, Licencia en Seguridad y Salud en el Trabajo (SST) vigente, curso SG-SST (Res. 0312).</t>
        </is>
      </c>
      <c r="J6" s="2" t="inlineStr">
        <is>
          <t>Postulado</t>
        </is>
      </c>
      <c r="K6" s="3" t="inlineStr">
        <is>
          <t>Postulado el 22/09 con CV adaptado vía LinkedIn</t>
        </is>
      </c>
    </row>
  </sheetData>
  <dataValidations count="1">
    <dataValidation sqref="J2:J500" showDropDown="0" showInputMessage="0" showErrorMessage="0" allowBlank="1" type="list">
      <formula1>"Nueva,Por revisar,Postulado,Descartado,Entrevista"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2026-09-22T05:44:00Z</dcterms:created>
  <dcterms:modified xmlns:dcterms="http://purl.org/dc/terms/" xmlns:xsi="http://www.w3.org/2001/XMLSchema-instance" xsi:type="dcterms:W3CDTF">2026-09-22T05:44:00Z</dcterms:modified>
</cp:coreProperties>
</file>