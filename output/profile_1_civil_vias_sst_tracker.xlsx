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3df323e107db7350</t>
        </is>
      </c>
      <c r="B28" s="2" t="inlineStr">
        <is>
          <t>2026-10-26 17:16</t>
        </is>
      </c>
      <c r="C28" s="3" t="inlineStr">
        <is>
          <t>Ingeniero esp en sst - experto en pesv - bogota</t>
        </is>
      </c>
      <c r="D28" s="3" t="inlineStr">
        <is>
          <t>Confidencial</t>
        </is>
      </c>
      <c r="E28" s="4" t="n">
        <v>0.7</v>
      </c>
      <c r="F28" s="2" t="inlineStr">
        <is>
          <t>Remoto</t>
        </is>
      </c>
      <c r="G28" s="5">
        <f>HYPERLINK("https://www.elempleo.com/co/ofertas-trabajo/ingeniero-esp-en-sst-experto-en-pesv-bogota-1886785047", "Ver Vacante")</f>
        <v/>
      </c>
      <c r="H28" s="6" t="inlineStr"/>
      <c r="I28" s="3" t="inlineStr">
        <is>
          <t>[Afinidad: 70/100 - Alta Afinidad]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d7290bda5f5a3783</t>
        </is>
      </c>
      <c r="B29" s="2" t="inlineStr">
        <is>
          <t>2026-09-22 03:17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30674ca816381080</t>
        </is>
      </c>
      <c r="B30" s="2" t="inlineStr">
        <is>
          <t>2026-09-22 05:09</t>
        </is>
      </c>
      <c r="C30" s="3" t="inlineStr">
        <is>
          <t>ing civil , transporte y vias , director de planeacion, control , ejecucion de proyectos</t>
        </is>
      </c>
      <c r="D30" s="3" t="inlineStr">
        <is>
          <t>Gestión Vial Integral S.A.S.</t>
        </is>
      </c>
      <c r="E30" s="7" t="n">
        <v>0.68</v>
      </c>
      <c r="F30" s="2" t="inlineStr">
        <is>
          <t>Remoto</t>
        </is>
      </c>
      <c r="G30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30" s="6" t="inlineStr">
        <is>
          <t>$ 8.000.000,00 (Mensual)</t>
        </is>
      </c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d1f260d2af51a1e6</t>
        </is>
      </c>
      <c r="B31" s="2" t="inlineStr">
        <is>
          <t>2026-09-22 05:09</t>
        </is>
      </c>
      <c r="C31" s="3" t="inlineStr">
        <is>
          <t>Director de proyecto vias</t>
        </is>
      </c>
      <c r="D31" s="3" t="inlineStr">
        <is>
          <t>Confidencial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HYPERLINK("https://www.elempleo.com/co/ofertas-trabajo/director-de-proyecto-vias-1886748722",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e3792621ae55f067</t>
        </is>
      </c>
      <c r="B32" s="2" t="inlineStr">
        <is>
          <t>2026-10-02 16:36</t>
        </is>
      </c>
      <c r="C32" s="3" t="inlineStr">
        <is>
          <t>Director de interventoría infraestructura vial espacio público o sistemas brt bogotá</t>
        </is>
      </c>
      <c r="D32" s="3" t="inlineStr">
        <is>
          <t>MAB INGENIERIA DE VALOR SA</t>
        </is>
      </c>
      <c r="E32" s="7" t="n">
        <v>0.68</v>
      </c>
      <c r="F32" s="2" t="inlineStr">
        <is>
          <t>Remoto</t>
        </is>
      </c>
      <c r="G32" s="5">
        <f>HYPERLINK("https://www.elempleo.com/co/ofertas-trabajo/director-de-interventoria-infraestructura-vial-espacio-publico-o-sistemas-brt-bogota-1886775387", "Ver Vacante")</f>
        <v/>
      </c>
      <c r="H32" s="6" t="inlineStr"/>
      <c r="I32" s="3" t="inlineStr">
        <is>
          <t>[Afinidad: 68/100 -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05a548383c525988</t>
        </is>
      </c>
      <c r="B33" s="2" t="inlineStr">
        <is>
          <t>2026-10-05 19:42</t>
        </is>
      </c>
      <c r="C33" s="3" t="inlineStr">
        <is>
          <t>Analista Qhse con licencia SST</t>
        </is>
      </c>
      <c r="D33" s="3" t="inlineStr">
        <is>
          <t>Importante empresa del sector</t>
        </is>
      </c>
      <c r="E33" s="7" t="n">
        <v>0.65</v>
      </c>
      <c r="F33" s="2" t="inlineStr">
        <is>
          <t>Remoto</t>
        </is>
      </c>
      <c r="G33" s="5">
        <f>HYPERLINK("https://co.computrabajo.com/ofertas-de-trabajo/oferta-de-trabajo-de-analista-qhse-con-licencia-sst-en-barranquilla-A29A19A3AD4E26D761373E686DCF3405", "Ver Vacante")</f>
        <v/>
      </c>
      <c r="H33" s="6" t="inlineStr">
        <is>
          <t>$ 2.300.000,00 (Mensual)</t>
        </is>
      </c>
      <c r="I33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0ae598668848c498</t>
        </is>
      </c>
      <c r="B34" s="2" t="inlineStr">
        <is>
          <t>2026-10-13 18:04</t>
        </is>
      </c>
      <c r="C34" s="3" t="inlineStr">
        <is>
          <t>Líder de SG-SST Y SGA</t>
        </is>
      </c>
      <c r="D34" s="3" t="inlineStr">
        <is>
          <t>Fondant Cakes</t>
        </is>
      </c>
      <c r="E34" s="7" t="n">
        <v>0.65</v>
      </c>
      <c r="F34" s="2" t="inlineStr">
        <is>
          <t>Remoto</t>
        </is>
      </c>
      <c r="G34" s="5">
        <f>HYPERLINK("https://co.linkedin.com/jobs/view/l%C3%ADder-de-sg-sst-y-sga-at-fondant-cakes-4479040619", "Ver Vacante")</f>
        <v/>
      </c>
      <c r="H34" s="6" t="inlineStr"/>
      <c r="I34" s="3" t="inlineStr">
        <is>
          <t>[Afinidad: 65/100 -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7ca1ad59dab87f3d</t>
        </is>
      </c>
      <c r="B35" s="2" t="inlineStr">
        <is>
          <t>2026-09-22 05:09</t>
        </is>
      </c>
      <c r="C35" s="3" t="inlineStr">
        <is>
          <t>ingeniero civil o transporte y vias , postgrado diseño vias, exp de cinco años en diseño vias</t>
        </is>
      </c>
      <c r="D35" s="3" t="inlineStr">
        <is>
          <t>Gestión Vial Integral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5" s="6" t="inlineStr">
        <is>
          <t>$ 5.500.000,00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996d4431668c2172</t>
        </is>
      </c>
      <c r="B36" s="2" t="inlineStr">
        <is>
          <t>2026-09-22 05:09</t>
        </is>
      </c>
      <c r="C36" s="3" t="inlineStr">
        <is>
          <t>Ingeniero Civil o Ingeniero de Vías y Transporte</t>
        </is>
      </c>
      <c r="D36" s="3" t="inlineStr">
        <is>
          <t>GCS CONSTRUCCIONES S A S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HYPERLINK("https://co.computrabajo.com/ofertas-de-trabajo/oferta-de-trabajo-de-ingeniero-civil-o-ingeniero-de-vias-y-transporte-se-requiere-posgrado-en-la-belleza-1E4C34A6305A99C961373E686DCF3405",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3465193d5051ccd2</t>
        </is>
      </c>
      <c r="B37" s="2" t="inlineStr">
        <is>
          <t>2026-09-22 05:09</t>
        </is>
      </c>
      <c r="C37" s="3" t="inlineStr">
        <is>
          <t>Ingeniero Civil Especialista en Vías – Residente de Interventoría</t>
        </is>
      </c>
      <c r="D37" s="3" t="inlineStr">
        <is>
          <t>STRUCTONIA S.A.S.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7" s="6" t="inlineStr">
        <is>
          <t>$ 4.250.000,00 (Mensual)</t>
        </is>
      </c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540fc0f8d433dd02</t>
        </is>
      </c>
      <c r="B38" s="2" t="inlineStr">
        <is>
          <t>2026-09-22 05:09</t>
        </is>
      </c>
      <c r="C38" s="3" t="inlineStr">
        <is>
          <t>Ingeniero de infraestructura vial</t>
        </is>
      </c>
      <c r="D38" s="3" t="inlineStr">
        <is>
          <t>INZIGNIA CONSTRUCTION S.A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HYPERLINK("https://www.elempleo.com/co/ofertas-trabajo/ingeniero-de-infraestructura-vial-1886744406",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3d719b8e664390cc</t>
        </is>
      </c>
      <c r="B39" s="2" t="inlineStr">
        <is>
          <t>2026-09-22 05:09</t>
        </is>
      </c>
      <c r="C39" s="3" t="inlineStr">
        <is>
          <t>Especialista en Vías</t>
        </is>
      </c>
      <c r="D39" s="3" t="inlineStr">
        <is>
          <t>Grupo Cal y Mayor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HYPERLINK("https://co.linkedin.com/jobs/view/especialista-en-v%C3%ADas-at-cal-y-mayor-4444576886",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cd1fbb60948260e1</t>
        </is>
      </c>
      <c r="B40" s="2" t="inlineStr">
        <is>
          <t>2026-09-22 05:09</t>
        </is>
      </c>
      <c r="C40" s="3" t="inlineStr">
        <is>
          <t>Modelador/a BIM en Civil 3D- Infraestructura</t>
        </is>
      </c>
      <c r="D40" s="3" t="inlineStr">
        <is>
          <t>IDOM Consulting, Engineering, Architecture</t>
        </is>
      </c>
      <c r="E40" s="7" t="n">
        <v>0.63</v>
      </c>
      <c r="F40" s="2" t="inlineStr">
        <is>
          <t>Remoto</t>
        </is>
      </c>
      <c r="G40" s="5">
        <f>HYPERLINK("https://co.linkedin.com/jobs/view/modelador-a-bim-en-civil-3d-infraestructura-at-idom-consulting-engineering-architecture-4443664764",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9f470ed483d687e0</t>
        </is>
      </c>
      <c r="B41" s="2" t="inlineStr">
        <is>
          <t>2026-09-22 05:09</t>
        </is>
      </c>
      <c r="C41" s="3" t="inlineStr">
        <is>
          <t>Especialista HSE/SST</t>
        </is>
      </c>
      <c r="D41" s="3" t="inlineStr">
        <is>
          <t>SOE 360</t>
        </is>
      </c>
      <c r="E41" s="7" t="n">
        <v>0.63</v>
      </c>
      <c r="F41" s="2" t="inlineStr">
        <is>
          <t>Remoto</t>
        </is>
      </c>
      <c r="G41" s="5">
        <f>HYPERLINK("https://co.linkedin.com/jobs/view/especialista-hse-sst-at-soe-360-4468830991", "Ver Vacante")</f>
        <v/>
      </c>
      <c r="H41" s="6" t="inlineStr"/>
      <c r="I41" s="3" t="inlineStr">
        <is>
          <t>[Afinidad: 63/100 - Afinidad Moderada] Alta coincidencia en gestión de Seguridad y Salud en el Trabajo (SST).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b012c4d50427116c</t>
        </is>
      </c>
      <c r="B42" s="2" t="inlineStr">
        <is>
          <t>2026-09-23 10:17</t>
        </is>
      </c>
      <c r="C42" s="3" t="inlineStr">
        <is>
          <t>Ngeniero ambiental - proyecto de infraestructura vial</t>
        </is>
      </c>
      <c r="D42" s="3" t="inlineStr">
        <is>
          <t>INGEPLAN.CO SAS EMPRESA DE BENEFICIO E INTERES COLECTIVO BIC</t>
        </is>
      </c>
      <c r="E42" s="7" t="n">
        <v>0.63</v>
      </c>
      <c r="F42" s="2" t="inlineStr">
        <is>
          <t>Remoto</t>
        </is>
      </c>
      <c r="G42" s="5">
        <f>HYPERLINK("https://www.elempleo.com/co/ofertas-trabajo/ngeniero-ambiental-proyecto-de-infraestructura-vial-1886770821",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b8c7f4e949ae761f</t>
        </is>
      </c>
      <c r="B43" s="2" t="inlineStr">
        <is>
          <t>2026-09-23 10:17</t>
        </is>
      </c>
      <c r="C43" s="3" t="inlineStr">
        <is>
          <t>Ingeniero/a Especialista en Infraestructura Vial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HYPERLINK("https://co.linkedin.com/jobs/view/ingeniero-a-especialista-en-infraestructura-vial-y-ferroviaria-at-eadic-4468015054",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becce396d2547b8d</t>
        </is>
      </c>
      <c r="B44" s="2" t="inlineStr">
        <is>
          <t>2026-09-24 15:49</t>
        </is>
      </c>
      <c r="C44" s="3" t="inlineStr">
        <is>
          <t>Docente hora cátedra en SST profesional en Seguridad y Salud en el Trabajo o especialista en SST</t>
        </is>
      </c>
      <c r="D44" s="3" t="inlineStr">
        <is>
          <t>Importante empresa del sector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4" s="6" t="inlineStr">
        <is>
          <t>$ 1.750.905,00 (Mensual)</t>
        </is>
      </c>
      <c r="I44" s="3" t="inlineStr">
        <is>
          <t>[Afinidad: 63/100 -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e571b860e8acaf54</t>
        </is>
      </c>
      <c r="B45" s="2" t="inlineStr">
        <is>
          <t>2026-09-26 15:00</t>
        </is>
      </c>
      <c r="C45" s="3" t="inlineStr">
        <is>
          <t>Convocatoria laboral cargos de infraestructura vial</t>
        </is>
      </c>
      <c r="D45" s="3" t="inlineStr">
        <is>
          <t>Comfenalco Valle delagente</t>
        </is>
      </c>
      <c r="E45" s="7" t="n">
        <v>0.63</v>
      </c>
      <c r="F45" s="2" t="inlineStr">
        <is>
          <t>Remoto</t>
        </is>
      </c>
      <c r="G45" s="5">
        <f>HYPERLINK("https://co.linkedin.com/jobs/view/convocatoria-laboral-cargos-de-infraestructura-vial-at-comfenalco-valle-delagente-4472280395",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e6ae0e580612243c</t>
        </is>
      </c>
      <c r="B46" s="2" t="inlineStr">
        <is>
          <t>2026-09-29 16:56</t>
        </is>
      </c>
      <c r="C46" s="3" t="inlineStr">
        <is>
          <t>Residente técnico interventoría infraestructura vial urbana para tráfico automotor o sistema brt</t>
        </is>
      </c>
      <c r="D46" s="3" t="inlineStr">
        <is>
          <t>MAB INGENIERIA DE VALOR SA</t>
        </is>
      </c>
      <c r="E46" s="7" t="n">
        <v>0.63</v>
      </c>
      <c r="F46" s="2" t="inlineStr">
        <is>
          <t>Remoto</t>
        </is>
      </c>
      <c r="G46" s="5">
        <f>HYPERLINK("https://www.elempleo.com/co/ofertas-trabajo/residente-tecnico-interventoria-infraestructura-vial-urbana-para-trafico-automotor-o-sistema-brt-1886773339",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73e2d3e103640d51</t>
        </is>
      </c>
      <c r="B47" s="2" t="inlineStr">
        <is>
          <t>2026-09-30 16:46</t>
        </is>
      </c>
      <c r="C47" s="3" t="inlineStr">
        <is>
          <t>Ingeniero civil o Ingeniero de Transporte y Vías</t>
        </is>
      </c>
      <c r="D47" s="3" t="inlineStr">
        <is>
          <t>Importante empresa del sector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HYPERLINK("https://co.computrabajo.com/ofertas-de-trabajo/oferta-de-trabajo-de-ingeniero-civil-o-ingeniero-de-transporte-y-vias-buga-valle-en-buga-C32A058505E6F21261373E686DCF3405",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5bbbb69b92bdd09f</t>
        </is>
      </c>
      <c r="B48" s="2" t="inlineStr">
        <is>
          <t>2026-10-05 19:42</t>
        </is>
      </c>
      <c r="C48" s="3" t="inlineStr">
        <is>
          <t>Ingeniero/a civil - Infraestructura Vial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HYPERLINK("https://co.linkedin.com/jobs/view/ingeniero-a-civil-infraestructura-vial-y-ferroviaria-at-eadic-4475821715",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aea6611850e60c01</t>
        </is>
      </c>
      <c r="B49" s="2" t="inlineStr">
        <is>
          <t>2026-10-07 17:47</t>
        </is>
      </c>
      <c r="C49" s="3" t="inlineStr">
        <is>
          <t>Ingeniero civil , vias o de transporte</t>
        </is>
      </c>
      <c r="D49" s="3" t="inlineStr">
        <is>
          <t>LOGISTICA LABORAL S.A.S.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HYPERLINK("https://co.computrabajo.com/ofertas-de-trabajo/oferta-de-trabajo-de-ingeniero-civil-vias-o-de-transporte-en-santa-marta-DA87F22BA1A1553C61373E686DCF3405", "Ver Vacante")</f>
        <v/>
      </c>
      <c r="H49" s="6" t="inlineStr">
        <is>
          <t>$ 3.300.000,00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d96918869778d3b7</t>
        </is>
      </c>
      <c r="B50" s="2" t="inlineStr">
        <is>
          <t>2026-10-07 17:47</t>
        </is>
      </c>
      <c r="C50" s="3" t="inlineStr">
        <is>
          <t>Ingeniero civil / infraestructura víal y ferroviaria</t>
        </is>
      </c>
      <c r="D50" s="3" t="inlineStr">
        <is>
          <t>EADIC</t>
        </is>
      </c>
      <c r="E50" s="7" t="n">
        <v>0.63</v>
      </c>
      <c r="F50" s="2" t="inlineStr">
        <is>
          <t>Remoto</t>
        </is>
      </c>
      <c r="G50" s="5">
        <f>HYPERLINK("https://co.linkedin.com/jobs/view/ingeniero-civil-infraestructura-v%C3%ADal-y-ferroviaria-at-eadic-4476797239", "Ver Vacante")</f>
        <v/>
      </c>
      <c r="H50" s="6" t="inlineStr"/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72c51d8667b7c835</t>
        </is>
      </c>
      <c r="B51" s="2" t="inlineStr">
        <is>
          <t>2026-10-08 17:49</t>
        </is>
      </c>
      <c r="C51" s="3" t="inlineStr">
        <is>
          <t>Ingeniero/a civil vías para Carepa</t>
        </is>
      </c>
      <c r="D51" s="3" t="inlineStr">
        <is>
          <t>Ingeniero/a civil vías para Carepa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HYPERLINK("https://co.computrabajo.com/ofertas-de-trabajo/oferta-de-trabajo-de-ingenieroa-civil-vias-para-carepa-en-carepa-60910FD8B83B113961373E686DCF3405", "Ver Vacante")</f>
        <v/>
      </c>
      <c r="H51" s="6" t="inlineStr">
        <is>
          <t>$ 4.800.000,00 (Mensual)</t>
        </is>
      </c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d91a22c1e9ea4186</t>
        </is>
      </c>
      <c r="B52" s="2" t="inlineStr">
        <is>
          <t>2026-10-13 18:04</t>
        </is>
      </c>
      <c r="C52" s="3" t="inlineStr">
        <is>
          <t>Especialista HSE/SST</t>
        </is>
      </c>
      <c r="D52" s="3" t="inlineStr">
        <is>
          <t>SOLUCIONES EMPRESARIALES 360°</t>
        </is>
      </c>
      <c r="E52" s="7" t="n">
        <v>0.63</v>
      </c>
      <c r="F52" s="2" t="inlineStr">
        <is>
          <t>Remoto</t>
        </is>
      </c>
      <c r="G52" s="5">
        <f>HYPERLINK("https://co.computrabajo.com/ofertas-de-trabajo/oferta-de-trabajo-de-especialista-hsesst-en-bogota-dc-B27149B85EE9901761373E686DCF3405",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9d44172a5b0e1932</t>
        </is>
      </c>
      <c r="B53" s="2" t="inlineStr">
        <is>
          <t>2026-10-14 15:48</t>
        </is>
      </c>
      <c r="C53" s="3" t="inlineStr">
        <is>
          <t>Ingeniero especialista en infraestructura vial / ferroviaria</t>
        </is>
      </c>
      <c r="D53" s="3" t="inlineStr">
        <is>
          <t>EADIC</t>
        </is>
      </c>
      <c r="E53" s="7" t="n">
        <v>0.63</v>
      </c>
      <c r="F53" s="2" t="inlineStr">
        <is>
          <t>Remoto</t>
        </is>
      </c>
      <c r="G53" s="5">
        <f>HYPERLINK("https://co.linkedin.com/jobs/view/ingeniero-especialista-en-infraestructura-vial-ferroviaria-at-eadic-4479520305", "Ver Vacante")</f>
        <v/>
      </c>
      <c r="H53" s="6" t="inlineStr"/>
      <c r="I53" s="3" t="inlineStr">
        <is>
          <t>[Afinidad: 63/100 -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51572548d62b1454</t>
        </is>
      </c>
      <c r="B54" s="2" t="inlineStr">
        <is>
          <t>2026-10-14 15:48</t>
        </is>
      </c>
      <c r="C54" s="3" t="inlineStr">
        <is>
          <t>Especialista HSE/SST</t>
        </is>
      </c>
      <c r="D54" s="3" t="inlineStr">
        <is>
          <t>SOE 360</t>
        </is>
      </c>
      <c r="E54" s="7" t="n">
        <v>0.63</v>
      </c>
      <c r="F54" s="2" t="inlineStr">
        <is>
          <t>Remoto</t>
        </is>
      </c>
      <c r="G54" s="5">
        <f>HYPERLINK("https://co.linkedin.com/jobs/view/especialista-hse-sst-at-soe-360-4479221520",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57012d50d286d596</t>
        </is>
      </c>
      <c r="B55" s="2" t="inlineStr">
        <is>
          <t>2026-10-15 15:36</t>
        </is>
      </c>
      <c r="C55" s="3" t="inlineStr">
        <is>
          <t>Especialista HSE/SST</t>
        </is>
      </c>
      <c r="D55" s="3" t="inlineStr">
        <is>
          <t>Importante empresa del sector de construccion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HYPERLINK("https://co.computrabajo.com/ofertas-de-trabajo/oferta-de-trabajo-de-especialista-hsesst-en-bogota-dc-B27149B85EE9901761373E686DCF3405", "Ver Vacante")</f>
        <v/>
      </c>
      <c r="H55" s="6" t="inlineStr"/>
      <c r="I55" s="3" t="inlineStr">
        <is>
          <t>[Afinidad: 63/100 - Afinidad Moderada] Alta coincidencia en gestión de Seguridad y Salud en el Trabajo (SST).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0b2990be6d694ecb</t>
        </is>
      </c>
      <c r="B56" s="2" t="inlineStr">
        <is>
          <t>2026-10-15 15:36</t>
        </is>
      </c>
      <c r="C56" s="3" t="inlineStr">
        <is>
          <t>Ingeniero especialista en infraestructura vial / Ferroviaria</t>
        </is>
      </c>
      <c r="D56" s="3" t="inlineStr">
        <is>
          <t>EADIC</t>
        </is>
      </c>
      <c r="E56" s="7" t="n">
        <v>0.63</v>
      </c>
      <c r="F56" s="2" t="inlineStr">
        <is>
          <t>Remoto</t>
        </is>
      </c>
      <c r="G56" s="5">
        <f>HYPERLINK("https://co.linkedin.com/jobs/view/ingeniero-especialista-en-infraestructura-vial-ferroviaria-at-eadic-4479842450", "Ver Vacante")</f>
        <v/>
      </c>
      <c r="H56" s="6" t="inlineStr"/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da606d7f11e0abd3</t>
        </is>
      </c>
      <c r="B57" s="2" t="inlineStr">
        <is>
          <t>2026-10-16 15:18</t>
        </is>
      </c>
      <c r="C57" s="3" t="inlineStr">
        <is>
          <t>Asesor comercial de Infraestructura vial</t>
        </is>
      </c>
      <c r="D57" s="3" t="inlineStr">
        <is>
          <t>CENTRO DE EMPLEO Y TALENTO COLSUBSIDIO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HYPERLINK("https://co.computrabajo.com/ofertas-de-trabajo/oferta-de-trabajo-de-asesor-comercial-de-infraestructura-vial-en-bogota-dc-1675570E91E32C2761373E686DCF3405", "Ver Vacante")</f>
        <v/>
      </c>
      <c r="H57" s="6" t="inlineStr">
        <is>
          <t>$ 3.500.000,00 (Mensual)</t>
        </is>
      </c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91321fd6c45b925a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Cal y Mayor y Asociados S.C</t>
        </is>
      </c>
      <c r="E58" s="7" t="n">
        <v>0.63</v>
      </c>
      <c r="F58" s="2" t="inlineStr">
        <is>
          <t>Remoto</t>
        </is>
      </c>
      <c r="G58" s="5">
        <f>HYPERLINK("https://co.computrabajo.com/ofertas-de-trabajo/oferta-de-trabajo-de-especialista-en-vias-sucre-ing-civil-ingenieria-de-vias-y-transporte-en-pereira-DA33D5D6B546295961373E686DCF3405",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3f62745f8c8f0248</t>
        </is>
      </c>
      <c r="B59" s="2" t="inlineStr">
        <is>
          <t>2026-10-22 15:54</t>
        </is>
      </c>
      <c r="C59" s="3" t="inlineStr">
        <is>
          <t>Especialista en Vías</t>
        </is>
      </c>
      <c r="D59" s="3" t="inlineStr">
        <is>
          <t>Grupo Cal y Mayor</t>
        </is>
      </c>
      <c r="E59" s="7" t="n">
        <v>0.63</v>
      </c>
      <c r="F59" s="2" t="inlineStr">
        <is>
          <t>Remoto</t>
        </is>
      </c>
      <c r="G59" s="5">
        <f>HYPERLINK("https://co.linkedin.com/jobs/view/especialista-en-v%C3%ADas-at-cal-y-mayor-4482478344",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c2e1ee7a205b1930</t>
        </is>
      </c>
      <c r="B60" s="2" t="inlineStr">
        <is>
          <t>2026-10-23 15:45</t>
        </is>
      </c>
      <c r="C60" s="3" t="inlineStr">
        <is>
          <t>Biólogo(a) - manejo de arcgis / infraestructura vial</t>
        </is>
      </c>
      <c r="D60" s="3" t="inlineStr">
        <is>
          <t>SUMMA</t>
        </is>
      </c>
      <c r="E60" s="7" t="n">
        <v>0.63</v>
      </c>
      <c r="F60" s="2" t="inlineStr">
        <is>
          <t>Remoto</t>
        </is>
      </c>
      <c r="G60" s="5">
        <f>HYPERLINK("https://www.elempleo.com/co/ofertas-trabajo/biologoa-manejo-de-arcgis-infraestructura-vial-1886784140",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e1edd61fc577c4d8</t>
        </is>
      </c>
      <c r="B61" s="2" t="inlineStr">
        <is>
          <t>2026-10-23 15:45</t>
        </is>
      </c>
      <c r="C61" s="3" t="inlineStr">
        <is>
          <t>Ingeniero/a Especialista en infraestructura vial y Ferroviaria</t>
        </is>
      </c>
      <c r="D61" s="3" t="inlineStr">
        <is>
          <t>EADIC</t>
        </is>
      </c>
      <c r="E61" s="7" t="n">
        <v>0.63</v>
      </c>
      <c r="F61" s="2" t="inlineStr">
        <is>
          <t>Remoto</t>
        </is>
      </c>
      <c r="G61" s="5">
        <f>HYPERLINK("https://co.linkedin.com/jobs/view/ingeniero-a-especialista-en-infraestructura-vial-y-ferroviaria-at-eadic-4482756976", "Ver Vacante")</f>
        <v/>
      </c>
      <c r="H61" s="6" t="inlineStr"/>
      <c r="I61" s="3" t="inlineStr">
        <is>
          <t>[Afinidad: 63/100 -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b61ad1aa15c22ca5</t>
        </is>
      </c>
      <c r="B62" s="2" t="inlineStr">
        <is>
          <t>2026-09-22 03:17</t>
        </is>
      </c>
      <c r="C62" s="3" t="inlineStr">
        <is>
          <t>Inspector sst y seguridad vial motorizado - zona sabana norte</t>
        </is>
      </c>
      <c r="D62" s="3" t="inlineStr">
        <is>
          <t>ATIEMPO S.A.S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HYPERLINK("https://www.elempleo.com/co/ofertas-trabajo/inspector-sst-y-seguridad-vial-motorizado-zona-sabana-norte-chia-cota-zipaquira-tabio-y-tenjo-1886766982",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eaa28269212c2ec6</t>
        </is>
      </c>
      <c r="B63" s="2" t="inlineStr">
        <is>
          <t>2026-09-22 03:17</t>
        </is>
      </c>
      <c r="C63" s="3" t="inlineStr">
        <is>
          <t>Analista sst / plan estratégico de seguridad vial-bogotá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HYPERLINK("https://www.elempleo.com/co/ofertas-trabajo/analista-sst-plan-estrategico-de-seguridad-vialbogota-1886767391",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06f094ce9d5aac78</t>
        </is>
      </c>
      <c r="B64" s="2" t="inlineStr">
        <is>
          <t>2026-09-22 05:09</t>
        </is>
      </c>
      <c r="C64" s="3" t="inlineStr">
        <is>
          <t>Profesional en seguridad y salud en el trabajo - pereira | seguridad vial</t>
        </is>
      </c>
      <c r="D64" s="3" t="inlineStr">
        <is>
          <t>ADECCO COLOMBIA S A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HYPERLINK("https://www.elempleo.com/co/ofertas-trabajo/profesional-en-seguridad-y-salud-en-el-trabajo-pereira-seguridad-vial-1886747053",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e9d56941eaea2d73</t>
        </is>
      </c>
      <c r="B65" s="2" t="inlineStr">
        <is>
          <t>2026-09-22 05:09</t>
        </is>
      </c>
      <c r="C65" s="3" t="inlineStr">
        <is>
          <t>Inspector sst y seguridad vial motorizado - zona sabana norte</t>
        </is>
      </c>
      <c r="D65" s="3" t="inlineStr">
        <is>
          <t>ATIEMPO S.A.S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HYPERLINK("https://www.elempleo.com/co/ofertas-trabajo/inspector-sst-y-seguridad-vial-motorizado-zona-sabana-norte-chia-cota-zipaquira-tabio-y-tenjo-1886766982",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4d2a4ed8de3a33cf</t>
        </is>
      </c>
      <c r="B66" s="2" t="inlineStr">
        <is>
          <t>2026-09-22 05:09</t>
        </is>
      </c>
      <c r="C66" s="3" t="inlineStr">
        <is>
          <t>Director de proyecto idu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HYPERLINK("https://www.elempleo.com/co/ofertas-trabajo/director-de-proyecto-idu-1886749675", "Ver Vacante")</f>
        <v/>
      </c>
      <c r="H66" s="6" t="inlineStr"/>
      <c r="I66" s="3" t="inlineStr">
        <is>
          <t>[Afinidad: 60/100 - Afinidad Moderada] Afinidad parcial en infraestructura vial y transporte.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6d0f6220edda6c00</t>
        </is>
      </c>
      <c r="B67" s="2" t="inlineStr">
        <is>
          <t>2026-09-22 05:09</t>
        </is>
      </c>
      <c r="C67" s="3" t="inlineStr">
        <is>
          <t>Profesional en sst (pesv) - bogotá</t>
        </is>
      </c>
      <c r="D67" s="3" t="inlineStr">
        <is>
          <t>Quirón Prevención Colombia S.A.S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HYPERLINK("https://www.elempleo.com/co/ofertas-trabajo/profesional-en-sst-pesv-bogota-1886764924",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d08c11f2965be02b</t>
        </is>
      </c>
      <c r="B68" s="2" t="inlineStr">
        <is>
          <t>2026-09-22 05:09</t>
        </is>
      </c>
      <c r="C68" s="3" t="inlineStr">
        <is>
          <t>Psicóloga (o) senior especialista sst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HYPERLINK("https://www.elempleo.com/co/ofertas-trabajo/psicologa-o-senior-especialista-sst-1886752312",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b00bfc12c3eebd36</t>
        </is>
      </c>
      <c r="B69" s="2" t="inlineStr">
        <is>
          <t>2026-09-22 05:09</t>
        </is>
      </c>
      <c r="C69" s="3" t="inlineStr">
        <is>
          <t>Cali - psicóloga (o) senior especialista sst- independiente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HYPERLINK("https://www.elempleo.com/co/ofertas-trabajo/cali-psicologa-o-senior-especialista-sst-independiente-1886761400", "Ver Vacante")</f>
        <v/>
      </c>
      <c r="H69" s="6" t="inlineStr"/>
      <c r="I69" s="3" t="inlineStr">
        <is>
          <t>[Afinidad: 60/100 -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2f0067eb2449c438</t>
        </is>
      </c>
      <c r="B70" s="2" t="inlineStr">
        <is>
          <t>2026-09-22 05:09</t>
        </is>
      </c>
      <c r="C70" s="3" t="inlineStr">
        <is>
          <t>Jefe de prevención de riesgos laborales sst</t>
        </is>
      </c>
      <c r="D70" s="3" t="inlineStr">
        <is>
          <t>Confidencial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HYPERLINK("https://www.elempleo.com/co/ofertas-trabajo/jefe-de-prevencion-de-riesgos-laborales-sst-1886769416", "Ver Vacante")</f>
        <v/>
      </c>
      <c r="H70" s="6" t="inlineStr"/>
      <c r="I70" s="3" t="inlineStr">
        <is>
          <t>[Afinidad: 60/100 -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44316258861df5d1</t>
        </is>
      </c>
      <c r="B71" s="2" t="inlineStr">
        <is>
          <t>2026-09-22 05:09</t>
        </is>
      </c>
      <c r="C71" s="3" t="inlineStr">
        <is>
          <t>Profesional en seguridad y salud en el trabajo - pereira | experiencia en pesv</t>
        </is>
      </c>
      <c r="D71" s="3" t="inlineStr">
        <is>
          <t>ADECCO COLOMBIA S A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HYPERLINK("https://www.elempleo.com/co/ofertas-trabajo/profesional-en-seguridad-y-salud-en-el-trabajo-pereira-experiencia-en-pesv-1886758149",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43d7b93a9eb1329d</t>
        </is>
      </c>
      <c r="B72" s="2" t="inlineStr">
        <is>
          <t>2026-09-22 05:09</t>
        </is>
      </c>
      <c r="C72" s="3" t="inlineStr">
        <is>
          <t>Tecnologo en sst- experto en pesv - bogota</t>
        </is>
      </c>
      <c r="D72" s="3" t="inlineStr">
        <is>
          <t>Confidencial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HYPERLINK("https://www.elempleo.com/co/ofertas-trabajo/tecnologo-en-sst-experto-en-pesv-bogota-1886763258",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a413977464eb04b3</t>
        </is>
      </c>
      <c r="B73" s="2" t="inlineStr">
        <is>
          <t>2026-09-25 15:50</t>
        </is>
      </c>
      <c r="C73" s="3" t="inlineStr">
        <is>
          <t>Ingeniero Industrial/ Lider Especialista SST</t>
        </is>
      </c>
      <c r="D73" s="3" t="inlineStr">
        <is>
          <t>Importante empresa del sector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HYPERLINK("https://co.computrabajo.com/ofertas-de-trabajo/oferta-de-trabajo-de-ingeniero-industrial-lider-especialista-sst-en-bogota-dc-720F8DC91A7C1CD961373E686DCF3405", "Ver Vacante")</f>
        <v/>
      </c>
      <c r="H73" s="6" t="inlineStr"/>
      <c r="I73" s="3" t="inlineStr">
        <is>
          <t>[Afinidad: 60/100 -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e2ce93c905b3ac99</t>
        </is>
      </c>
      <c r="B74" s="2" t="inlineStr">
        <is>
          <t>2026-09-25 15:50</t>
        </is>
      </c>
      <c r="C74" s="3" t="inlineStr">
        <is>
          <t>Profesional sst/ licencia vigente/Experiencia pesv</t>
        </is>
      </c>
      <c r="D74" s="3" t="inlineStr">
        <is>
          <t>Importante empresa del sector servicios</t>
        </is>
      </c>
      <c r="E74" s="7" t="n">
        <v>0.6</v>
      </c>
      <c r="F74" s="2" t="inlineStr">
        <is>
          <t>Remoto</t>
        </is>
      </c>
      <c r="G74" s="5">
        <f>HYPERLINK("https://co.computrabajo.com/ofertas-de-trabajo/oferta-de-trabajo-de-profesional-sst-licencia-vigenteexperiencia-pesv-en-cali-E377199CF66E716961373E686DCF3405", "Ver Vacante")</f>
        <v/>
      </c>
      <c r="H74" s="6" t="inlineStr">
        <is>
          <t>$ 2.850.000,00 (Mensual)</t>
        </is>
      </c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0354ba0be8c85d18</t>
        </is>
      </c>
      <c r="B75" s="2" t="inlineStr">
        <is>
          <t>2026-09-26 15:00</t>
        </is>
      </c>
      <c r="C75" s="3" t="inlineStr">
        <is>
          <t>Coordinaror sst y seguridad vial</t>
        </is>
      </c>
      <c r="D75" s="3" t="inlineStr">
        <is>
          <t>MANPOWER</t>
        </is>
      </c>
      <c r="E75" s="7" t="n">
        <v>0.6</v>
      </c>
      <c r="F75" s="2" t="inlineStr">
        <is>
          <t>Remoto</t>
        </is>
      </c>
      <c r="G75" s="5">
        <f>HYPERLINK("https://www.elempleo.com/co/ofertas-trabajo/coordinaror-sst-y-seguridad-vial-1886772779", "Ver Vacante")</f>
        <v/>
      </c>
      <c r="H75" s="6" t="inlineStr"/>
      <c r="I75" s="3" t="inlineStr">
        <is>
          <t>[Afinidad: 60/100 - Afinidad Moderada] Afinidad moderada con componentes de vías e infraestructura y seguridad laboral.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7c014fc90e349153</t>
        </is>
      </c>
      <c r="B76" s="2" t="inlineStr">
        <is>
          <t>2026-10-09 17:24</t>
        </is>
      </c>
      <c r="C76" s="3" t="inlineStr">
        <is>
          <t>Líder Hseq y Medio Ambiente / Profesional en Ingeniería Industrial</t>
        </is>
      </c>
      <c r="D76" s="3" t="inlineStr">
        <is>
          <t>Importante empresa del sector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HYPERLINK("https://co.computrabajo.com/ofertas-de-trabajo/oferta-de-trabajo-de-lider-hseq-y-medio-ambiente-profesional-en-ingenieria-industrial-en-barranquilla-3E8C722E2EBEAB8761373E686DCF3405", "Ver Vacante")</f>
        <v/>
      </c>
      <c r="H76" s="6" t="inlineStr">
        <is>
          <t>$ 2.700.000,00 (Mensual)</t>
        </is>
      </c>
      <c r="I76" s="3" t="inlineStr">
        <is>
          <t>[Afinidad: 60/100 -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0dd08c4bb73ed84f</t>
        </is>
      </c>
      <c r="B77" s="2" t="inlineStr">
        <is>
          <t>2026-10-15 15:36</t>
        </is>
      </c>
      <c r="C77" s="3" t="inlineStr">
        <is>
          <t>Aprendiz de SST / PESV</t>
        </is>
      </c>
      <c r="D77" s="3" t="inlineStr">
        <is>
          <t>Unión andina de Transportes S.A.S</t>
        </is>
      </c>
      <c r="E77" s="7" t="n">
        <v>0.6</v>
      </c>
      <c r="F77" s="2" t="inlineStr">
        <is>
          <t>Remoto</t>
        </is>
      </c>
      <c r="G77" s="5">
        <f>HYPERLINK("https://co.computrabajo.com/ofertas-de-trabajo/oferta-de-trabajo-de-aprendiz-de-sst-pesv-en-bogota-dc-A8ECDFA53B5B2E5461373E686DCF3405",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26c227af1ddf2cad</t>
        </is>
      </c>
      <c r="B78" s="2" t="inlineStr">
        <is>
          <t>2026-10-15 15:36</t>
        </is>
      </c>
      <c r="C78" s="3" t="inlineStr">
        <is>
          <t>H&amp;s inspector - sst, telecomunicaciones</t>
        </is>
      </c>
      <c r="D78" s="3" t="inlineStr">
        <is>
          <t>UFINET COLOMBIA S.A.</t>
        </is>
      </c>
      <c r="E78" s="7" t="n">
        <v>0.6</v>
      </c>
      <c r="F78" s="2" t="inlineStr">
        <is>
          <t>Remoto</t>
        </is>
      </c>
      <c r="G78" s="5">
        <f>HYPERLINK("https://www.elempleo.com/co/ofertas-trabajo/hs-inspector-sst-telecomunicaciones-plan-seguridad-vial-1886780508", "Ver Vacante")</f>
        <v/>
      </c>
      <c r="H78" s="6" t="inlineStr"/>
      <c r="I78" s="3" t="inlineStr">
        <is>
          <t>[Afinidad: 60/100 - Afinidad Moderada] Afinidad moderada con componentes de vías e infraestructura y seguridad laboral.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6397c4e43d0ce4c8</t>
        </is>
      </c>
      <c r="B79" s="2" t="inlineStr">
        <is>
          <t>2026-09-22 03:17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4a585f361f9a3cde</t>
        </is>
      </c>
      <c r="B80" s="2" t="inlineStr">
        <is>
          <t>2026-09-22 03:17</t>
        </is>
      </c>
      <c r="C80" s="3" t="inlineStr">
        <is>
          <t>Ingeniero residente de vias</t>
        </is>
      </c>
      <c r="D80" s="3" t="inlineStr">
        <is>
          <t>TERMOTECNICA COINDUSTRIAL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HYPERLINK("https://www.elempleo.com/co/ofertas-trabajo/ingeniero-residente-de-vias-1886762445",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65a123f37ecb61a2</t>
        </is>
      </c>
      <c r="B81" s="2" t="inlineStr">
        <is>
          <t>2026-09-22 03:17</t>
        </is>
      </c>
      <c r="C81" s="3" t="inlineStr">
        <is>
          <t>Ingeniero/a de Vías Férreas</t>
        </is>
      </c>
      <c r="D81" s="3" t="inlineStr">
        <is>
          <t>IDOM Consulting, Engineering, Architecture</t>
        </is>
      </c>
      <c r="E81" s="7" t="n">
        <v>0.58</v>
      </c>
      <c r="F81" s="2" t="inlineStr">
        <is>
          <t>Remoto</t>
        </is>
      </c>
      <c r="G81" s="5">
        <f>HYPERLINK("https://co.linkedin.com/jobs/view/ingeniero-a-de-v%C3%ADas-f%C3%A9rreas-at-idom-consulting-engineering-architecture-4443714860",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fceb07cf99a43a15</t>
        </is>
      </c>
      <c r="B82" s="2" t="inlineStr">
        <is>
          <t>2026-09-22 05:09</t>
        </is>
      </c>
      <c r="C82" s="3" t="inlineStr">
        <is>
          <t>Ingeniero Residente en Proyectos vías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HYPERLINK("https://co.computrabajo.com/ofertas-de-trabajo/oferta-de-trabajo-de-ingeniero-residente-en-proyectos-vias-nacional-en-curumani-3E969F0AD9C6204861373E686DCF3405",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407bff46acf8d5b9</t>
        </is>
      </c>
      <c r="B83" s="2" t="inlineStr">
        <is>
          <t>2026-09-22 05:09</t>
        </is>
      </c>
      <c r="C83" s="3" t="inlineStr">
        <is>
          <t>Director(a) de Seguridad y Salud en el Trabajo — SST Bogotá D.C. Presencial</t>
        </is>
      </c>
      <c r="D83" s="3" t="inlineStr">
        <is>
          <t>FIREKEY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3" s="6" t="inlineStr">
        <is>
          <t>$ 2.699.999,00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c100150b8992d885</t>
        </is>
      </c>
      <c r="B84" s="2" t="inlineStr">
        <is>
          <t>2026-09-22 05:09</t>
        </is>
      </c>
      <c r="C84" s="3" t="inlineStr">
        <is>
          <t>Ingeniero residente de vias</t>
        </is>
      </c>
      <c r="D84" s="3" t="inlineStr">
        <is>
          <t>TERMOTECNICA COINDUSTRIAL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HYPERLINK("https://www.elempleo.com/co/ofertas-trabajo/ingeniero-residente-de-vias-1886762445",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fb3f5f47762bcd6a</t>
        </is>
      </c>
      <c r="B85" s="2" t="inlineStr">
        <is>
          <t>2026-09-22 05:09</t>
        </is>
      </c>
      <c r="C85" s="3" t="inlineStr">
        <is>
          <t>Ingeniero de vías y transporte</t>
        </is>
      </c>
      <c r="D85" s="3" t="inlineStr">
        <is>
          <t>KMA CONSTRUCCIONES SAS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HYPERLINK("https://www.elempleo.com/co/ofertas-trabajo/ingeniero-de-vias-y-transporte-1886755352",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ed126154bb93d557</t>
        </is>
      </c>
      <c r="B86" s="2" t="inlineStr">
        <is>
          <t>2026-09-22 05:09</t>
        </is>
      </c>
      <c r="C86" s="3" t="inlineStr">
        <is>
          <t>Ingeniero residente de vias y urbanismo</t>
        </is>
      </c>
      <c r="D86" s="3" t="inlineStr">
        <is>
          <t>METRO LINEA 1 S.A.S.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HYPERLINK("https://www.elempleo.com/co/ofertas-trabajo/ingeniero-residente-de-vias-y-urbanismo-1886764375",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mock_edge_011</t>
        </is>
      </c>
      <c r="B87" s="2" t="inlineStr">
        <is>
          <t>2026-09-23 09:45</t>
        </is>
      </c>
      <c r="C87" s="3" t="inlineStr">
        <is>
          <t>Ingeniero/a consultor vias y seguridad</t>
        </is>
      </c>
      <c r="D87" s="3" t="inlineStr">
        <is>
          <t>Consultores Generales</t>
        </is>
      </c>
      <c r="E87" s="7" t="n">
        <v>0.58</v>
      </c>
      <c r="F87" s="2" t="inlineStr">
        <is>
          <t>Desconocido</t>
        </is>
      </c>
      <c r="G87" s="5">
        <f>HYPERLINK("https://co.computrabajo.com/ofertas-de-trabajo/mock-edge-011",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Modalidad no declarada o por verificar.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1322c2d7c72fc3dd</t>
        </is>
      </c>
      <c r="B88" s="2" t="inlineStr">
        <is>
          <t>2026-09-23 10:17</t>
        </is>
      </c>
      <c r="C88" s="3" t="inlineStr">
        <is>
          <t>Ingeniero Residente</t>
        </is>
      </c>
      <c r="D88" s="3" t="inlineStr">
        <is>
          <t>KMA CONSTRUCCIONES S.A.S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HYPERLINK("https://co.computrabajo.com/ofertas-de-trabajo/oferta-de-trabajo-de-ingeniero-residente-vias-primarias-san-alberto-cesar-en-san-alberto-E8179001C59F51D961373E686DCF3405",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8ea51395379548db</t>
        </is>
      </c>
      <c r="B89" s="2" t="inlineStr">
        <is>
          <t>2026-09-22 05:09</t>
        </is>
      </c>
      <c r="C89" s="3" t="inlineStr">
        <is>
          <t>Analista de SST/Inspector HSEQ Cartagena / si estas dispuesto a mudarte aplica</t>
        </is>
      </c>
      <c r="D89" s="3" t="inlineStr">
        <is>
          <t>Tiempos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9" s="6" t="inlineStr">
        <is>
          <t>$ 4.000.000,00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320b8f08496a2670</t>
        </is>
      </c>
      <c r="B90" s="2" t="inlineStr">
        <is>
          <t>2026-09-22 05:09</t>
        </is>
      </c>
      <c r="C90" s="3" t="inlineStr">
        <is>
          <t>Analista HSEQ SST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HYPERLINK("https://co.computrabajo.com/ofertas-de-trabajo/oferta-de-trabajo-de-analista-hseq-sst-en-bogota-dc-4F507CBF0E27FD0E61373E686DCF3405",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1772334a45880aca</t>
        </is>
      </c>
      <c r="B91" s="2" t="inlineStr">
        <is>
          <t>2026-09-22 05:09</t>
        </is>
      </c>
      <c r="C91" s="3" t="inlineStr">
        <is>
          <t>Analista de Seguridad y Salud en el Trabajo (SST) / Medellin</t>
        </is>
      </c>
      <c r="D91" s="3" t="inlineStr">
        <is>
          <t>Domina Entrega Total S.A.S</t>
        </is>
      </c>
      <c r="E91" s="7" t="n">
        <v>0.58</v>
      </c>
      <c r="F91" s="2" t="inlineStr">
        <is>
          <t>Remoto</t>
        </is>
      </c>
      <c r="G91" s="5">
        <f>HYPERLINK("https://co.linkedin.com/jobs/view/analista-de-seguridad-y-salud-en-el-trabajo-sst-medellin-at-domina-entrega-total-s-a-s-4462184090", "Ver Vacante")</f>
        <v/>
      </c>
      <c r="H91" s="6" t="inlineStr"/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c38704e293110b75</t>
        </is>
      </c>
      <c r="B92" s="2" t="inlineStr">
        <is>
          <t>2026-09-25 15:50</t>
        </is>
      </c>
      <c r="C92" s="3" t="inlineStr">
        <is>
          <t>Analista HSEQ SST</t>
        </is>
      </c>
      <c r="D92" s="3" t="inlineStr">
        <is>
          <t>Importante empresa del sector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HYPERLINK("https://co.computrabajo.com/ofertas-de-trabajo/oferta-de-trabajo-de-analista-hseq-sst-en-bogota-dc-83CA12F0C1FD78E961373E686DCF3405", "Ver Vacante")</f>
        <v/>
      </c>
      <c r="H92" s="6" t="inlineStr">
        <is>
          <t>$ 1.750.905,00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71676d589c309f66</t>
        </is>
      </c>
      <c r="B93" s="2" t="inlineStr">
        <is>
          <t>2026-09-26 15:00</t>
        </is>
      </c>
      <c r="C93" s="3" t="inlineStr">
        <is>
          <t>Ingeniero resideste de vias</t>
        </is>
      </c>
      <c r="D93" s="3" t="inlineStr">
        <is>
          <t>KMA CONSTRUCCIONES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HYPERLINK("https://www.elempleo.com/co/ofertas-trabajo/ingeniero-resideste-de-vias-1886772511", "Ver Vacante")</f>
        <v/>
      </c>
      <c r="H93" s="6" t="inlineStr"/>
      <c r="I93" s="3" t="inlineStr">
        <is>
          <t>[Afinidad: 58/100 - Afinidad Moderada] Alta coincidencia técnica en infraestructura vial, diseño geométrico y pavimentos.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921d5b4e6f8a1319</t>
        </is>
      </c>
      <c r="B94" s="2" t="inlineStr">
        <is>
          <t>2026-09-26 15:00</t>
        </is>
      </c>
      <c r="C94" s="3" t="inlineStr">
        <is>
          <t>Analista de seguridad y salud en el trabajo analista sst /// tunja boyaca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HYPERLINK("https://www.elempleo.com/co/ofertas-trabajo/analista-de-seguridad-y-salud-en-el-trabajo-analista-sst-tunja-boyaca-1886747829", "Ver Vacante")</f>
        <v/>
      </c>
      <c r="H94" s="6" t="inlineStr"/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91c0a766ea233188</t>
        </is>
      </c>
      <c r="B95" s="2" t="inlineStr">
        <is>
          <t>2026-10-07 17:47</t>
        </is>
      </c>
      <c r="C95" s="3" t="inlineStr">
        <is>
          <t>LIDER DE SEGURIDAD Y SALUD EN EL TRABAJO SST</t>
        </is>
      </c>
      <c r="D95" s="3" t="inlineStr">
        <is>
          <t>OGA SISTEMVAC S.A.S.</t>
        </is>
      </c>
      <c r="E95" s="7" t="n">
        <v>0.58</v>
      </c>
      <c r="F95" s="2" t="inlineStr">
        <is>
          <t>Remoto</t>
        </is>
      </c>
      <c r="G95" s="5">
        <f>HYPERLINK("https://co.linkedin.com/jobs/view/lider-de-seguridad-y-salud-en-el-trabajo-sst-at-oga-sistemvac-s-a-s-4476737784", "Ver Vacante")</f>
        <v/>
      </c>
      <c r="H95" s="6" t="inlineStr"/>
      <c r="I95" s="3" t="inlineStr">
        <is>
          <t>[Afinidad: 58/100 - Afinidad Moderada] Alta coincidencia en gestión de Seguridad y Salud en el Trabajo (SST).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6d694777dcb81bf2</t>
        </is>
      </c>
      <c r="B96" s="2" t="inlineStr">
        <is>
          <t>2026-10-08 17:49</t>
        </is>
      </c>
      <c r="C96" s="3" t="inlineStr">
        <is>
          <t>Director/a de obra vías para Carepa</t>
        </is>
      </c>
      <c r="D96" s="3" t="inlineStr">
        <is>
          <t>Importante empresa del sector construcción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HYPERLINK("https://co.computrabajo.com/ofertas-de-trabajo/oferta-de-trabajo-de-directora-de-obra-vias-para-carepa-en-carepa-E9AE93AA6FE5CC8661373E686DCF3405", "Ver Vacante")</f>
        <v/>
      </c>
      <c r="H96" s="6" t="inlineStr">
        <is>
          <t>$ 6.500.000,00 (Mensual)</t>
        </is>
      </c>
      <c r="I96" s="3" t="inlineStr">
        <is>
          <t>[Afinidad: 58/100 - Afinidad Moderada] Alta coincidencia técnica en infraestructura vial, diseño geométrico y pavimentos.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b58308e37396aaec</t>
        </is>
      </c>
      <c r="B97" s="2" t="inlineStr">
        <is>
          <t>2026-10-12 20:14</t>
        </is>
      </c>
      <c r="C97" s="3" t="inlineStr">
        <is>
          <t>Analista de Seguridad y Salud en el Trabajo</t>
        </is>
      </c>
      <c r="D97" s="3" t="inlineStr">
        <is>
          <t>Challenger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HYPERLINK("https://co.computrabajo.com/ofertas-de-trabajo/oferta-de-trabajo-de-analista-de-seguridad-y-salud-en-el-trabajo-sst-en-santa-marta-1760D71FCD390F6761373E686DCF3405", "Ver Vacante")</f>
        <v/>
      </c>
      <c r="H97" s="6" t="inlineStr">
        <is>
          <t>$ 2.198.000,00 (Mensual)</t>
        </is>
      </c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f020804dbf47eeee</t>
        </is>
      </c>
      <c r="B98" s="2" t="inlineStr">
        <is>
          <t>2026-10-13 18:04</t>
        </is>
      </c>
      <c r="C98" s="3" t="inlineStr">
        <is>
          <t>Analista SST / Inspector HSEQ – ¡Oportunidad de traslado a Cartagena!</t>
        </is>
      </c>
      <c r="D98" s="3" t="inlineStr">
        <is>
          <t>Tiempos SAS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8" s="6" t="inlineStr">
        <is>
          <t>$ 4.000.000,00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2bd9cab61f3b1dfb</t>
        </is>
      </c>
      <c r="B99" s="2" t="inlineStr">
        <is>
          <t>2026-10-22 15:54</t>
        </is>
      </c>
      <c r="C99" s="3" t="inlineStr">
        <is>
          <t>Analista SIG y HSEQ / Calidad, SST y Ambiental</t>
        </is>
      </c>
      <c r="D99" s="3" t="inlineStr">
        <is>
          <t>Importante empresa del sector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HYPERLINK("https://co.computrabajo.com/ofertas-de-trabajo/oferta-de-trabajo-de-analista-sig-y-hseq-calidad-sst-y-ambiental-bogota-presencial-en-bogota-dc-7BA38AE262A0ACDC61373E686DCF3405", "Ver Vacante")</f>
        <v/>
      </c>
      <c r="H99" s="6" t="inlineStr">
        <is>
          <t>$ 3.500.000,00 (Mensual)</t>
        </is>
      </c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a10e96fae82b89b8</t>
        </is>
      </c>
      <c r="B100" s="2" t="inlineStr">
        <is>
          <t>2026-10-23 15:45</t>
        </is>
      </c>
      <c r="C100" s="3" t="inlineStr">
        <is>
          <t>Analista de seguridad y salud en el trabajo - sst</t>
        </is>
      </c>
      <c r="D100" s="3" t="inlineStr">
        <is>
          <t>Corporacion San Isidro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HYPERLINK("https://www.elempleo.com/co/ofertas-trabajo/analista-de-seguridad-y-salud-en-el-trabajo-sst-1886783979", "Ver Vacante")</f>
        <v/>
      </c>
      <c r="H100" s="6" t="inlineStr"/>
      <c r="I100" s="3" t="inlineStr">
        <is>
          <t>[Afinidad: 58/100 -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fafe88ec740921bd</t>
        </is>
      </c>
      <c r="B101" s="2" t="inlineStr">
        <is>
          <t>2026-10-25 14:54</t>
        </is>
      </c>
      <c r="C101" s="3" t="inlineStr">
        <is>
          <t>Analista de Seguridad y Salud en el Trabajo</t>
        </is>
      </c>
      <c r="D101" s="3" t="inlineStr">
        <is>
          <t>Solitemp S.A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HYPERLINK("https://co.computrabajo.com/ofertas-de-trabajo/oferta-de-trabajo-de-analista-de-seguridad-y-salud-en-el-trabajo-sst-en-bogota-dc-B2F5CA5D8D4BDBE261373E686DCF3405", "Ver Vacante")</f>
        <v/>
      </c>
      <c r="H101" s="6" t="inlineStr">
        <is>
          <t>$ 2.400.000,00 (Mensual)</t>
        </is>
      </c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53b313ccb7afdbc1</t>
        </is>
      </c>
      <c r="B102" s="2" t="inlineStr">
        <is>
          <t>2026-10-25 14:54</t>
        </is>
      </c>
      <c r="C102" s="3" t="inlineStr">
        <is>
          <t>Analista de Seguridad y Salud en el Trabajo</t>
        </is>
      </c>
      <c r="D102" s="3" t="inlineStr">
        <is>
          <t>SOLITEMP S.A.</t>
        </is>
      </c>
      <c r="E102" s="7" t="n">
        <v>0.58</v>
      </c>
      <c r="F102" s="2" t="inlineStr">
        <is>
          <t>Remoto</t>
        </is>
      </c>
      <c r="G102" s="5">
        <f>HYPERLINK("https://co.linkedin.com/jobs/view/analista-de-seguridad-y-salud-en-el-trabajo-sst-at-solitemp-s-a-4483351633", "Ver Vacante")</f>
        <v/>
      </c>
      <c r="H102" s="6" t="inlineStr"/>
      <c r="I102" s="3" t="inlineStr">
        <is>
          <t>[Afinidad: 58/100 - Afinidad Moderada] Alta coincidencia en gestión de Seguridad y Salud en el Trabajo (SST).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b1adf833f3af1052</t>
        </is>
      </c>
      <c r="B103" s="2" t="inlineStr">
        <is>
          <t>2026-09-22 03:17</t>
        </is>
      </c>
      <c r="C103" s="3" t="inlineStr">
        <is>
          <t>Coordinador de área ambiental y calidad - líder de sostenibilidad ambiental - ingeniero /hseq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HYPERLINK("https://www.elempleo.com/co/ofertas-trabajo/coordinador-de-area-ambiental-y-calidad-lider-de-sostenibilidad-ambiental-ingeniero-hseq-1886755446",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fc5dd04f5bd144ee</t>
        </is>
      </c>
      <c r="B104" s="2" t="inlineStr">
        <is>
          <t>2026-09-22 03:27</t>
        </is>
      </c>
      <c r="C104" s="3" t="inlineStr">
        <is>
          <t>Fisioterapeuta Especialista en SST</t>
        </is>
      </c>
      <c r="D104" s="3" t="inlineStr">
        <is>
          <t>Gi Group Colombia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HYPERLINK("https://co.computrabajo.com/ofertas-de-trabajo/oferta-de-trabajo-de-fisioterapeuta-especialista-en-sst-en-bogota-dc-076F583656B7841761373E686DCF3405", "Ver Vacante")</f>
        <v/>
      </c>
      <c r="H104" s="6" t="inlineStr">
        <is>
          <t>$ 4.000.000,00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3262fc198936542f</t>
        </is>
      </c>
      <c r="B105" s="2" t="inlineStr">
        <is>
          <t>2026-09-22 05:09</t>
        </is>
      </c>
      <c r="C105" s="3" t="inlineStr">
        <is>
          <t>Ingeniero industrial especialista SST</t>
        </is>
      </c>
      <c r="D105" s="3" t="inlineStr">
        <is>
          <t>ACTIVOS S A S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HYPERLINK("https://co.computrabajo.com/ofertas-de-trabajo/oferta-de-trabajo-de-ingeniero-industrial-especialista-sst-en-yumbo-74CF6CB934E4D36B61373E686DCF3405", "Ver Vacante")</f>
        <v/>
      </c>
      <c r="H105" s="6" t="inlineStr">
        <is>
          <t>$ 4.104.000,00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d2ad2ff9acd6839f</t>
        </is>
      </c>
      <c r="B106" s="2" t="inlineStr">
        <is>
          <t>2026-09-22 05:09</t>
        </is>
      </c>
      <c r="C106" s="3" t="inlineStr">
        <is>
          <t>Ingeniero eléctrico o electrónico Especialista en SST</t>
        </is>
      </c>
      <c r="D106" s="3" t="inlineStr">
        <is>
          <t>ACTIVOS S A S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HYPERLINK("https://co.computrabajo.com/ofertas-de-trabajo/oferta-de-trabajo-de-ingeniero-electrico-o-electronico-especialista-en-sst-en-barranquilla-D72EF1BA5326962B61373E686DCF3405", "Ver Vacante")</f>
        <v/>
      </c>
      <c r="H106" s="6" t="inlineStr">
        <is>
          <t>$ 3.477.600,00 (Mensual)</t>
        </is>
      </c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3808b33644911513</t>
        </is>
      </c>
      <c r="B107" s="2" t="inlineStr">
        <is>
          <t>2026-09-22 05:09</t>
        </is>
      </c>
      <c r="C107" s="3" t="inlineStr">
        <is>
          <t>Fisioterapeuta Especialista en SST / Contratacion Inmediata / Empresa de Servicios Ocupacionales</t>
        </is>
      </c>
      <c r="D107" s="3" t="inlineStr">
        <is>
          <t>Contrate S.A.S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07" s="6" t="inlineStr">
        <is>
          <t>$ 3.500.000,00 (Mensual)</t>
        </is>
      </c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286ae83bbe142964</t>
        </is>
      </c>
      <c r="B108" s="2" t="inlineStr">
        <is>
          <t>2026-09-22 05:09</t>
        </is>
      </c>
      <c r="C108" s="3" t="inlineStr">
        <is>
          <t>Optómetra Especialista en SST / Contratacion Inmediata / Empresa de Servicios Ocupacionales</t>
        </is>
      </c>
      <c r="D108" s="3" t="inlineStr">
        <is>
          <t>Contrate S.A.S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08" s="6" t="inlineStr">
        <is>
          <t>$ 4.800.000,00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076e18f5f418f801</t>
        </is>
      </c>
      <c r="B109" s="2" t="inlineStr">
        <is>
          <t>2026-09-22 05:09</t>
        </is>
      </c>
      <c r="C109" s="3" t="inlineStr">
        <is>
          <t>Fonoaudiólogo(a) Especialista en SST</t>
        </is>
      </c>
      <c r="D109" s="3" t="inlineStr">
        <is>
          <t>Colmedicos S.A.S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HYPERLINK("https://co.computrabajo.com/ofertas-de-trabajo/oferta-de-trabajo-de-fonoaudiologoa-especialista-en-sst-medellin-medio-tiempo-en-medellin-D90159B0E2B69D2361373E686DCF3405", "Ver Vacante")</f>
        <v/>
      </c>
      <c r="H109" s="6" t="inlineStr">
        <is>
          <t>$ 1.805.000,00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e8acf791a5020cbe</t>
        </is>
      </c>
      <c r="B110" s="2" t="inlineStr">
        <is>
          <t>2026-09-22 05:09</t>
        </is>
      </c>
      <c r="C110" s="3" t="inlineStr">
        <is>
          <t>Fisioterapeuta especialista SST</t>
        </is>
      </c>
      <c r="D110" s="3" t="inlineStr">
        <is>
          <t>Importante empresa del sector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HYPERLINK("https://co.computrabajo.com/ofertas-de-trabajo/oferta-de-trabajo-de-fisioterapeuta-especialista-sst-bogota-en-bogota-dc-3627E6618E738BBF61373E686DCF3405",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2695132e0a8dfc40</t>
        </is>
      </c>
      <c r="B111" s="2" t="inlineStr">
        <is>
          <t>2026-09-22 05:09</t>
        </is>
      </c>
      <c r="C111" s="3" t="inlineStr">
        <is>
          <t>Ingeniero/a químico/a especialista en SST</t>
        </is>
      </c>
      <c r="D111" s="3" t="inlineStr">
        <is>
          <t>AGENCIA DE EMPLEO COMFAMA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HYPERLINK("https://co.computrabajo.com/ofertas-de-trabajo/oferta-de-trabajo-de-ingenieroa-quimicoa-especialista-en-sst-en-medellin-A54414235252C3E061373E686DCF3405", "Ver Vacante")</f>
        <v/>
      </c>
      <c r="H111" s="6" t="inlineStr">
        <is>
          <t>$ 5.040.000,00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1c1d8e4983dc33f4</t>
        </is>
      </c>
      <c r="B112" s="2" t="inlineStr">
        <is>
          <t>2026-09-22 05:09</t>
        </is>
      </c>
      <c r="C112" s="3" t="inlineStr">
        <is>
          <t>Ingeniero ambiental Especialista SST</t>
        </is>
      </c>
      <c r="D112" s="3" t="inlineStr">
        <is>
          <t>Importante empresa del sector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HYPERLINK("https://co.computrabajo.com/ofertas-de-trabajo/oferta-de-trabajo-de-ingeniero-ambiental-especialista-sst-en-itagui-DCE95A795F77267C61373E686DCF3405", "Ver Vacante")</f>
        <v/>
      </c>
      <c r="H112" s="6" t="inlineStr">
        <is>
          <t>$ 4.000.000,00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7a6cd20b57cbdef4</t>
        </is>
      </c>
      <c r="B113" s="2" t="inlineStr">
        <is>
          <t>2026-09-22 05:09</t>
        </is>
      </c>
      <c r="C113" s="3" t="inlineStr">
        <is>
          <t>Coordinador de SST</t>
        </is>
      </c>
      <c r="D113" s="3" t="inlineStr">
        <is>
          <t>PERSOM S.A.S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HYPERLINK("https://co.computrabajo.com/ofertas-de-trabajo/oferta-de-trabajo-de-coordinador-de-sst-en-bogota-dc-F63CA2164CED78C361373E686DCF3405", "Ver Vacante")</f>
        <v/>
      </c>
      <c r="H113" s="6" t="inlineStr">
        <is>
          <t>$ 3.257.687,00 (Mensual)</t>
        </is>
      </c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215938c628e41120</t>
        </is>
      </c>
      <c r="B114" s="2" t="inlineStr">
        <is>
          <t>2026-09-22 05:09</t>
        </is>
      </c>
      <c r="C114" s="3" t="inlineStr">
        <is>
          <t>Ingeniero Civil proyectos Infraestructura</t>
        </is>
      </c>
      <c r="D114" s="3" t="inlineStr">
        <is>
          <t>Eficacia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HYPERLINK("https://co.computrabajo.com/ofertas-de-trabajo/oferta-de-trabajo-de-ingeniero-civil-proyectos-infraestructura-cali-valle-en-cali-03949569B6DE5E3061373E686DCF3405", "Ver Vacante")</f>
        <v/>
      </c>
      <c r="H114" s="6" t="inlineStr">
        <is>
          <t>$ 1.750.000,00 (Mensual)</t>
        </is>
      </c>
      <c r="I114" s="3" t="inlineStr">
        <is>
          <t>[Afinidad: 55/100 - Afinidad Moderada] Afinidad parcial en infraestructura vial y transporte.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d40d792e0c65305f</t>
        </is>
      </c>
      <c r="B115" s="2" t="inlineStr">
        <is>
          <t>2026-09-22 05:09</t>
        </is>
      </c>
      <c r="C115" s="3" t="inlineStr">
        <is>
          <t>Coordinador de área ambiental y calidad - líder de sostenibilidad ambiental - ingeniero /hseq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HYPERLINK("https://www.elempleo.com/co/ofertas-trabajo/coordinador-de-area-ambiental-y-calidad-lider-de-sostenibilidad-ambiental-ingeniero-hseq-1886755446",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5333f11a5d9ddaf0</t>
        </is>
      </c>
      <c r="B116" s="2" t="inlineStr">
        <is>
          <t>2026-09-22 05:09</t>
        </is>
      </c>
      <c r="C116" s="3" t="inlineStr">
        <is>
          <t>Cali -consultor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HYPERLINK("https://www.elempleo.com/co/ofertas-trabajo/cali-consultor-psicologo-especialista-sst-independiente-1886768154",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c2ab1be2d87d56da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HYPERLINK("https://www.elempleo.com/co/ofertas-trabajo/cali-consultor-psicologo-especialista-sst-independiente-1886745046",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b2e965ef992d7e0c</t>
        </is>
      </c>
      <c r="B118" s="2" t="inlineStr">
        <is>
          <t>2026-09-22 05:09</t>
        </is>
      </c>
      <c r="C118" s="3" t="inlineStr">
        <is>
          <t>Cali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HYPERLINK("https://www.elempleo.com/co/ofertas-trabajo/cali-consultor-psicologo-especialista-sst-independiente-1886760591",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e59c6b77c6fb31ec</t>
        </is>
      </c>
      <c r="B119" s="2" t="inlineStr">
        <is>
          <t>2026-09-22 05:09</t>
        </is>
      </c>
      <c r="C119" s="3" t="inlineStr">
        <is>
          <t>Ingeniero químico especialista en sst - bogotá</t>
        </is>
      </c>
      <c r="D119" s="3" t="inlineStr">
        <is>
          <t>Quirón Prevención Colombia S.A.S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HYPERLINK("https://www.elempleo.com/co/ofertas-trabajo/ingeniero-quimico-especialista-en-sst-bogota-1886699816",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631acc8f85eaeeff</t>
        </is>
      </c>
      <c r="B120" s="2" t="inlineStr">
        <is>
          <t>2026-09-22 05:09</t>
        </is>
      </c>
      <c r="C120" s="3" t="inlineStr">
        <is>
          <t>Psicólogo especialista en sst</t>
        </is>
      </c>
      <c r="D120" s="3" t="inlineStr">
        <is>
          <t>Quirón Prevención Colombia S.A.S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HYPERLINK("https://www.elempleo.com/co/ofertas-trabajo/psicologo-especialista-en-sst-bogota-1886758005",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7c17015bfac36a33</t>
        </is>
      </c>
      <c r="B121" s="2" t="inlineStr">
        <is>
          <t>2026-09-22 05:09</t>
        </is>
      </c>
      <c r="C121" s="3" t="inlineStr">
        <is>
          <t>Coordinador de proyectos en sst</t>
        </is>
      </c>
      <c r="D121" s="3" t="inlineStr">
        <is>
          <t>ACL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HYPERLINK("https://www.elempleo.com/co/ofertas-trabajo/coordinador-de-proyectos-en-sst-1886754005",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4b4069b9dca6e119</t>
        </is>
      </c>
      <c r="B122" s="2" t="inlineStr">
        <is>
          <t>2026-09-22 05:09</t>
        </is>
      </c>
      <c r="C122" s="3" t="inlineStr">
        <is>
          <t>Profesional sst especialista sst 627556</t>
        </is>
      </c>
      <c r="D122" s="3" t="inlineStr">
        <is>
          <t>JOBANDTALENT CO SAS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HYPERLINK("https://www.elempleo.com/co/ofertas-trabajo/profesional-sst-especialista-sst-627556-1886739219",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1857f57b4d01d529</t>
        </is>
      </c>
      <c r="B123" s="2" t="inlineStr">
        <is>
          <t>2026-09-22 05:09</t>
        </is>
      </c>
      <c r="C123" s="3" t="inlineStr">
        <is>
          <t>Especialista sst regional</t>
        </is>
      </c>
      <c r="D123" s="3" t="inlineStr">
        <is>
          <t>D1 SAS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HYPERLINK("https://www.elempleo.com/co/ofertas-trabajo/especialista-sst-regional-1886755260",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bedbbc3d1eb04d51</t>
        </is>
      </c>
      <c r="B124" s="2" t="inlineStr">
        <is>
          <t>2026-09-22 05:09</t>
        </is>
      </c>
      <c r="C124" s="3" t="inlineStr">
        <is>
          <t>Ingeniero industrial especialista en sst - bogotá</t>
        </is>
      </c>
      <c r="D124" s="3" t="inlineStr">
        <is>
          <t>Quirón Prevención Colombia S.A.S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HYPERLINK("https://www.elempleo.com/co/ofertas-trabajo/ingeniero-industrial-especialista-en-sst-bogota-1886769067",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32bbd9adcf2cf897</t>
        </is>
      </c>
      <c r="B125" s="2" t="inlineStr">
        <is>
          <t>2026-09-22 05:09</t>
        </is>
      </c>
      <c r="C125" s="3" t="inlineStr">
        <is>
          <t>Psicóloga especialista sst medellin</t>
        </is>
      </c>
      <c r="D125" s="3" t="inlineStr">
        <is>
          <t>CROMA MEDICAL IPS SAS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HYPERLINK("https://www.elempleo.com/co/ofertas-trabajo/psicologa-especialista-sst-medellin-1886760695",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515ba58295e9ed62</t>
        </is>
      </c>
      <c r="B126" s="2" t="inlineStr">
        <is>
          <t>2026-09-22 05:09</t>
        </is>
      </c>
      <c r="C126" s="3" t="inlineStr">
        <is>
          <t>Barranquilla - consultor psicólogo especialista sst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HYPERLINK("https://www.elempleo.com/co/ofertas-trabajo/barranquilla-consultor-psicologo-especialista-sst-independiente-1886751100",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c4d1af7d4b175e9c</t>
        </is>
      </c>
      <c r="B127" s="2" t="inlineStr">
        <is>
          <t>2026-09-22 05:09</t>
        </is>
      </c>
      <c r="C127" s="3" t="inlineStr">
        <is>
          <t>Cali -consultor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HYPERLINK("https://www.elempleo.com/co/ofertas-trabajo/cali-consultor-psicologo-especialista-sst-independiente-1886765207",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5c1c43e8151646eb</t>
        </is>
      </c>
      <c r="B128" s="2" t="inlineStr">
        <is>
          <t>2026-09-22 05:09</t>
        </is>
      </c>
      <c r="C128" s="3" t="inlineStr">
        <is>
          <t>Cartagena -consultor psicólogo especialista sst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HYPERLINK("https://www.elempleo.com/co/ofertas-trabajo/cartagena-consultor-psicologo-especialista-sst-independiente-1886764943",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8b77e05e299277ac</t>
        </is>
      </c>
      <c r="B129" s="2" t="inlineStr">
        <is>
          <t>2026-09-22 05:09</t>
        </is>
      </c>
      <c r="C129" s="3" t="inlineStr">
        <is>
          <t>Bogota- psicólogo especialista sst consultor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HYPERLINK("https://www.elempleo.com/co/ofertas-trabajo/bogota-psicologo-especialista-sst-consultor-independiente-1886769274",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caec2bc618b7c929</t>
        </is>
      </c>
      <c r="B130" s="2" t="inlineStr">
        <is>
          <t>2026-09-22 05:09</t>
        </is>
      </c>
      <c r="C130" s="3" t="inlineStr">
        <is>
          <t>Barranquilla - consultor psicólogo especialista sst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HYPERLINK("https://www.elempleo.com/co/ofertas-trabajo/barranquilla-consultor-psicologo-especialista-sst-independiente-1886763915",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3cd4840075db8bba</t>
        </is>
      </c>
      <c r="B131" s="2" t="inlineStr">
        <is>
          <t>2026-09-22 05:09</t>
        </is>
      </c>
      <c r="C131" s="3" t="inlineStr">
        <is>
          <t>Barranquilla - 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HYPERLINK("https://www.elempleo.com/co/ofertas-trabajo/barranquilla-consultor-psicologo-especialista-sst-independiente-1886746264",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1e6baed6c22e66e5</t>
        </is>
      </c>
      <c r="B132" s="2" t="inlineStr">
        <is>
          <t>2026-09-22 05:09</t>
        </is>
      </c>
      <c r="C132" s="3" t="inlineStr">
        <is>
          <t>Bogota - consultor psicólogo especialista sst independiente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HYPERLINK("https://www.elempleo.com/co/ofertas-trabajo/bogota-consultor-psicologo-especialista-sst-independiente-1886746058",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38789d9a0608d840</t>
        </is>
      </c>
      <c r="B133" s="2" t="inlineStr">
        <is>
          <t>2026-09-22 05:09</t>
        </is>
      </c>
      <c r="C133" s="3" t="inlineStr">
        <is>
          <t>Bogota-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HYPERLINK("https://www.elempleo.com/co/ofertas-trabajo/bogota-psicologo-especialista-sst-consultor-independiente-1886744293",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10cf16645266a188</t>
        </is>
      </c>
      <c r="B134" s="2" t="inlineStr">
        <is>
          <t>2026-09-22 05:09</t>
        </is>
      </c>
      <c r="C134" s="3" t="inlineStr">
        <is>
          <t>Bogota - consultor psicólogo especialista sst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HYPERLINK("https://www.elempleo.com/co/ofertas-trabajo/bogota-consultor-psicologo-especialista-sst-independiente-1886754444",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9d63e5860eb4f511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HYPERLINK("https://www.elempleo.com/co/ofertas-trabajo/coordinador-sst-1886756694",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b6fc490e7d1cb302</t>
        </is>
      </c>
      <c r="B136" s="2" t="inlineStr">
        <is>
          <t>2026-09-22 05:09</t>
        </is>
      </c>
      <c r="C136" s="3" t="inlineStr">
        <is>
          <t>Coordinador sst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HYPERLINK("https://www.elempleo.com/co/ofertas-trabajo/coordinador-sst-1886755615",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89b0a50a441c6311</t>
        </is>
      </c>
      <c r="B137" s="2" t="inlineStr">
        <is>
          <t>2026-09-22 05:09</t>
        </is>
      </c>
      <c r="C137" s="3" t="inlineStr">
        <is>
          <t>Coordinador sst</t>
        </is>
      </c>
      <c r="D137" s="3" t="inlineStr">
        <is>
          <t>Ingeurbe S.A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HYPERLINK("https://www.elempleo.com/co/ofertas-trabajo/coordinador-sst-1886751696",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dbd929b4729965e4</t>
        </is>
      </c>
      <c r="B138" s="2" t="inlineStr">
        <is>
          <t>2026-09-22 05:09</t>
        </is>
      </c>
      <c r="C138" s="3" t="inlineStr">
        <is>
          <t>Coordinador sst cali</t>
        </is>
      </c>
      <c r="D138" s="3" t="inlineStr">
        <is>
          <t>PROMOAMBIENTAL DISTRITO SAS ESP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HYPERLINK("https://www.elempleo.com/co/ofertas-trabajo/coordinador-sst-cali-1886763306",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c3693cc02f73e3a5</t>
        </is>
      </c>
      <c r="B139" s="2" t="inlineStr">
        <is>
          <t>2026-09-22 05:09</t>
        </is>
      </c>
      <c r="C139" s="3" t="inlineStr">
        <is>
          <t>Inspector o coordinador sst</t>
        </is>
      </c>
      <c r="D139" s="3" t="inlineStr">
        <is>
          <t>ADECCO COLOMBIA S A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HYPERLINK("https://www.elempleo.com/co/ofertas-trabajo/inspector-o-coordinador-sst-1886747212",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202995b9333b4f87</t>
        </is>
      </c>
      <c r="B140" s="2" t="inlineStr">
        <is>
          <t>2026-09-22 05:09</t>
        </is>
      </c>
      <c r="C140" s="3" t="inlineStr">
        <is>
          <t>Coordinador sst sector manufactura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HYPERLINK("https://www.elempleo.com/co/ofertas-trabajo/coordinador-sst-sector-manufactura-1886742930",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b84b7270d3c00390</t>
        </is>
      </c>
      <c r="B141" s="2" t="inlineStr">
        <is>
          <t>2026-09-22 05:09</t>
        </is>
      </c>
      <c r="C141" s="3" t="inlineStr">
        <is>
          <t>Coordinador de sst - tunja boyaca</t>
        </is>
      </c>
      <c r="D141" s="3" t="inlineStr">
        <is>
          <t>Clínica Medilaser S.A.S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HYPERLINK("https://www.elempleo.com/co/ofertas-trabajo/coordinador-de-sst-tunja-boyaca-1886756822",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e2d49218b20ec3d4</t>
        </is>
      </c>
      <c r="B142" s="2" t="inlineStr">
        <is>
          <t>2026-09-22 05:09</t>
        </is>
      </c>
      <c r="C142" s="3" t="inlineStr">
        <is>
          <t>Coordinador sst profesional bogota y aledaños</t>
        </is>
      </c>
      <c r="D142" s="3" t="inlineStr">
        <is>
          <t>Automatizacion Integ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HYPERLINK("https://www.elempleo.com/co/ofertas-trabajo/coordinador-sst-profesional-bogota-y-aledanos-1886766934",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c9ddc083f60a3c14</t>
        </is>
      </c>
      <c r="B143" s="2" t="inlineStr">
        <is>
          <t>2026-09-22 05:09</t>
        </is>
      </c>
      <c r="C143" s="3" t="inlineStr">
        <is>
          <t>Coordinadora de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HYPERLINK("https://www.elempleo.com/co/ofertas-trabajo/coordinadora-de-sst-1886764987",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7f87b552f8374594</t>
        </is>
      </c>
      <c r="B144" s="2" t="inlineStr">
        <is>
          <t>2026-09-22 05:09</t>
        </is>
      </c>
      <c r="C144" s="3" t="inlineStr">
        <is>
          <t>Coordinador sst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HYPERLINK("https://www.elempleo.com/co/ofertas-trabajo/coordinador-sst-1886745545",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da412525716fc949</t>
        </is>
      </c>
      <c r="B145" s="2" t="inlineStr">
        <is>
          <t>2026-09-22 05:09</t>
        </is>
      </c>
      <c r="C145" s="3" t="inlineStr">
        <is>
          <t>Coordinador sst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HYPERLINK("https://www.elempleo.com/co/ofertas-trabajo/coordinador-sst-1886758307",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6a236142b439c2df</t>
        </is>
      </c>
      <c r="B146" s="2" t="inlineStr">
        <is>
          <t>2026-09-22 05:09</t>
        </is>
      </c>
      <c r="C146" s="3" t="inlineStr">
        <is>
          <t>Profesional sg-sst - bogotá sector salud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HYPERLINK("https://www.elempleo.com/co/ofertas-trabajo/profesional-sgsst-bogota-sector-salud-1886722019", "Ver Vacante")</f>
        <v/>
      </c>
      <c r="H146" s="6" t="inlineStr"/>
      <c r="I146" s="3" t="inlineStr">
        <is>
          <t>[Afinidad: 55/100 - Afinidad Moderada] Alta coincidencia en gestión de Seguridad y Salud en el Trabajo (SST).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183be09bac3981ff</t>
        </is>
      </c>
      <c r="B147" s="2" t="inlineStr">
        <is>
          <t>2026-09-22 05:09</t>
        </is>
      </c>
      <c r="C147" s="3" t="inlineStr">
        <is>
          <t>Auxiliar de seguridad y salud en el trabajo</t>
        </is>
      </c>
      <c r="D147" s="3" t="inlineStr">
        <is>
          <t>SUMMAR PRODUCTIVIDAD S.A.S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HYPERLINK("https://www.elempleo.com/co/ofertas-trabajo/auxiliar-de-seguridad-y-salud-en-el-trabajo-sgsst-1886760290", "Ver Vacante")</f>
        <v/>
      </c>
      <c r="H147" s="6" t="inlineStr"/>
      <c r="I147" s="3" t="inlineStr">
        <is>
          <t>[Afinidad: 55/100 - Afinidad Moderada] Alta coincidencia en gestión de Seguridad y Salud en el Trabajo (SST).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e458abda6c8c6a4d</t>
        </is>
      </c>
      <c r="B148" s="2" t="inlineStr">
        <is>
          <t>2026-09-22 05:09</t>
        </is>
      </c>
      <c r="C148" s="3" t="inlineStr">
        <is>
          <t>Residente SG-SST</t>
        </is>
      </c>
      <c r="D148" s="3" t="inlineStr">
        <is>
          <t>Hunter Douglas Colombia</t>
        </is>
      </c>
      <c r="E148" s="7" t="n">
        <v>0.55</v>
      </c>
      <c r="F148" s="2" t="inlineStr">
        <is>
          <t>Remoto</t>
        </is>
      </c>
      <c r="G148" s="5">
        <f>HYPERLINK("https://co.linkedin.com/jobs/view/residente-sg-sst-at-hunter-douglas-colombia-4467388359", "Ver Vacante")</f>
        <v/>
      </c>
      <c r="H148" s="6" t="inlineStr"/>
      <c r="I148" s="3" t="inlineStr">
        <is>
          <t>[Afinidad: 55/100 - Afinidad Moderada] Alta coincidencia en gestión de Seguridad y Salud en el Trabajo (SST).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c9c1198f936f8f92</t>
        </is>
      </c>
      <c r="B149" s="2" t="inlineStr">
        <is>
          <t>2026-09-22 05:09</t>
        </is>
      </c>
      <c r="C149" s="3" t="inlineStr">
        <is>
          <t>Coordinador SST</t>
        </is>
      </c>
      <c r="D149" s="3" t="inlineStr">
        <is>
          <t>TEMPOTRABAJO S.A.S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HYPERLINK("https://co.linkedin.com/jobs/view/coordinador-sst-at-tempotrabajo-s-a-s-4463662684",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a3c876ff52d7c00a</t>
        </is>
      </c>
      <c r="B150" s="2" t="inlineStr">
        <is>
          <t>2026-09-22 05:09</t>
        </is>
      </c>
      <c r="C150" s="3" t="inlineStr">
        <is>
          <t>COORDINADOR SST</t>
        </is>
      </c>
      <c r="D150" s="3" t="inlineStr">
        <is>
          <t>Instalaciones Hidráulicas, Sanitarias y de Gas Inocencio López SAS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HYPERLINK("https://co.linkedin.com/jobs/view/coordinador-sst-at-instalaciones-hidr%C3%A1ulicas-sanitarias-y-de-gas-inocencio-l%C3%B3pez-sas-4423097456",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edfd638496b96148</t>
        </is>
      </c>
      <c r="B151" s="2" t="inlineStr">
        <is>
          <t>2026-09-22 05:09</t>
        </is>
      </c>
      <c r="C151" s="3" t="inlineStr">
        <is>
          <t>Especialista en diseño geométrico</t>
        </is>
      </c>
      <c r="D151" s="3" t="inlineStr">
        <is>
          <t>HMV Ingenieros</t>
        </is>
      </c>
      <c r="E151" s="7" t="n">
        <v>0.55</v>
      </c>
      <c r="F151" s="2" t="inlineStr">
        <is>
          <t>Remoto</t>
        </is>
      </c>
      <c r="G151" s="5">
        <f>HYPERLINK("https://co.linkedin.com/jobs/view/especialista-en-dise%C3%B1o-geom%C3%A9trico-at-hmv-ingenieros-4444748663", "Ver Vacante")</f>
        <v/>
      </c>
      <c r="H151" s="6" t="inlineStr"/>
      <c r="I151" s="3" t="inlineStr">
        <is>
          <t>[Afinidad: 55/100 - Afinidad Moderada] Afinidad parcial en infraestructura vial y transporte.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7e3c2555b7ec0e75</t>
        </is>
      </c>
      <c r="B152" s="2" t="inlineStr">
        <is>
          <t>2026-09-22 05:09</t>
        </is>
      </c>
      <c r="C152" s="3" t="inlineStr">
        <is>
          <t>Civil 3D Modeler</t>
        </is>
      </c>
      <c r="D152" s="3" t="inlineStr">
        <is>
          <t>WSP en Colombia</t>
        </is>
      </c>
      <c r="E152" s="7" t="n">
        <v>0.55</v>
      </c>
      <c r="F152" s="2" t="inlineStr">
        <is>
          <t>Remoto</t>
        </is>
      </c>
      <c r="G152" s="5">
        <f>HYPERLINK("https://co.linkedin.com/jobs/view/civil-3d-modeler-at-wsp-en-colombia-4459262136", "Ver Vacante")</f>
        <v/>
      </c>
      <c r="H152" s="6" t="inlineStr"/>
      <c r="I152" s="3" t="inlineStr">
        <is>
          <t>[Afinidad: 55/100 - Afinidad Moderada] Afinidad parcial en infraestructura vial y transporte.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c207043b76222b67</t>
        </is>
      </c>
      <c r="B153" s="2" t="inlineStr">
        <is>
          <t>2026-09-22 05:09</t>
        </is>
      </c>
      <c r="C153" s="3" t="inlineStr">
        <is>
          <t>Especialista Seguridad y Salud en el Trabajo</t>
        </is>
      </c>
      <c r="D153" s="3" t="inlineStr">
        <is>
          <t>D1 S.A.S</t>
        </is>
      </c>
      <c r="E153" s="7" t="n">
        <v>0.55</v>
      </c>
      <c r="F153" s="2" t="inlineStr">
        <is>
          <t>Remoto</t>
        </is>
      </c>
      <c r="G153" s="5">
        <f>HYPERLINK("https://co.linkedin.com/jobs/view/especialista-seguridad-y-salud-en-el-trabajo-at-d1-s-a-s-4460341281",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bd7ba1ca4d08566d</t>
        </is>
      </c>
      <c r="B154" s="2" t="inlineStr">
        <is>
          <t>2026-09-23 10:17</t>
        </is>
      </c>
      <c r="C154" s="3" t="inlineStr">
        <is>
          <t>Optometra Especialista en Salud Ocupacional</t>
        </is>
      </c>
      <c r="D154" s="3" t="inlineStr">
        <is>
          <t>Importante IPS de salud ocupacional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HYPERLINK("https://co.computrabajo.com/ofertas-de-trabajo/oferta-de-trabajo-de-optometra-especialista-en-salud-ocupacional-sst-en-bogota-dc-57C04D237286C30861373E686DCF3405", "Ver Vacante")</f>
        <v/>
      </c>
      <c r="H154" s="6" t="inlineStr">
        <is>
          <t>$ 4.000.000,00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9549eda0d9c36162</t>
        </is>
      </c>
      <c r="B155" s="2" t="inlineStr">
        <is>
          <t>2026-09-23 10:17</t>
        </is>
      </c>
      <c r="C155" s="3" t="inlineStr">
        <is>
          <t>Especialista en Seguridad y Salud en el Trabajo</t>
        </is>
      </c>
      <c r="D155" s="3" t="inlineStr">
        <is>
          <t>Importante empresa del sector Farmacéutico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HYPERLINK("https://co.computrabajo.com/ofertas-de-trabajo/oferta-de-trabajo-de-especialista-en-seguridad-y-salud-en-el-trabajo-sg-sst-y-seguridad-vial-en-bogota-dc-0198DBEB94D33F7061373E686DCF3405", "Ver Vacante")</f>
        <v/>
      </c>
      <c r="H155" s="6" t="inlineStr">
        <is>
          <t>$ 4.000.000,00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0cbe08296eba7ab9</t>
        </is>
      </c>
      <c r="B156" s="2" t="inlineStr">
        <is>
          <t>2026-09-23 10:17</t>
        </is>
      </c>
      <c r="C156" s="3" t="inlineStr">
        <is>
          <t>Psicólogo especialista en SST Bogotá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HYPERLINK("https://co.computrabajo.com/ofertas-de-trabajo/oferta-de-trabajo-de-psicologo-especialista-en-sst-bogota-experiencia-en-hidrocarburos-en-bogota-dc-358D62E2928318BE61373E686DCF3405",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9c95e0408815c547</t>
        </is>
      </c>
      <c r="B157" s="2" t="inlineStr">
        <is>
          <t>2026-09-23 10:17</t>
        </is>
      </c>
      <c r="C157" s="3" t="inlineStr">
        <is>
          <t>Fisioterapeuta especialista SST con experiencia en Hidrocarburos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01a9e49fb3fac24c</t>
        </is>
      </c>
      <c r="B158" s="2" t="inlineStr">
        <is>
          <t>2026-09-23 10:17</t>
        </is>
      </c>
      <c r="C158" s="3" t="inlineStr">
        <is>
          <t>Psicólogo especialista en SST Riesgo Psicosocial</t>
        </is>
      </c>
      <c r="D158" s="3" t="inlineStr">
        <is>
          <t>ACTIVOS S A S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HYPERLINK("https://co.computrabajo.com/ofertas-de-trabajo/oferta-de-trabajo-de-psicologo-especialista-en-sst-riesgo-psicosocial-sve-en-bogota-dc-C10E4872B88B703E61373E686DCF3405", "Ver Vacante")</f>
        <v/>
      </c>
      <c r="H158" s="6" t="inlineStr">
        <is>
          <t>$ 5.648.300,00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442023b3158d90f3</t>
        </is>
      </c>
      <c r="B159" s="2" t="inlineStr">
        <is>
          <t>2026-09-23 10:17</t>
        </is>
      </c>
      <c r="C159" s="3" t="inlineStr">
        <is>
          <t>Fisioterapeuta especialista en SST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HYPERLINK("https://co.computrabajo.com/ofertas-de-trabajo/oferta-de-trabajo-de-fisioterapeuta-especialista-en-sst-experiencia-en-hidrocarburos-en-barrancabermeja-4C2CAE18EFAC8CBB61373E686DCF3405", "Ver Vacante")</f>
        <v/>
      </c>
      <c r="H159" s="6" t="inlineStr">
        <is>
          <t>Presencial y remoto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42c05f01b118629a</t>
        </is>
      </c>
      <c r="B160" s="2" t="inlineStr">
        <is>
          <t>2026-09-23 10:17</t>
        </is>
      </c>
      <c r="C160" s="3" t="inlineStr">
        <is>
          <t>Psicólogo especialista en SST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HYPERLINK("https://co.computrabajo.com/ofertas-de-trabajo/oferta-de-trabajo-de-psicologo-especialista-en-sst-experiencia-en-hidrocarburos-en-cartagena-de-indias-5C852BF9423CEC4B61373E686DCF3405", "Ver Vacante")</f>
        <v/>
      </c>
      <c r="H160" s="6" t="inlineStr">
        <is>
          <t>$ 3.300.000,00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68fcd5d8a63d6284</t>
        </is>
      </c>
      <c r="B161" s="2" t="inlineStr">
        <is>
          <t>2026-09-23 10:17</t>
        </is>
      </c>
      <c r="C161" s="3" t="inlineStr">
        <is>
          <t>Especialista SST</t>
        </is>
      </c>
      <c r="D161" s="3" t="inlineStr">
        <is>
          <t>Productos del campo san gregorio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HYPERLINK("https://co.computrabajo.com/ofertas-de-trabajo/oferta-de-trabajo-de-especialista-sst-sector-alimentos-en-bogota-dc-5E3A58735730BA7561373E686DCF3405",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f81c3fbb0eb31875</t>
        </is>
      </c>
      <c r="B162" s="2" t="inlineStr">
        <is>
          <t>2026-09-23 10:17</t>
        </is>
      </c>
      <c r="C162" s="3" t="inlineStr">
        <is>
          <t>Fisioterapeuta especialista SST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HYPERLINK("https://co.computrabajo.com/ofertas-de-trabajo/oferta-de-trabajo-de-fisioterapeuta-especialista-sst-bogota-en-bogota-dc-D2ACC03F552AAE0C61373E686DCF3405",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d0f431eaa1f3fc65</t>
        </is>
      </c>
      <c r="B163" s="2" t="inlineStr">
        <is>
          <t>2026-09-23 10:17</t>
        </is>
      </c>
      <c r="C163" s="3" t="inlineStr">
        <is>
          <t>Fisioterapeuta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HYPERLINK("https://co.computrabajo.com/ofertas-de-trabajo/oferta-de-trabajo-de-urgente-fisioterapeuta-especialista-sst-bogota-en-bogota-dc-83215FFC6100A75861373E686DCF3405",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3b4cccda2b01b501</t>
        </is>
      </c>
      <c r="B164" s="2" t="inlineStr">
        <is>
          <t>2026-09-23 10:17</t>
        </is>
      </c>
      <c r="C164" s="3" t="inlineStr">
        <is>
          <t>Psicóloga especialista en SST y Asesorías</t>
        </is>
      </c>
      <c r="D164" s="3" t="inlineStr">
        <is>
          <t>SERQUERER SAS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4" s="6" t="inlineStr">
        <is>
          <t>$ 3.000.000,00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a77b591414a1fa3e</t>
        </is>
      </c>
      <c r="B165" s="2" t="inlineStr">
        <is>
          <t>2026-09-24 15:49</t>
        </is>
      </c>
      <c r="C165" s="3" t="inlineStr">
        <is>
          <t>Fisioterapeuta especialista SST Manizales</t>
        </is>
      </c>
      <c r="D165" s="3" t="inlineStr">
        <is>
          <t>Colmedicos S.A.S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HYPERLINK("https://co.computrabajo.com/ofertas-de-trabajo/oferta-de-trabajo-de-fisioterapeuta-especialista-sst-manizales-en-manizales-9F3A05CFD0FBA0CE61373E686DCF3405",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388057af16b6b97f</t>
        </is>
      </c>
      <c r="B166" s="2" t="inlineStr">
        <is>
          <t>2026-09-24 15:49</t>
        </is>
      </c>
      <c r="C166" s="3" t="inlineStr">
        <is>
          <t>Psicologo especialista SST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HYPERLINK("https://co.computrabajo.com/ofertas-de-trabajo/oferta-de-trabajo-de-psicologo-especialista-sst-yopal-en-yopal-408CB9208C1C5C2361373E686DCF3405",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6e7ee65fbd306c7f</t>
        </is>
      </c>
      <c r="B167" s="2" t="inlineStr">
        <is>
          <t>2026-09-24 15:49</t>
        </is>
      </c>
      <c r="C167" s="3" t="inlineStr">
        <is>
          <t>Psicólogo/a especialista en sst - riesgo psicosocial / quirón</t>
        </is>
      </c>
      <c r="D167" s="3" t="inlineStr">
        <is>
          <t>Quirón Prevención Colombia S.A.S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HYPERLINK("https://www.elempleo.com/co/ofertas-trabajo/psicologo-a-especialista-en-sst-riesgo-psicosocial-quiron-1886767749",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bc45c56229e78e6b</t>
        </is>
      </c>
      <c r="B168" s="2" t="inlineStr">
        <is>
          <t>2026-09-24 15:49</t>
        </is>
      </c>
      <c r="C168" s="3" t="inlineStr">
        <is>
          <t>Ingeniero químico especialista en sst- medellin</t>
        </is>
      </c>
      <c r="D168" s="3" t="inlineStr">
        <is>
          <t>CROMA MEDICAL IPS SAS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HYPERLINK("https://www.elempleo.com/co/ofertas-trabajo/ingeniero-quimico-especialista-en-sst-medellin-1886754312",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4bf629c3f3bdff86</t>
        </is>
      </c>
      <c r="B169" s="2" t="inlineStr">
        <is>
          <t>2026-09-24 15:49</t>
        </is>
      </c>
      <c r="C169" s="3" t="inlineStr">
        <is>
          <t>Especialista sst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HYPERLINK("https://www.elempleo.com/co/ofertas-trabajo/especialista-sst-1886771182",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20a50935767e8aaa</t>
        </is>
      </c>
      <c r="B170" s="2" t="inlineStr">
        <is>
          <t>2026-09-24 15:49</t>
        </is>
      </c>
      <c r="C170" s="3" t="inlineStr">
        <is>
          <t>Cali -consultor psicólogo especialista sst independiente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HYPERLINK("https://www.elempleo.com/co/ofertas-trabajo/cali-consultor-psicologo-especialista-sst-independiente-1886770879",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8496043691452a59</t>
        </is>
      </c>
      <c r="B171" s="2" t="inlineStr">
        <is>
          <t>2026-09-24 15:49</t>
        </is>
      </c>
      <c r="C171" s="3" t="inlineStr">
        <is>
          <t>Bogota- psicólogo especialista sst consultor independiente sabana norte</t>
        </is>
      </c>
      <c r="D171" s="3" t="inlineStr">
        <is>
          <t>Confidencial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HYPERLINK("https://www.elempleo.com/co/ofertas-trabajo/bogota-psicologo-especialista-sst-consultor-independiente-sabana-norte-1886744298",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522e1c263a3fd11c</t>
        </is>
      </c>
      <c r="B172" s="2" t="inlineStr">
        <is>
          <t>2026-09-24 15:49</t>
        </is>
      </c>
      <c r="C172" s="3" t="inlineStr">
        <is>
          <t>Medellin - psicólogo especialista sst consultor independiente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HYPERLINK("https://www.elempleo.com/co/ofertas-trabajo/medellin-psicologo-especialista-sst-consultor-independiente-1886745051",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1a7c07516ac16e1d</t>
        </is>
      </c>
      <c r="B173" s="2" t="inlineStr">
        <is>
          <t>2026-09-24 15:49</t>
        </is>
      </c>
      <c r="C173" s="3" t="inlineStr">
        <is>
          <t>Bogota- psicólogo especialista sst consultor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HYPERLINK("https://www.elempleo.com/co/ofertas-trabajo/bogota-psicologo-especialista-sst-consultor-independiente-1886770878",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2d3540702126046e</t>
        </is>
      </c>
      <c r="B174" s="2" t="inlineStr">
        <is>
          <t>2026-09-24 15:49</t>
        </is>
      </c>
      <c r="C174" s="3" t="inlineStr">
        <is>
          <t>Fisioterapeuta especialista en seguridad y salud en el trabajo | sector de seguridad privada</t>
        </is>
      </c>
      <c r="D174" s="3" t="inlineStr">
        <is>
          <t>ADECCO COLOMBIA S A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HYPERLINK("https://www.elempleo.com/co/ofertas-trabajo/fisioterapeuta-especialista-en-seguridad-y-salud-en-el-trabajo-sector-de-seguridad-privada-1886745139",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087cb5a49add2662</t>
        </is>
      </c>
      <c r="B175" s="2" t="inlineStr">
        <is>
          <t>2026-09-24 15:50</t>
        </is>
      </c>
      <c r="C175" s="3" t="inlineStr">
        <is>
          <t>Coordinador de Infraestructura Colombia</t>
        </is>
      </c>
      <c r="D175" s="3" t="inlineStr">
        <is>
          <t>Camposol</t>
        </is>
      </c>
      <c r="E175" s="7" t="n">
        <v>0.55</v>
      </c>
      <c r="F175" s="2" t="inlineStr">
        <is>
          <t>Remoto</t>
        </is>
      </c>
      <c r="G175" s="5">
        <f>HYPERLINK("https://co.linkedin.com/jobs/view/coordinador-de-infraestructura-colombia-at-camposol-s-a-4466226718",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bc8cf3f9407cb00a</t>
        </is>
      </c>
      <c r="B176" s="2" t="inlineStr">
        <is>
          <t>2026-09-24 15:50</t>
        </is>
      </c>
      <c r="C176" s="3" t="inlineStr">
        <is>
          <t>Coordinador de SST</t>
        </is>
      </c>
      <c r="D176" s="3" t="inlineStr">
        <is>
          <t>Lean Solutions Group</t>
        </is>
      </c>
      <c r="E176" s="7" t="n">
        <v>0.55</v>
      </c>
      <c r="F176" s="2" t="inlineStr">
        <is>
          <t>Remoto</t>
        </is>
      </c>
      <c r="G176" s="5">
        <f>HYPERLINK("https://co.linkedin.com/jobs/view/coordinador-de-sst-at-lean-solutions-group-4463128075",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88a9bea62832d1de</t>
        </is>
      </c>
      <c r="B177" s="2" t="inlineStr">
        <is>
          <t>2026-09-25 15:50</t>
        </is>
      </c>
      <c r="C177" s="3" t="inlineStr">
        <is>
          <t>Fisioterapeuta Especialista en SST</t>
        </is>
      </c>
      <c r="D177" s="3" t="inlineStr">
        <is>
          <t>ACTIVOS S A S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HYPERLINK("https://co.computrabajo.com/ofertas-de-trabajo/oferta-de-trabajo-de-fisioterapeuta-especialista-en-sst-buenaventura-en-buenaventura-1C72EFDADC97DCF161373E686DCF3405", "Ver Vacante")</f>
        <v/>
      </c>
      <c r="H177" s="6" t="inlineStr">
        <is>
          <t>$ 5.243.400,00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238b2616c659049c</t>
        </is>
      </c>
      <c r="B178" s="2" t="inlineStr">
        <is>
          <t>2026-09-25 15:50</t>
        </is>
      </c>
      <c r="C178" s="3" t="inlineStr">
        <is>
          <t>Psicólogo/a especialista en SST/Jamundí/ Conocimiento en riesgo psicosocial</t>
        </is>
      </c>
      <c r="D178" s="3" t="inlineStr">
        <is>
          <t>Importante empresa del sector de servicios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HYPERLINK("https://co.computrabajo.com/ofertas-de-trabajo/oferta-de-trabajo-de-psicologoa-especialista-en-sstjamundi-conocimiento-en-riesgo-psicosocial-en-cali-3D2A6E3C311D176961373E686DCF3405",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cd92cac80658d1be</t>
        </is>
      </c>
      <c r="B179" s="2" t="inlineStr">
        <is>
          <t>2026-09-25 15:50</t>
        </is>
      </c>
      <c r="C179" s="3" t="inlineStr">
        <is>
          <t>Psicólogo/a Especialista en SST para Medio Tiempo</t>
        </is>
      </c>
      <c r="D179" s="3" t="inlineStr">
        <is>
          <t>ACTIVOS S A 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HYPERLINK("https://co.computrabajo.com/ofertas-de-trabajo/oferta-de-trabajo-de-psicologoa-especialista-en-sst-para-medio-tiempo-en-cerrito-en-el-cerrito-220FFC97D9478B1161373E686DCF3405", "Ver Vacante")</f>
        <v/>
      </c>
      <c r="H179" s="6" t="inlineStr">
        <is>
          <t>$ 1.890.000,00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578747dd0b781126</t>
        </is>
      </c>
      <c r="B180" s="2" t="inlineStr">
        <is>
          <t>2026-09-25 15:50</t>
        </is>
      </c>
      <c r="C180" s="3" t="inlineStr">
        <is>
          <t>Fisioterapeuta especialista en SST Villavicencio</t>
        </is>
      </c>
      <c r="D180" s="3" t="inlineStr">
        <is>
          <t>Importante empresa del sector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80" s="6" t="inlineStr">
        <is>
          <t>Presencial y 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97d9b015f274e137</t>
        </is>
      </c>
      <c r="B181" s="2" t="inlineStr">
        <is>
          <t>2026-09-25 15:50</t>
        </is>
      </c>
      <c r="C181" s="3" t="inlineStr">
        <is>
          <t>Psicólogo especialista en SST</t>
        </is>
      </c>
      <c r="D181" s="3" t="inlineStr">
        <is>
          <t>UNIDAD DE SALUD OCUPACIONAL S.A.S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HYPERLINK("https://co.computrabajo.com/ofertas-de-trabajo/oferta-de-trabajo-de-psicologo-especialista-en-sst-bogota-en-bogota-dc-C945C7EC609EE18761373E686DCF3405",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d83791a6f0a494ef</t>
        </is>
      </c>
      <c r="B182" s="2" t="inlineStr">
        <is>
          <t>2026-09-25 15:50</t>
        </is>
      </c>
      <c r="C182" s="3" t="inlineStr">
        <is>
          <t>Ingeniero especialista en SST Licencia Vigente</t>
        </is>
      </c>
      <c r="D182" s="3" t="inlineStr">
        <is>
          <t>ACTIVOS S A 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HYPERLINK("https://co.computrabajo.com/ofertas-de-trabajo/oferta-de-trabajo-de-ingeniero-especialista-en-sst-licencia-vigente-sector-hidrocarburos-pesv-en-bogota-dc-2FA9079CAA4CFA4761373E686DCF3405", "Ver Vacante")</f>
        <v/>
      </c>
      <c r="H182" s="6" t="inlineStr">
        <is>
          <t>$ 4.143.800,00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92c29f4e280c2071</t>
        </is>
      </c>
      <c r="B183" s="2" t="inlineStr">
        <is>
          <t>2026-09-25 15:50</t>
        </is>
      </c>
      <c r="C183" s="3" t="inlineStr">
        <is>
          <t>Fisioterapeuta especialista en SST Villavicencio</t>
        </is>
      </c>
      <c r="D183" s="3" t="inlineStr">
        <is>
          <t>Importante empresa del sector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3" s="6" t="inlineStr">
        <is>
          <t>Presencial y remoto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0a9409925ce9f28b</t>
        </is>
      </c>
      <c r="B184" s="2" t="inlineStr">
        <is>
          <t>2026-09-25 15:50</t>
        </is>
      </c>
      <c r="C184" s="3" t="inlineStr">
        <is>
          <t>Fisioterapeuta o Terapeuta Ocupacional especialista en SST</t>
        </is>
      </c>
      <c r="D184" s="3" t="inlineStr">
        <is>
          <t>INTERSALUD OCUPACIONAL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4" s="6" t="inlineStr">
        <is>
          <t>$ 3.900.000,00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47fd332bf15a57b4</t>
        </is>
      </c>
      <c r="B185" s="2" t="inlineStr">
        <is>
          <t>2026-09-25 15:50</t>
        </is>
      </c>
      <c r="C185" s="3" t="inlineStr">
        <is>
          <t>Coordinador SST especialista en Gestión Ambiental</t>
        </is>
      </c>
      <c r="D185" s="3" t="inlineStr">
        <is>
          <t>Importante empresa del sector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HYPERLINK("https://co.computrabajo.com/ofertas-de-trabajo/oferta-de-trabajo-de-coordinador-sst-especialista-en-gestion-ambiental-en-medellin-B9A15B0A7A21F23A61373E686DCF3405", "Ver Vacante")</f>
        <v/>
      </c>
      <c r="H185" s="6" t="inlineStr">
        <is>
          <t>$ 350.000,00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e5eb3260f5d87bcf</t>
        </is>
      </c>
      <c r="B186" s="2" t="inlineStr">
        <is>
          <t>2026-09-25 15:50</t>
        </is>
      </c>
      <c r="C186" s="3" t="inlineStr">
        <is>
          <t>Especialista PESV</t>
        </is>
      </c>
      <c r="D186" s="3" t="inlineStr">
        <is>
          <t>Importante empresa del sector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HYPERLINK("https://co.computrabajo.com/ofertas-de-trabajo/oferta-de-trabajo-de-especialista-pesv-boyaca-en-bogota-dc-11609B278124ECD461373E686DCF3405", "Ver Vacante")</f>
        <v/>
      </c>
      <c r="H186" s="6" t="inlineStr"/>
      <c r="I186" s="3" t="inlineStr">
        <is>
          <t>[Afinidad: 55/100 - Afinidad Moderada] Afinidad parcial en infraestructura vial y transporte.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dac78435b7f18639</t>
        </is>
      </c>
      <c r="B187" s="2" t="inlineStr">
        <is>
          <t>2026-09-25 15:50</t>
        </is>
      </c>
      <c r="C187" s="3" t="inlineStr">
        <is>
          <t>Coordinador de sst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HYPERLINK("https://www.elempleo.com/co/ofertas-trabajo/coordinador-de-sst-1886772161",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f070f0e1701ece88</t>
        </is>
      </c>
      <c r="B188" s="2" t="inlineStr">
        <is>
          <t>2026-09-25 15:50</t>
        </is>
      </c>
      <c r="C188" s="3" t="inlineStr">
        <is>
          <t>¡impulsa tu carrera en sg-sst!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HYPERLINK("https://www.elempleo.com/co/ofertas-trabajo/impulsa-tu-carrera-en-sgsst-md-1886771759", "Ver Vacante")</f>
        <v/>
      </c>
      <c r="H188" s="6" t="inlineStr"/>
      <c r="I188" s="3" t="inlineStr">
        <is>
          <t>[Afinidad: 55/100 - Afinidad Moderada] Alta coincidencia en gestión de Seguridad y Salud en el Trabajo (SST).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b332ff8f489a6d6f</t>
        </is>
      </c>
      <c r="B189" s="2" t="inlineStr">
        <is>
          <t>2026-09-25 15:50</t>
        </is>
      </c>
      <c r="C189" s="3" t="inlineStr">
        <is>
          <t>¡impulsa tu carrera en sg-sst!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HYPERLINK("https://www.elempleo.com/co/ofertas-trabajo/impulsa-tu-carrera-en-sgsst-md-1886771765", "Ver Vacante")</f>
        <v/>
      </c>
      <c r="H189" s="6" t="inlineStr"/>
      <c r="I189" s="3" t="inlineStr">
        <is>
          <t>[Afinidad: 55/100 - Afinidad Moderada] Alta coincidencia en gestión de Seguridad y Salud en el Trabajo (SST).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91df852b2a4ac064</t>
        </is>
      </c>
      <c r="B190" s="2" t="inlineStr">
        <is>
          <t>2026-09-25 15:50</t>
        </is>
      </c>
      <c r="C190" s="3" t="inlineStr">
        <is>
          <t>Coordinador SST</t>
        </is>
      </c>
      <c r="D190" s="3" t="inlineStr">
        <is>
          <t>Grupo Espumados</t>
        </is>
      </c>
      <c r="E190" s="7" t="n">
        <v>0.55</v>
      </c>
      <c r="F190" s="2" t="inlineStr">
        <is>
          <t>Remoto</t>
        </is>
      </c>
      <c r="G190" s="5">
        <f>HYPERLINK("https://co.linkedin.com/jobs/view/coordinador-sst-at-grupo-espumados-4472001098",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1eb623fce43a3d9a</t>
        </is>
      </c>
      <c r="B191" s="2" t="inlineStr">
        <is>
          <t>2026-09-26 15:00</t>
        </is>
      </c>
      <c r="C191" s="3" t="inlineStr">
        <is>
          <t>Ingeniero Industrial Especialista SST Experiencia en riesgo laboral</t>
        </is>
      </c>
      <c r="D191" s="3" t="inlineStr">
        <is>
          <t>Importante empresa del sector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HYPERLINK("https://co.computrabajo.com/ofertas-de-trabajo/oferta-de-trabajo-de-ingeniero-industrial-especialista-sst-experiencia-en-riesgo-laboral-en-bogota-dc-E71079E30BEC1C2861373E686DCF3405",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6f3983b118e693c4</t>
        </is>
      </c>
      <c r="B192" s="2" t="inlineStr">
        <is>
          <t>2026-09-26 15:00</t>
        </is>
      </c>
      <c r="C192" s="3" t="inlineStr">
        <is>
          <t>Psicólogo(a) Especialista SST Neiva</t>
        </is>
      </c>
      <c r="D192" s="3" t="inlineStr">
        <is>
          <t>EDUCASALUD S.A.S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HYPERLINK("https://co.computrabajo.com/ofertas-de-trabajo/oferta-de-trabajo-de-psicologoa-especialista-sst-neiva-prestacion-de-servicios-neiva-en-neiva-E475ABE3BE5186D261373E686DCF3405",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0185470bdcf0233f</t>
        </is>
      </c>
      <c r="B193" s="2" t="inlineStr">
        <is>
          <t>2026-09-26 15:00</t>
        </is>
      </c>
      <c r="C193" s="3" t="inlineStr">
        <is>
          <t>Neiva Fisioterapeuta Especialista en SST</t>
        </is>
      </c>
      <c r="D193" s="3" t="inlineStr">
        <is>
          <t>EDUCASALUD S.A.S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HYPERLINK("https://co.computrabajo.com/ofertas-de-trabajo/oferta-de-trabajo-de-neiva-fisioterapeuta-especialista-en-sst-en-bogota-dc-E4485145432D13D461373E686DCF3405", "Ver Vacante")</f>
        <v/>
      </c>
      <c r="H193" s="6" t="inlineStr">
        <is>
          <t>$ 3.040.000,00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6906965b541e09a9</t>
        </is>
      </c>
      <c r="B194" s="2" t="inlineStr">
        <is>
          <t>2026-09-26 15:00</t>
        </is>
      </c>
      <c r="C194" s="3" t="inlineStr">
        <is>
          <t>Fisioterapeuta especialista en SST</t>
        </is>
      </c>
      <c r="D194" s="3" t="inlineStr">
        <is>
          <t>PERMODA LTDA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HYPERLINK("https://co.computrabajo.com/ofertas-de-trabajo/oferta-de-trabajo-de-fisioterapeuta-especialista-en-sst-bogota-en-bogota-dc-5B3031F01872EB9661373E686DCF3405", "Ver Vacante")</f>
        <v/>
      </c>
      <c r="H194" s="6" t="inlineStr">
        <is>
          <t>$ 2.552.000,00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1686ab7d1c9fa61f</t>
        </is>
      </c>
      <c r="B195" s="2" t="inlineStr">
        <is>
          <t>2026-09-26 15:00</t>
        </is>
      </c>
      <c r="C195" s="3" t="inlineStr">
        <is>
          <t>Psicólogo(a) Especialista En sst</t>
        </is>
      </c>
      <c r="D195" s="3" t="inlineStr">
        <is>
          <t>TEMPORALES PLUS EST S.A.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HYPERLINK("https://co.computrabajo.com/ofertas-de-trabajo/oferta-de-trabajo-de-psicologoa-especialista-en-sst-labor-en-pasto-en-pasto-D0E65329A97D073B61373E686DCF3405", "Ver Vacante")</f>
        <v/>
      </c>
      <c r="H195" s="6" t="inlineStr">
        <is>
          <t>$ 2.800.000,00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74a4d442fca75e90</t>
        </is>
      </c>
      <c r="B196" s="2" t="inlineStr">
        <is>
          <t>2026-09-26 15:00</t>
        </is>
      </c>
      <c r="C196" s="3" t="inlineStr">
        <is>
          <t>Fisioterapeuta especialista en SST</t>
        </is>
      </c>
      <c r="D196" s="3" t="inlineStr">
        <is>
          <t>ACTIVOS S A S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HYPERLINK("https://co.computrabajo.com/ofertas-de-trabajo/oferta-de-trabajo-de-fisioterapeuta-especialista-en-sst-riesgos-laborales-sve-en-villavicencio-10BE9324A54ECE8B61373E686DCF3405", "Ver Vacante")</f>
        <v/>
      </c>
      <c r="H196" s="6" t="inlineStr">
        <is>
          <t>$ 5.648.300,00 (Mensual)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06878c1cde2e3773</t>
        </is>
      </c>
      <c r="B197" s="2" t="inlineStr">
        <is>
          <t>2026-09-26 15:00</t>
        </is>
      </c>
      <c r="C197" s="3" t="inlineStr">
        <is>
          <t>Medica Ocupacional / Especialista en SST</t>
        </is>
      </c>
      <c r="D197" s="3" t="inlineStr">
        <is>
          <t>GENTE UTIL S.A.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HYPERLINK("https://co.computrabajo.com/ofertas-de-trabajo/oferta-de-trabajo-de-medica-ocupacional-especialista-en-sst-urgente-en-bogota-dc-D06CEDA0B1CD549D61373E686DCF3405", "Ver Vacante")</f>
        <v/>
      </c>
      <c r="H197" s="6" t="inlineStr">
        <is>
          <t>$ 5.430.000,00 (Mensual)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88105270208abe1c</t>
        </is>
      </c>
      <c r="B198" s="2" t="inlineStr">
        <is>
          <t>2026-09-26 15:00</t>
        </is>
      </c>
      <c r="C198" s="3" t="inlineStr">
        <is>
          <t>Consultor psicólogo especialista sst independiente - cajica- tocancipa - zipaquira o zonas aledañas</t>
        </is>
      </c>
      <c r="D198" s="3" t="inlineStr">
        <is>
          <t>Confidencial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HYPERLINK("https://www.elempleo.com/co/ofertas-trabajo/consultor-psicologo-especialista-sst-independiente-cajica-tocancipa-zipaquira-o-zonas-aledanas-1886763911",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529f9e6383806d92</t>
        </is>
      </c>
      <c r="B199" s="2" t="inlineStr">
        <is>
          <t>2026-09-26 15:00</t>
        </is>
      </c>
      <c r="C199" s="3" t="inlineStr">
        <is>
          <t>Coordinador de sst - tunja boyaca</t>
        </is>
      </c>
      <c r="D199" s="3" t="inlineStr">
        <is>
          <t>Clínica Medilaser S.A.S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HYPERLINK("https://www.elempleo.com/co/ofertas-trabajo/coordinador-de-sst-tunja-boyaca-1886771751",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0a8a903505ae1d9a</t>
        </is>
      </c>
      <c r="B200" s="2" t="inlineStr">
        <is>
          <t>2026-09-27 15:38</t>
        </is>
      </c>
      <c r="C200" s="3" t="inlineStr">
        <is>
          <t>Psicólogo especialista SST</t>
        </is>
      </c>
      <c r="D200" s="3" t="inlineStr">
        <is>
          <t>Importante empresa del sector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HYPERLINK("https://co.computrabajo.com/ofertas-de-trabajo/oferta-de-trabajo-de-psicologo-especialista-sst-medellin-en-medellin-A6F5DECAB8956D1061373E686DCF3405",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a344101b5b0f4a7a</t>
        </is>
      </c>
      <c r="B201" s="2" t="inlineStr">
        <is>
          <t>2026-09-28 18:33</t>
        </is>
      </c>
      <c r="C201" s="3" t="inlineStr">
        <is>
          <t>Especialista en diseño geométrico</t>
        </is>
      </c>
      <c r="D201" s="3" t="inlineStr">
        <is>
          <t>HMV Ingenieros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HYPERLINK("https://co.computrabajo.com/ofertas-de-trabajo/oferta-de-trabajo-de-especialista-en-diseno-geometrico-bogota-en-bogota-dc-6C6A8F97CE8C567561373E686DCF3405", "Ver Vacante")</f>
        <v/>
      </c>
      <c r="H201" s="6" t="inlineStr"/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ff38639fc60264dd</t>
        </is>
      </c>
      <c r="B202" s="2" t="inlineStr">
        <is>
          <t>2026-09-28 18:33</t>
        </is>
      </c>
      <c r="C202" s="3" t="inlineStr">
        <is>
          <t>Especialista en SST Docente Sincelejo</t>
        </is>
      </c>
      <c r="D202" s="3" t="inlineStr">
        <is>
          <t>CUN</t>
        </is>
      </c>
      <c r="E202" s="7" t="n">
        <v>0.55</v>
      </c>
      <c r="F202" s="2" t="inlineStr">
        <is>
          <t>Remoto</t>
        </is>
      </c>
      <c r="G202" s="5">
        <f>HYPERLINK("https://co.computrabajo.com/ofertas-de-trabajo/oferta-de-trabajo-de-especialista-en-sst-docente-sincelejo-facilitador-en-sincelejo-5E87E96A745E146561373E686DCF3405", "Ver Vacante")</f>
        <v/>
      </c>
      <c r="H202" s="6" t="inlineStr">
        <is>
          <t>$ 2.000.000,00 (Mensual)</t>
        </is>
      </c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92b9dd5e757a8e04</t>
        </is>
      </c>
      <c r="B203" s="2" t="inlineStr">
        <is>
          <t>2026-09-28 18:33</t>
        </is>
      </c>
      <c r="C203" s="3" t="inlineStr">
        <is>
          <t>Especialista en SST Docente Monteria</t>
        </is>
      </c>
      <c r="D203" s="3" t="inlineStr">
        <is>
          <t>CUN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HYPERLINK("https://co.computrabajo.com/ofertas-de-trabajo/oferta-de-trabajo-de-especialista-en-sst-docente-monteria-facilitador-en-monteria-5D84D07CF0D9AC0561373E686DCF3405", "Ver Vacante")</f>
        <v/>
      </c>
      <c r="H203" s="6" t="inlineStr">
        <is>
          <t>$ 2.000.000,00 (Mensual)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5dd6621bec61c6b5</t>
        </is>
      </c>
      <c r="B204" s="2" t="inlineStr">
        <is>
          <t>2026-09-28 18:33</t>
        </is>
      </c>
      <c r="C204" s="3" t="inlineStr">
        <is>
          <t>Ingeniero mecánico o eléctrico especialista SST</t>
        </is>
      </c>
      <c r="D204" s="3" t="inlineStr">
        <is>
          <t>ACTIVOS S A S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HYPERLINK("https://co.computrabajo.com/ofertas-de-trabajo/oferta-de-trabajo-de-ingeniero-mecanico-o-electrico-especialista-sst-en-barranquilla-05F2384CC982292161373E686DCF3405", "Ver Vacante")</f>
        <v/>
      </c>
      <c r="H204" s="6" t="inlineStr">
        <is>
          <t>$ 3.456.000,00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fa4e0cae15b26bc8</t>
        </is>
      </c>
      <c r="B205" s="2" t="inlineStr">
        <is>
          <t>2026-09-28 18:33</t>
        </is>
      </c>
      <c r="C205" s="3" t="inlineStr">
        <is>
          <t>Ingeniero industrial especialista en sst - bogotá</t>
        </is>
      </c>
      <c r="D205" s="3" t="inlineStr">
        <is>
          <t>Quirón Prevención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HYPERLINK("https://www.elempleo.com/co/ofertas-trabajo/ingeniero-industrial-especialista-en-sst-bogota-1886772921",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d65c1cc857108f0f</t>
        </is>
      </c>
      <c r="B206" s="2" t="inlineStr">
        <is>
          <t>2026-09-29 16:56</t>
        </is>
      </c>
      <c r="C206" s="3" t="inlineStr">
        <is>
          <t>Psicólogo(a) – Especialista en Seguridad y Salud en el Trabajo</t>
        </is>
      </c>
      <c r="D206" s="3" t="inlineStr">
        <is>
          <t>Grupo Balboa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HYPERLINK("https://co.computrabajo.com/ofertas-de-trabajo/oferta-de-trabajo-de-psicologoa--especialista-en-seguridad-y-salud-en-el-trabajo-en-medellin-519604EADB78337F61373E686DCF3405", "Ver Vacante")</f>
        <v/>
      </c>
      <c r="H206" s="6" t="inlineStr">
        <is>
          <t>Remoto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73f0999274b794ef</t>
        </is>
      </c>
      <c r="B207" s="2" t="inlineStr">
        <is>
          <t>2026-09-29 16:56</t>
        </is>
      </c>
      <c r="C207" s="3" t="inlineStr">
        <is>
          <t>Analista Senior de SST y People Operations</t>
        </is>
      </c>
      <c r="D207" s="3" t="inlineStr">
        <is>
          <t>Bia Energy</t>
        </is>
      </c>
      <c r="E207" s="7" t="n">
        <v>0.55</v>
      </c>
      <c r="F207" s="2" t="inlineStr">
        <is>
          <t>Remoto</t>
        </is>
      </c>
      <c r="G207" s="5">
        <f>HYPERLINK("https://co.linkedin.com/jobs/view/analista-senior-de-sst-y-people-operations-at-bia-energy-4473265463",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ff2d859fb620d93b</t>
        </is>
      </c>
      <c r="B208" s="2" t="inlineStr">
        <is>
          <t>2026-09-30 16:46</t>
        </is>
      </c>
      <c r="C208" s="3" t="inlineStr">
        <is>
          <t>Ingenieros Civiles Arquitectos profesionales SST</t>
        </is>
      </c>
      <c r="D208" s="3" t="inlineStr">
        <is>
          <t>Consorcio 419 – Conexión Colombia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HYPERLINK("https://co.computrabajo.com/ofertas-de-trabajo/oferta-de-trabajo-de-ingenieros-civiles-arquitectos-profesionales-sst-el-turno-de-dia-en-ipiales-F8A49747E29F2EAB61373E686DCF3405", "Ver Vacante")</f>
        <v/>
      </c>
      <c r="H208" s="6" t="inlineStr">
        <is>
          <t>$ 4.800.000,00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9c4fd6bca3eb379f</t>
        </is>
      </c>
      <c r="B209" s="2" t="inlineStr">
        <is>
          <t>2026-09-30 16:46</t>
        </is>
      </c>
      <c r="C209" s="3" t="inlineStr">
        <is>
          <t>Cartagena -consultor psicólogo especialista sst independiente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HYPERLINK("https://www.elempleo.com/co/ofertas-trabajo/cartagena-consultor-psicologo-especialista-sst-independiente-1886774292",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bbcd294132cb1561</t>
        </is>
      </c>
      <c r="B210" s="2" t="inlineStr">
        <is>
          <t>2026-09-30 16:46</t>
        </is>
      </c>
      <c r="C210" s="3" t="inlineStr">
        <is>
          <t>Medellin- psicólogo especialista sst consultor independiente</t>
        </is>
      </c>
      <c r="D210" s="3" t="inlineStr">
        <is>
          <t>Confidencial</t>
        </is>
      </c>
      <c r="E210" s="7" t="n">
        <v>0.55</v>
      </c>
      <c r="F210" s="2" t="inlineStr">
        <is>
          <t>Remoto</t>
        </is>
      </c>
      <c r="G210" s="5">
        <f>HYPERLINK("https://www.elempleo.com/co/ofertas-trabajo/medellin-psicologo-especialista-sst-consultor-independiente-1886772092",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cd5d6fd7502ef4df</t>
        </is>
      </c>
      <c r="B211" s="2" t="inlineStr">
        <is>
          <t>2026-09-30 16:46</t>
        </is>
      </c>
      <c r="C211" s="3" t="inlineStr">
        <is>
          <t>Coordinador de sst</t>
        </is>
      </c>
      <c r="D211" s="3" t="inlineStr">
        <is>
          <t>Confidencial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HYPERLINK("https://www.elempleo.com/co/ofertas-trabajo/coordinador-de-sst-1886774183",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44940133e6fe16f4</t>
        </is>
      </c>
      <c r="B212" s="2" t="inlineStr">
        <is>
          <t>2026-09-30 16:46</t>
        </is>
      </c>
      <c r="C212" s="3" t="inlineStr">
        <is>
          <t>Asistente sg-sst - soacha - asistente sg-sst - soacha</t>
        </is>
      </c>
      <c r="D212" s="3" t="inlineStr">
        <is>
          <t>AGENCIA DE EMPLEO Y FOMENTO EMPRESARIAL COMPENSAR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HYPERLINK("https://www.elempleo.com/co/ofertas-trabajo/asistente-sgsst-soacha-asistente-sgsst-soacha-1886773337", "Ver Vacante")</f>
        <v/>
      </c>
      <c r="H212" s="6" t="inlineStr"/>
      <c r="I212" s="3" t="inlineStr">
        <is>
          <t>[Afinidad: 55/100 - Afinidad Moderada] Alta coincidencia en gestión de Seguridad y Salud en el Trabajo (SST).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abd2b5b95445291b</t>
        </is>
      </c>
      <c r="B213" s="2" t="inlineStr">
        <is>
          <t>2026-09-30 16:46</t>
        </is>
      </c>
      <c r="C213" s="3" t="inlineStr">
        <is>
          <t>Coordinador SST</t>
        </is>
      </c>
      <c r="D213" s="3" t="inlineStr">
        <is>
          <t>GAVAR SAS</t>
        </is>
      </c>
      <c r="E213" s="7" t="n">
        <v>0.55</v>
      </c>
      <c r="F213" s="2" t="inlineStr">
        <is>
          <t>Remoto</t>
        </is>
      </c>
      <c r="G213" s="5">
        <f>HYPERLINK("https://co.linkedin.com/jobs/view/coordinador-sst-at-gavar-sas-4471923919",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8021213227e2b515</t>
        </is>
      </c>
      <c r="B214" s="2" t="inlineStr">
        <is>
          <t>2026-10-01 17:23</t>
        </is>
      </c>
      <c r="C214" s="3" t="inlineStr">
        <is>
          <t>Especialista de seguridad y salud en el trabajo</t>
        </is>
      </c>
      <c r="D214" s="3" t="inlineStr">
        <is>
          <t>Confidencial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HYPERLINK("https://www.elempleo.com/co/ofertas-trabajo/especialista-de-seguridad-y-salud-en-el-trabajo-1886774979",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2611237237a58dd6</t>
        </is>
      </c>
      <c r="B215" s="2" t="inlineStr">
        <is>
          <t>2026-10-01 17:23</t>
        </is>
      </c>
      <c r="C215" s="3" t="inlineStr">
        <is>
          <t>Coordinador sst</t>
        </is>
      </c>
      <c r="D215" s="3" t="inlineStr">
        <is>
          <t>ATCG DE COLOMBIA S.A.S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HYPERLINK("https://www.elempleo.com/co/ofertas-trabajo/coordinador-sst-1886774773",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32e652a03fe4dfa8</t>
        </is>
      </c>
      <c r="B216" s="2" t="inlineStr">
        <is>
          <t>2026-10-01 17:23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HYPERLINK("https://www.elempleo.com/co/ofertas-trabajo/especialista-en-sst-docente-barranquilla-1886774692",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0b1ee9a885959574</t>
        </is>
      </c>
      <c r="B217" s="2" t="inlineStr">
        <is>
          <t>2026-10-02 16:36</t>
        </is>
      </c>
      <c r="C217" s="3" t="inlineStr">
        <is>
          <t>Tecnologo SST sector ingenieria</t>
        </is>
      </c>
      <c r="D217" s="3" t="inlineStr">
        <is>
          <t>ACTIVOS S A S</t>
        </is>
      </c>
      <c r="E217" s="7" t="n">
        <v>0.55</v>
      </c>
      <c r="F217" s="2" t="inlineStr">
        <is>
          <t>Remoto</t>
        </is>
      </c>
      <c r="G217" s="5">
        <f>HYPERLINK("https://co.computrabajo.com/ofertas-de-trabajo/oferta-de-trabajo-de-tecnologo-sst-sector-ingenieria-en-bogota-dc-6E8435538348E5DB61373E686DCF3405", "Ver Vacante")</f>
        <v/>
      </c>
      <c r="H217" s="6" t="inlineStr">
        <is>
          <t>$ 2.052.000,00 (Mensual)</t>
        </is>
      </c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93361efb8457f810</t>
        </is>
      </c>
      <c r="B218" s="2" t="inlineStr">
        <is>
          <t>2026-10-02 16:36</t>
        </is>
      </c>
      <c r="C218" s="3" t="inlineStr">
        <is>
          <t>Coordinador sst</t>
        </is>
      </c>
      <c r="D218" s="3" t="inlineStr">
        <is>
          <t>Confidencial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HYPERLINK("https://www.elempleo.com/co/ofertas-trabajo/coordinador-sst-1886711882",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0cea5237d8dcd102</t>
        </is>
      </c>
      <c r="B219" s="2" t="inlineStr">
        <is>
          <t>2026-10-02 16:36</t>
        </is>
      </c>
      <c r="C219" s="3" t="inlineStr">
        <is>
          <t>Coordinador SST</t>
        </is>
      </c>
      <c r="D219" s="3" t="inlineStr">
        <is>
          <t>Otis Elevator Co.</t>
        </is>
      </c>
      <c r="E219" s="7" t="n">
        <v>0.55</v>
      </c>
      <c r="F219" s="2" t="inlineStr">
        <is>
          <t>Remoto</t>
        </is>
      </c>
      <c r="G219" s="5">
        <f>HYPERLINK("https://co.linkedin.com/jobs/view/coordinador-sst-at-otis-elevator-co-4472865024",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fb33e34222012dbe</t>
        </is>
      </c>
      <c r="B220" s="2" t="inlineStr">
        <is>
          <t>2026-10-03 15:09</t>
        </is>
      </c>
      <c r="C220" s="3" t="inlineStr">
        <is>
          <t>Analista seguridad y salud en el trabajo (obras e infraestructura) [híbrido] - bogotá</t>
        </is>
      </c>
      <c r="D220" s="3" t="inlineStr">
        <is>
          <t>ADECCO COLOMBIA S A</t>
        </is>
      </c>
      <c r="E220" s="7" t="n">
        <v>0.55</v>
      </c>
      <c r="F220" s="2" t="inlineStr">
        <is>
          <t>Hibrido</t>
        </is>
      </c>
      <c r="G220" s="5">
        <f>HYPERLINK("https://www.elempleo.com/co/ofertas-trabajo/analista-seguridad-y-salud-en-el-trabajo-obras-e-infraestructura-hibrido-bogota-1886764883", "Ver Vacante")</f>
        <v/>
      </c>
      <c r="H220" s="6" t="inlineStr"/>
      <c r="I22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0998c67bb50d781b</t>
        </is>
      </c>
      <c r="B221" s="2" t="inlineStr">
        <is>
          <t>2026-10-03 15:09</t>
        </is>
      </c>
      <c r="C221" s="3" t="inlineStr">
        <is>
          <t>Especialista seguridad y salud en el trabajo cucuta</t>
        </is>
      </c>
      <c r="D221" s="3" t="inlineStr">
        <is>
          <t>Pro TALENTI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HYPERLINK("https://www.elempleo.com/co/ofertas-trabajo/especialista-seguridad-y-salud-en-el-trabajo-cucuta-1886774608",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1658c2894343e093</t>
        </is>
      </c>
      <c r="B222" s="2" t="inlineStr">
        <is>
          <t>2026-10-03 15:09</t>
        </is>
      </c>
      <c r="C222" s="3" t="inlineStr">
        <is>
          <t>Director(a) Técnico(a) Comercial de Riesgos Laborales y SST</t>
        </is>
      </c>
      <c r="D222" s="3" t="inlineStr">
        <is>
          <t>Centro de Empleo y Talento</t>
        </is>
      </c>
      <c r="E222" s="7" t="n">
        <v>0.55</v>
      </c>
      <c r="F222" s="2" t="inlineStr">
        <is>
          <t>Remoto</t>
        </is>
      </c>
      <c r="G222" s="5">
        <f>HYPERLINK("https://co.linkedin.com/jobs/view/director-a-t%C3%A9cnico-a-comercial-de-riesgos-laborales-y-sst-at-centro-de-empleo-y-talento-4473392505", "Ver Vacante")</f>
        <v/>
      </c>
      <c r="H222" s="6" t="inlineStr"/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3da56563a4d73f1f</t>
        </is>
      </c>
      <c r="B223" s="2" t="inlineStr">
        <is>
          <t>2026-10-04 15:45</t>
        </is>
      </c>
      <c r="C223" s="3" t="inlineStr">
        <is>
          <t>Ingeniero/a civil Infraestructura Cali</t>
        </is>
      </c>
      <c r="D223" s="3" t="inlineStr">
        <is>
          <t>Eficacia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HYPERLINK("https://co.computrabajo.com/ofertas-de-trabajo/oferta-de-trabajo-de-ingenieroa-civil-infraestructura-cali-en-cali-D6A0F31400398F8061373E686DCF3405", "Ver Vacante")</f>
        <v/>
      </c>
      <c r="H223" s="6" t="inlineStr">
        <is>
          <t>$ 5.455.388,00 (Mensual)</t>
        </is>
      </c>
      <c r="I223" s="3" t="inlineStr">
        <is>
          <t>[Afinidad: 55/100 - Afinidad Moderada] Afinidad parcial en infraestructura vial y transporte.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584f078878fc45ef</t>
        </is>
      </c>
      <c r="B224" s="2" t="inlineStr">
        <is>
          <t>2026-10-04 15:45</t>
        </is>
      </c>
      <c r="C224" s="3" t="inlineStr">
        <is>
          <t>Ingeniero quimico especialista en sst bogota</t>
        </is>
      </c>
      <c r="D224" s="3" t="inlineStr">
        <is>
          <t>JOBANDTALENT CO SAS</t>
        </is>
      </c>
      <c r="E224" s="7" t="n">
        <v>0.55</v>
      </c>
      <c r="F224" s="2" t="inlineStr">
        <is>
          <t>Remoto</t>
        </is>
      </c>
      <c r="G224" s="5">
        <f>HYPERLINK("https://www.elempleo.com/co/ofertas-trabajo/ingeniero-quimico-especialista-en-sst-bogota-1886750724",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c203c75c1ef556b6</t>
        </is>
      </c>
      <c r="B225" s="2" t="inlineStr">
        <is>
          <t>2026-10-05 19:42</t>
        </is>
      </c>
      <c r="C225" s="3" t="inlineStr">
        <is>
          <t>Especialista en diseño Geométrico</t>
        </is>
      </c>
      <c r="D225" s="3" t="inlineStr">
        <is>
          <t>CASAHIDALGO CONSTRUCTORES S.A.S</t>
        </is>
      </c>
      <c r="E225" s="7" t="n">
        <v>0.55</v>
      </c>
      <c r="F225" s="2" t="inlineStr">
        <is>
          <t>Remoto</t>
        </is>
      </c>
      <c r="G225" s="5">
        <f>HYPERLINK("https://co.computrabajo.com/ofertas-de-trabajo/oferta-de-trabajo-de-especialista-en-diseno-geometrico-en-malaga-977BE1C8A1B900FF61373E686DCF3405", "Ver Vacante")</f>
        <v/>
      </c>
      <c r="H225" s="6" t="inlineStr"/>
      <c r="I225" s="3" t="inlineStr">
        <is>
          <t>[Afinidad: 55/100 -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687eef4890489e78</t>
        </is>
      </c>
      <c r="B226" s="2" t="inlineStr">
        <is>
          <t>2026-10-05 19:42</t>
        </is>
      </c>
      <c r="C226" s="3" t="inlineStr">
        <is>
          <t>Especialista en SST Docente Barranquilla</t>
        </is>
      </c>
      <c r="D226" s="3" t="inlineStr">
        <is>
          <t>CUN</t>
        </is>
      </c>
      <c r="E226" s="7" t="n">
        <v>0.55</v>
      </c>
      <c r="F226" s="2" t="inlineStr">
        <is>
          <t>Remoto</t>
        </is>
      </c>
      <c r="G226" s="5">
        <f>HYPERLINK("https://co.computrabajo.com/ofertas-de-trabajo/oferta-de-trabajo-de-especialista-en-sst-docente-barranquilla-seguridad-y-salud-en-el-trabajo-en-bogota-dc-54EDEE5BF076EBE461373E686DCF3405", "Ver Vacante")</f>
        <v/>
      </c>
      <c r="H226" s="6" t="inlineStr">
        <is>
          <t>$ 1.100.000,00 (Mensual)</t>
        </is>
      </c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ffddee02fc3381c7</t>
        </is>
      </c>
      <c r="B227" s="2" t="inlineStr">
        <is>
          <t>2026-10-05 19:42</t>
        </is>
      </c>
      <c r="C227" s="3" t="inlineStr">
        <is>
          <t>Especialista en Pavimentos</t>
        </is>
      </c>
      <c r="D227" s="3" t="inlineStr">
        <is>
          <t>Jeoprobe SAS</t>
        </is>
      </c>
      <c r="E227" s="7" t="n">
        <v>0.55</v>
      </c>
      <c r="F227" s="2" t="inlineStr">
        <is>
          <t>Remoto</t>
        </is>
      </c>
      <c r="G227" s="5">
        <f>HYPERLINK("https://co.linkedin.com/jobs/view/especialista-en-pavimentos-at-jeoprobe-sas-4475594495", "Ver Vacante")</f>
        <v/>
      </c>
      <c r="H227" s="6" t="inlineStr"/>
      <c r="I227" s="3" t="inlineStr">
        <is>
          <t>[Afinidad: 55/100 -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18a692d6d8333fe9</t>
        </is>
      </c>
      <c r="B228" s="2" t="inlineStr">
        <is>
          <t>2026-10-06 17:09</t>
        </is>
      </c>
      <c r="C228" s="3" t="inlineStr">
        <is>
          <t>Residente SST Obra Civil</t>
        </is>
      </c>
      <c r="D228" s="3" t="inlineStr">
        <is>
          <t>Dextera IT Services</t>
        </is>
      </c>
      <c r="E228" s="7" t="n">
        <v>0.55</v>
      </c>
      <c r="F228" s="2" t="inlineStr">
        <is>
          <t>Remoto</t>
        </is>
      </c>
      <c r="G228" s="5">
        <f>HYPERLINK("https://co.linkedin.com/jobs/view/residente-sst-obra-civil-at-dextera-it-services-4476189119",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d0207ac2c764d16c</t>
        </is>
      </c>
      <c r="B229" s="2" t="inlineStr">
        <is>
          <t>2026-10-06 17:09</t>
        </is>
      </c>
      <c r="C229" s="3" t="inlineStr">
        <is>
          <t>Residente SST Obra Civil</t>
        </is>
      </c>
      <c r="D229" s="3" t="inlineStr">
        <is>
          <t>Dextera IT Services</t>
        </is>
      </c>
      <c r="E229" s="7" t="n">
        <v>0.55</v>
      </c>
      <c r="F229" s="2" t="inlineStr">
        <is>
          <t>Remoto</t>
        </is>
      </c>
      <c r="G229" s="5">
        <f>HYPERLINK("https://co.linkedin.com/jobs/view/residente-sst-obra-civil-at-dextera-it-services-4476190086",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4569f95420c4cb7b</t>
        </is>
      </c>
      <c r="B230" s="2" t="inlineStr">
        <is>
          <t>2026-10-06 17:09</t>
        </is>
      </c>
      <c r="C230" s="3" t="inlineStr">
        <is>
          <t>Coordinador de SST</t>
        </is>
      </c>
      <c r="D230" s="3" t="inlineStr">
        <is>
          <t>Gente Útil S.A.</t>
        </is>
      </c>
      <c r="E230" s="7" t="n">
        <v>0.55</v>
      </c>
      <c r="F230" s="2" t="inlineStr">
        <is>
          <t>Remoto</t>
        </is>
      </c>
      <c r="G230" s="5">
        <f>HYPERLINK("https://co.linkedin.com/jobs/view/coordinador-de-sst-at-gente-%C3%BAtil-s-a-4454518285",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64232f6773b7709b</t>
        </is>
      </c>
      <c r="B231" s="2" t="inlineStr">
        <is>
          <t>2026-10-08 17:49</t>
        </is>
      </c>
      <c r="C231" s="3" t="inlineStr">
        <is>
          <t>Ingeniero Industrial Especialista SST</t>
        </is>
      </c>
      <c r="D231" s="3" t="inlineStr">
        <is>
          <t>Adecco Colombia S.A.</t>
        </is>
      </c>
      <c r="E231" s="7" t="n">
        <v>0.55</v>
      </c>
      <c r="F231" s="2" t="inlineStr">
        <is>
          <t>Remoto</t>
        </is>
      </c>
      <c r="G231" s="5">
        <f>HYPERLINK("https://co.computrabajo.com/ofertas-de-trabajo/oferta-de-trabajo-de-ingeniero-industrial-especialista-sst-en-bogota-dc-8C607423263A1B5261373E686DCF3405", "Ver Vacante")</f>
        <v/>
      </c>
      <c r="H231" s="6" t="inlineStr">
        <is>
          <t>$ 4.536.000,00 (Mensual)</t>
        </is>
      </c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f27b1169f27052f4</t>
        </is>
      </c>
      <c r="B232" s="2" t="inlineStr">
        <is>
          <t>2026-10-08 17:49</t>
        </is>
      </c>
      <c r="C232" s="3" t="inlineStr">
        <is>
          <t>Responsable Hseq Medio Ambiente / Profesional en Ingeniería Industrial</t>
        </is>
      </c>
      <c r="D232" s="3" t="inlineStr">
        <is>
          <t>Importante empresa del sector</t>
        </is>
      </c>
      <c r="E232" s="7" t="n">
        <v>0.55</v>
      </c>
      <c r="F232" s="2" t="inlineStr">
        <is>
          <t>Remoto</t>
        </is>
      </c>
      <c r="G232" s="5">
        <f>HYPERLINK("https://co.computrabajo.com/ofertas-de-trabajo/oferta-de-trabajo-de-responsable-hseq-medio-ambiente-profesional-en-ingenieria-industrial-en-barranquilla-9DF171E9BFEBE41461373E686DCF3405", "Ver Vacante")</f>
        <v/>
      </c>
      <c r="H232" s="6" t="inlineStr">
        <is>
          <t>$ 2.700.000,00 (Mensual)</t>
        </is>
      </c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b3718764bc7ab946</t>
        </is>
      </c>
      <c r="B233" s="2" t="inlineStr">
        <is>
          <t>2026-10-08 17:49</t>
        </is>
      </c>
      <c r="C233" s="3" t="inlineStr">
        <is>
          <t>Coordinador SST- Santander de Quilichao</t>
        </is>
      </c>
      <c r="D233" s="3" t="inlineStr">
        <is>
          <t>Otis Elevator Company Colombia</t>
        </is>
      </c>
      <c r="E233" s="7" t="n">
        <v>0.55</v>
      </c>
      <c r="F233" s="2" t="inlineStr">
        <is>
          <t>Remoto</t>
        </is>
      </c>
      <c r="G233" s="5">
        <f>HYPERLINK("https://co.linkedin.com/jobs/view/coordinador-sst-santander-de-quilichao-temporal-at-otis-elevator-company-colombia-4475478709",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f7a7809d78736280</t>
        </is>
      </c>
      <c r="B234" s="2" t="inlineStr">
        <is>
          <t>2026-10-08 17:49</t>
        </is>
      </c>
      <c r="C234" s="3" t="inlineStr">
        <is>
          <t>Analista sénior SST</t>
        </is>
      </c>
      <c r="D234" s="3" t="inlineStr">
        <is>
          <t>Confidencial</t>
        </is>
      </c>
      <c r="E234" s="7" t="n">
        <v>0.55</v>
      </c>
      <c r="F234" s="2" t="inlineStr">
        <is>
          <t>Remoto</t>
        </is>
      </c>
      <c r="G234" s="5">
        <f>HYPERLINK("https://co.linkedin.com/jobs/view/analista-s%C3%A9nior-sst-at-empresa-confidencial-4476942728",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77a44979a748c320</t>
        </is>
      </c>
      <c r="B235" s="2" t="inlineStr">
        <is>
          <t>2026-10-09 17:24</t>
        </is>
      </c>
      <c r="C235" s="3" t="inlineStr">
        <is>
          <t>Ingeniero especialista sst - sector hidrocarburos 635870</t>
        </is>
      </c>
      <c r="D235" s="3" t="inlineStr">
        <is>
          <t>JOBANDTALENT CO SAS</t>
        </is>
      </c>
      <c r="E235" s="7" t="n">
        <v>0.55</v>
      </c>
      <c r="F235" s="2" t="inlineStr">
        <is>
          <t>Remoto</t>
        </is>
      </c>
      <c r="G235" s="5">
        <f>HYPERLINK("https://www.elempleo.com/co/ofertas-trabajo/ingeniero-especialista-sst-sector-hidrocarburos-635870-1886778569",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7713a490ddcaf64b</t>
        </is>
      </c>
      <c r="B236" s="2" t="inlineStr">
        <is>
          <t>2026-10-09 17:24</t>
        </is>
      </c>
      <c r="C236" s="3" t="inlineStr">
        <is>
          <t>Especialista en Seguridad y Salud en el Trabajo</t>
        </is>
      </c>
      <c r="D236" s="3" t="inlineStr">
        <is>
          <t>SANY Group</t>
        </is>
      </c>
      <c r="E236" s="7" t="n">
        <v>0.55</v>
      </c>
      <c r="F236" s="2" t="inlineStr">
        <is>
          <t>Remoto</t>
        </is>
      </c>
      <c r="G236" s="5">
        <f>HYPERLINK("https://co.linkedin.com/jobs/view/especialista-en-seguridad-y-salud-en-el-trabajo-at-sany-group-4476803608",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f1f4afc8c1d914bd</t>
        </is>
      </c>
      <c r="B237" s="2" t="inlineStr">
        <is>
          <t>2026-10-11 16:39</t>
        </is>
      </c>
      <c r="C237" s="3" t="inlineStr">
        <is>
          <t>Fisioterapeuta especialista en seguridad y salud en el trabajo - soacha | sector industrial</t>
        </is>
      </c>
      <c r="D237" s="3" t="inlineStr">
        <is>
          <t>ADECCO COLOMBIA S A</t>
        </is>
      </c>
      <c r="E237" s="7" t="n">
        <v>0.55</v>
      </c>
      <c r="F237" s="2" t="inlineStr">
        <is>
          <t>Remoto</t>
        </is>
      </c>
      <c r="G237" s="5">
        <f>HYPERLINK("https://www.elempleo.com/co/ofertas-trabajo/fisioterapeuta-especialista-en-seguridad-y-salud-en-el-trabajo-soacha-sector-industrial-1886756129", "Ver Vacante")</f>
        <v/>
      </c>
      <c r="H237" s="6" t="inlineStr"/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b06a3441df4c2e66</t>
        </is>
      </c>
      <c r="B238" s="2" t="inlineStr">
        <is>
          <t>2026-10-11 16:39</t>
        </is>
      </c>
      <c r="C238" s="3" t="inlineStr">
        <is>
          <t>Sabana de bogota y bogota - consultor psicólogo especialista sst independiente</t>
        </is>
      </c>
      <c r="D238" s="3" t="inlineStr">
        <is>
          <t>Confidencial</t>
        </is>
      </c>
      <c r="E238" s="7" t="n">
        <v>0.55</v>
      </c>
      <c r="F238" s="2" t="inlineStr">
        <is>
          <t>Remoto</t>
        </is>
      </c>
      <c r="G238" s="5">
        <f>HYPERLINK("https://www.elempleo.com/co/ofertas-trabajo/sabana-de-bogota-y-bogota-consultor-psicologo-especialista-sst-independiente-1886764892", "Ver Vacante")</f>
        <v/>
      </c>
      <c r="H238" s="6" t="inlineStr"/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115da1e269ecddbb</t>
        </is>
      </c>
      <c r="B239" s="2" t="inlineStr">
        <is>
          <t>2026-10-11 16:39</t>
        </is>
      </c>
      <c r="C239" s="3" t="inlineStr">
        <is>
          <t>Sabana de bogota y bogota - consultor psicólogo especialista sst independiente</t>
        </is>
      </c>
      <c r="D239" s="3" t="inlineStr">
        <is>
          <t>Confidencial</t>
        </is>
      </c>
      <c r="E239" s="7" t="n">
        <v>0.55</v>
      </c>
      <c r="F239" s="2" t="inlineStr">
        <is>
          <t>Remoto</t>
        </is>
      </c>
      <c r="G239" s="5">
        <f>HYPERLINK("https://www.elempleo.com/co/ofertas-trabajo/sabana-de-bogota-y-bogota-consultor-psicologo-especialista-sst-independiente-1886763914", "Ver Vacante")</f>
        <v/>
      </c>
      <c r="H239" s="6" t="inlineStr"/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54efa031ca59b87b</t>
        </is>
      </c>
      <c r="B240" s="2" t="inlineStr">
        <is>
          <t>2026-10-12 20:14</t>
        </is>
      </c>
      <c r="C240" s="3" t="inlineStr">
        <is>
          <t>Psicologo especialista en SST</t>
        </is>
      </c>
      <c r="D240" s="3" t="inlineStr">
        <is>
          <t>TRANSFORMANDO</t>
        </is>
      </c>
      <c r="E240" s="7" t="n">
        <v>0.55</v>
      </c>
      <c r="F240" s="2" t="inlineStr">
        <is>
          <t>Remoto</t>
        </is>
      </c>
      <c r="G240" s="5">
        <f>HYPERLINK("https://co.computrabajo.com/ofertas-de-trabajo/oferta-de-trabajo-de-psicologo-especialista-en-sst-en-barranquilla-CDF8802415DB65A661373E686DCF3405", "Ver Vacante")</f>
        <v/>
      </c>
      <c r="H240" s="6" t="inlineStr">
        <is>
          <t>$ 2.500.000,00 (Mensual)</t>
        </is>
      </c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825c540f2067a72e</t>
        </is>
      </c>
      <c r="B241" s="2" t="inlineStr">
        <is>
          <t>2026-10-14 15:48</t>
        </is>
      </c>
      <c r="C241" s="3" t="inlineStr">
        <is>
          <t>Ingeniero civil-Infraestructura y Obras Civiles</t>
        </is>
      </c>
      <c r="D241" s="3" t="inlineStr">
        <is>
          <t>TSG The IT Experts</t>
        </is>
      </c>
      <c r="E241" s="7" t="n">
        <v>0.55</v>
      </c>
      <c r="F241" s="2" t="inlineStr">
        <is>
          <t>Remoto</t>
        </is>
      </c>
      <c r="G241" s="5">
        <f>HYPERLINK("https://co.linkedin.com/jobs/view/ingeniero-civil-infraestructura-y-obras-civiles-at-tsg-the-it-experts-4478127388", "Ver Vacante")</f>
        <v/>
      </c>
      <c r="H241" s="6" t="inlineStr"/>
      <c r="I241" s="3" t="inlineStr">
        <is>
          <t>[Afinidad: 55/100 - Afinidad Moderada] Afinidad parcial en infraestructura vial y transporte.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972b6f5dc32e6291</t>
        </is>
      </c>
      <c r="B242" s="2" t="inlineStr">
        <is>
          <t>2026-10-15 15:36</t>
        </is>
      </c>
      <c r="C242" s="3" t="inlineStr">
        <is>
          <t>Profesional en sg-sst</t>
        </is>
      </c>
      <c r="D242" s="3" t="inlineStr">
        <is>
          <t>Confidencial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HYPERLINK("https://www.elempleo.com/co/ofertas-trabajo/profesional-en-sgsst-1886780299", "Ver Vacante")</f>
        <v/>
      </c>
      <c r="H242" s="6" t="inlineStr"/>
      <c r="I242" s="3" t="inlineStr">
        <is>
          <t>[Afinidad: 55/100 - Afinidad Moderada] Alta coincidencia en gestión de Seguridad y Salud en el Trabajo (SST).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fdcdc9464ae3ac04</t>
        </is>
      </c>
      <c r="B243" s="2" t="inlineStr">
        <is>
          <t>2026-10-17 14:12</t>
        </is>
      </c>
      <c r="C243" s="3" t="inlineStr">
        <is>
          <t>Psicólogo/a especialista en Seguridad y Salud en el Trabajo</t>
        </is>
      </c>
      <c r="D243" s="3" t="inlineStr">
        <is>
          <t>BRAIN HUNTER</t>
        </is>
      </c>
      <c r="E243" s="7" t="n">
        <v>0.55</v>
      </c>
      <c r="F243" s="2" t="inlineStr">
        <is>
          <t>Remoto</t>
        </is>
      </c>
      <c r="G243" s="5">
        <f>HYPERLINK("https://co.computrabajo.com/ofertas-de-trabajo/oferta-de-trabajo-de-psicologoa-especialista-en-seguridad-y-salud-en-el-trabajo-en-bogota-dc-A445D5662D3F5F8961373E686DCF3405", "Ver Vacante")</f>
        <v/>
      </c>
      <c r="H243" s="6" t="inlineStr">
        <is>
          <t>Remoto</t>
        </is>
      </c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770dc4d2b81c7890</t>
        </is>
      </c>
      <c r="B244" s="2" t="inlineStr">
        <is>
          <t>2026-10-17 14:12</t>
        </is>
      </c>
      <c r="C244" s="3" t="inlineStr">
        <is>
          <t>Coordinador SST / Sector Construcción / Experiencia en RUC</t>
        </is>
      </c>
      <c r="D244" s="3" t="inlineStr">
        <is>
          <t>ORGANIZACIÓN SERVICIOS Y ASESORIAS S.A.S.</t>
        </is>
      </c>
      <c r="E244" s="7" t="n">
        <v>0.55</v>
      </c>
      <c r="F244" s="2" t="inlineStr">
        <is>
          <t>Remoto</t>
        </is>
      </c>
      <c r="G244" s="5">
        <f>HYPERLINK("https://co.computrabajo.com/ofertas-de-trabajo/oferta-de-trabajo-de-coordinador-sst-sector-construccion-experiencia-en-ruc-cali-en-cali-1ED43EAAB46CE6BD61373E686DCF3405", "Ver Vacante")</f>
        <v/>
      </c>
      <c r="H244" s="6" t="inlineStr">
        <is>
          <t>$ 4.000.000,00 (Mensual)</t>
        </is>
      </c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0f462b510ed35f6a</t>
        </is>
      </c>
      <c r="B245" s="2" t="inlineStr">
        <is>
          <t>2026-10-20 15:40</t>
        </is>
      </c>
      <c r="C245" s="3" t="inlineStr">
        <is>
          <t>Psicólogo especialista en sst - medellín</t>
        </is>
      </c>
      <c r="D245" s="3" t="inlineStr">
        <is>
          <t>Quirón Prevención Colombia S.A.S</t>
        </is>
      </c>
      <c r="E245" s="7" t="n">
        <v>0.55</v>
      </c>
      <c r="F245" s="2" t="inlineStr">
        <is>
          <t>Remoto</t>
        </is>
      </c>
      <c r="G245" s="5">
        <f>HYPERLINK("https://www.elempleo.com/co/ofertas-trabajo/psicologo-especialista-en-sst-medellin-1886782580", "Ver Vacante")</f>
        <v/>
      </c>
      <c r="H245" s="6" t="inlineStr"/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a59f7e9b1d51d16d</t>
        </is>
      </c>
      <c r="B246" s="2" t="inlineStr">
        <is>
          <t>2026-10-20 15:40</t>
        </is>
      </c>
      <c r="C246" s="3" t="inlineStr">
        <is>
          <t>Asistente de recursos humanos y sg-sst,</t>
        </is>
      </c>
      <c r="D246" s="3" t="inlineStr">
        <is>
          <t>SERO SAS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HYPERLINK("https://www.elempleo.com/co/ofertas-trabajo/asistente-de-recursos-humanos-y-sgsst-1886782559", "Ver Vacante")</f>
        <v/>
      </c>
      <c r="H246" s="6" t="inlineStr"/>
      <c r="I246" s="3" t="inlineStr">
        <is>
          <t>[Afinidad: 55/100 - Afinidad Moderada] Alta coincidencia en gestión de Seguridad y Salud en el Trabajo (SST).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e08c929d8c35cabb</t>
        </is>
      </c>
      <c r="B247" s="2" t="inlineStr">
        <is>
          <t>2026-10-20 15:40</t>
        </is>
      </c>
      <c r="C247" s="3" t="inlineStr">
        <is>
          <t>Civil 3D Modeler</t>
        </is>
      </c>
      <c r="D247" s="3" t="inlineStr">
        <is>
          <t>WSP en Colombia</t>
        </is>
      </c>
      <c r="E247" s="7" t="n">
        <v>0.55</v>
      </c>
      <c r="F247" s="2" t="inlineStr">
        <is>
          <t>Remoto</t>
        </is>
      </c>
      <c r="G247" s="5">
        <f>HYPERLINK("https://co.linkedin.com/jobs/view/civil-3d-modeler-at-wsp-en-colombia-4481279201", "Ver Vacante")</f>
        <v/>
      </c>
      <c r="H247" s="6" t="inlineStr"/>
      <c r="I247" s="3" t="inlineStr">
        <is>
          <t>[Afinidad: 55/100 -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740973504bc18c71</t>
        </is>
      </c>
      <c r="B248" s="2" t="inlineStr">
        <is>
          <t>2026-10-21 15:56</t>
        </is>
      </c>
      <c r="C248" s="3" t="inlineStr">
        <is>
          <t>Psicólogo/a Especialista en SST</t>
        </is>
      </c>
      <c r="D248" s="3" t="inlineStr">
        <is>
          <t>BRAIN HUNTER</t>
        </is>
      </c>
      <c r="E248" s="7" t="n">
        <v>0.55</v>
      </c>
      <c r="F248" s="2" t="inlineStr">
        <is>
          <t>Remoto</t>
        </is>
      </c>
      <c r="G248" s="5">
        <f>HYPERLINK("https://co.computrabajo.com/ofertas-de-trabajo/oferta-de-trabajo-de-psicologoa-especialista-en-sst-consultoria-riesgo-psicosocial-en-bogota-dc-0C23E5A3CB55A12761373E686DCF3405", "Ver Vacante")</f>
        <v/>
      </c>
      <c r="H248" s="6" t="inlineStr">
        <is>
          <t>Remoto</t>
        </is>
      </c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8093c4a88f1699b2</t>
        </is>
      </c>
      <c r="B249" s="2" t="inlineStr">
        <is>
          <t>2026-10-21 15:56</t>
        </is>
      </c>
      <c r="C249" s="3" t="inlineStr">
        <is>
          <t>Optómetra especialista en sst - medellín</t>
        </is>
      </c>
      <c r="D249" s="3" t="inlineStr">
        <is>
          <t>Quirón Prevención Colombia S.A.S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HYPERLINK("https://www.elempleo.com/co/ofertas-trabajo/optometra-especialista-en-sst-medellin-1886782671",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dc3882942fd93b3e</t>
        </is>
      </c>
      <c r="B250" s="2" t="inlineStr">
        <is>
          <t>2026-10-21 15:56</t>
        </is>
      </c>
      <c r="C250" s="3" t="inlineStr">
        <is>
          <t>Psicólogo (a) especialista en sst</t>
        </is>
      </c>
      <c r="D250" s="3" t="inlineStr">
        <is>
          <t>CODESS</t>
        </is>
      </c>
      <c r="E250" s="7" t="n">
        <v>0.55</v>
      </c>
      <c r="F250" s="2" t="inlineStr">
        <is>
          <t>Remoto</t>
        </is>
      </c>
      <c r="G250" s="5">
        <f>HYPERLINK("https://www.elempleo.com/co/ofertas-trabajo/psicologo-a-especialista-en-sst-1886770116", "Ver Vacante")</f>
        <v/>
      </c>
      <c r="H250" s="6" t="inlineStr"/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5dbc1d4d5803abfd</t>
        </is>
      </c>
      <c r="B251" s="2" t="inlineStr">
        <is>
          <t>2026-10-21 15:56</t>
        </is>
      </c>
      <c r="C251" s="3" t="inlineStr">
        <is>
          <t>Psicólogo (a) especialista en sst</t>
        </is>
      </c>
      <c r="D251" s="3" t="inlineStr">
        <is>
          <t>CODESS</t>
        </is>
      </c>
      <c r="E251" s="7" t="n">
        <v>0.55</v>
      </c>
      <c r="F251" s="2" t="inlineStr">
        <is>
          <t>Remoto</t>
        </is>
      </c>
      <c r="G251" s="5">
        <f>HYPERLINK("https://www.elempleo.com/co/ofertas-trabajo/psicologo-a-especialista-en-sst-1886768726", "Ver Vacante")</f>
        <v/>
      </c>
      <c r="H251" s="6" t="inlineStr"/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ae0cbd93f7cb9d1f</t>
        </is>
      </c>
      <c r="B252" s="2" t="inlineStr">
        <is>
          <t>2026-10-21 15:56</t>
        </is>
      </c>
      <c r="C252" s="3" t="inlineStr">
        <is>
          <t>Coordinador SST- Temporal</t>
        </is>
      </c>
      <c r="D252" s="3" t="inlineStr">
        <is>
          <t>Otis Elevator Co.</t>
        </is>
      </c>
      <c r="E252" s="7" t="n">
        <v>0.55</v>
      </c>
      <c r="F252" s="2" t="inlineStr">
        <is>
          <t>Remoto</t>
        </is>
      </c>
      <c r="G252" s="5">
        <f>HYPERLINK("https://co.linkedin.com/jobs/view/coordinador-sst-temporal-at-otis-elevator-co-4472858236",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c104b3e87c9069a6</t>
        </is>
      </c>
      <c r="B253" s="2" t="inlineStr">
        <is>
          <t>2026-10-22 15:54</t>
        </is>
      </c>
      <c r="C253" s="3" t="inlineStr">
        <is>
          <t>Especialista de SST</t>
        </is>
      </c>
      <c r="D253" s="3" t="inlineStr">
        <is>
          <t>D1 S.A.S</t>
        </is>
      </c>
      <c r="E253" s="7" t="n">
        <v>0.55</v>
      </c>
      <c r="F253" s="2" t="inlineStr">
        <is>
          <t>Remoto</t>
        </is>
      </c>
      <c r="G253" s="5">
        <f>HYPERLINK("https://co.linkedin.com/jobs/view/especialista-de-sst-at-d1-s-a-s-4482461808",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12753aacc2edbc6d</t>
        </is>
      </c>
      <c r="B254" s="2" t="inlineStr">
        <is>
          <t>2026-10-22 15:54</t>
        </is>
      </c>
      <c r="C254" s="3" t="inlineStr">
        <is>
          <t>Consultor de Riesgos Laborales y SST Senior</t>
        </is>
      </c>
      <c r="D254" s="3" t="inlineStr">
        <is>
          <t>Gallagher</t>
        </is>
      </c>
      <c r="E254" s="7" t="n">
        <v>0.55</v>
      </c>
      <c r="F254" s="2" t="inlineStr">
        <is>
          <t>Remoto</t>
        </is>
      </c>
      <c r="G254" s="5">
        <f>HYPERLINK("https://co.linkedin.com/jobs/view/consultor-de-riesgos-laborales-y-sst-senior-at-gallagher-4482136757", "Ver Vacante")</f>
        <v/>
      </c>
      <c r="H254" s="6" t="inlineStr"/>
      <c r="I254" s="3" t="inlineStr">
        <is>
          <t>[Afinidad: 55/100 -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5d8b28fb59d7eb29</t>
        </is>
      </c>
      <c r="B255" s="2" t="inlineStr">
        <is>
          <t>2026-10-22 15:54</t>
        </is>
      </c>
      <c r="C255" s="3" t="inlineStr">
        <is>
          <t>Analista Senior de SST y People Operations</t>
        </is>
      </c>
      <c r="D255" s="3" t="inlineStr">
        <is>
          <t>Bia Energy</t>
        </is>
      </c>
      <c r="E255" s="7" t="n">
        <v>0.55</v>
      </c>
      <c r="F255" s="2" t="inlineStr">
        <is>
          <t>Remoto</t>
        </is>
      </c>
      <c r="G255" s="5">
        <f>HYPERLINK("https://co.linkedin.com/jobs/view/analista-senior-de-sst-y-people-operations-at-bia-energy-4479419811", "Ver Vacante")</f>
        <v/>
      </c>
      <c r="H255" s="6" t="inlineStr"/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7f34d4b38ffaa6c0</t>
        </is>
      </c>
      <c r="B256" s="2" t="inlineStr">
        <is>
          <t>2026-10-23 15:45</t>
        </is>
      </c>
      <c r="C256" s="3" t="inlineStr">
        <is>
          <t>Practicantes-ingenieria industrial-sst</t>
        </is>
      </c>
      <c r="D256" s="3" t="inlineStr">
        <is>
          <t>Confidencial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HYPERLINK("https://www.elempleo.com/co/ofertas-trabajo/practicantesingenieria-industrialsst-1886782446", "Ver Vacante")</f>
        <v/>
      </c>
      <c r="H256" s="6" t="inlineStr"/>
      <c r="I256" s="3" t="inlineStr">
        <is>
          <t>[Afinidad: 55/100 -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ea5876a24b65a02f</t>
        </is>
      </c>
      <c r="B257" s="2" t="inlineStr">
        <is>
          <t>2026-10-23 15:45</t>
        </is>
      </c>
      <c r="C257" s="3" t="inlineStr">
        <is>
          <t>Profesores tc y cátedra 2027-i: esp. ingeniería de pavimentos</t>
        </is>
      </c>
      <c r="D257" s="3" t="inlineStr">
        <is>
          <t>Universidad Católica de Colombia</t>
        </is>
      </c>
      <c r="E257" s="7" t="n">
        <v>0.55</v>
      </c>
      <c r="F257" s="2" t="inlineStr">
        <is>
          <t>Remoto</t>
        </is>
      </c>
      <c r="G257" s="5">
        <f>HYPERLINK("https://www.elempleo.com/co/ofertas-trabajo/profesores-tc-y-catedra-2027i-esp-ingenieria-de-pavimentos-1886784176", "Ver Vacante")</f>
        <v/>
      </c>
      <c r="H257" s="6" t="inlineStr"/>
      <c r="I257" s="3" t="inlineStr">
        <is>
          <t>[Afinidad: 55/100 -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6af9beb5124a0b21</t>
        </is>
      </c>
      <c r="B258" s="2" t="inlineStr">
        <is>
          <t>2026-10-23 15:45</t>
        </is>
      </c>
      <c r="C258" s="3" t="inlineStr">
        <is>
          <t>Civil 3D Site Designer</t>
        </is>
      </c>
      <c r="D258" s="3" t="inlineStr">
        <is>
          <t>OSA Outsourcing Advantage</t>
        </is>
      </c>
      <c r="E258" s="7" t="n">
        <v>0.55</v>
      </c>
      <c r="F258" s="2" t="inlineStr">
        <is>
          <t>Remoto</t>
        </is>
      </c>
      <c r="G258" s="5">
        <f>HYPERLINK("https://co.linkedin.com/jobs/view/civil-3d-site-designer-at-osa-outsourcing-advantage-4482718931", "Ver Vacante")</f>
        <v/>
      </c>
      <c r="H258" s="6" t="inlineStr"/>
      <c r="I258" s="3" t="inlineStr">
        <is>
          <t>[Afinidad: 55/100 -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fddb1744df3bde60</t>
        </is>
      </c>
      <c r="B259" s="2" t="inlineStr">
        <is>
          <t>2026-10-24 14:22</t>
        </is>
      </c>
      <c r="C259" s="3" t="inlineStr">
        <is>
          <t>profesional en prevencion fisioterapeuta especialista sst</t>
        </is>
      </c>
      <c r="D259" s="3" t="inlineStr">
        <is>
          <t>AXA COLPATRIA</t>
        </is>
      </c>
      <c r="E259" s="7" t="n">
        <v>0.55</v>
      </c>
      <c r="F259" s="2" t="inlineStr">
        <is>
          <t>Remoto</t>
        </is>
      </c>
      <c r="G259" s="5">
        <f>HYPERLINK("https://www.elempleo.com/co/ofertas-trabajo/profesional-en-prevencion-fisioterapeuta-especialista-sst-1886784662",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1ab08b21211f3e60</t>
        </is>
      </c>
      <c r="B260" s="2" t="inlineStr">
        <is>
          <t>2026-10-25 14:54</t>
        </is>
      </c>
      <c r="C260" s="3" t="inlineStr">
        <is>
          <t>Analista Senior de SST y People Operations</t>
        </is>
      </c>
      <c r="D260" s="3" t="inlineStr">
        <is>
          <t>Bia Energy</t>
        </is>
      </c>
      <c r="E260" s="7" t="n">
        <v>0.55</v>
      </c>
      <c r="F260" s="2" t="inlineStr">
        <is>
          <t>Remoto</t>
        </is>
      </c>
      <c r="G260" s="5">
        <f>HYPERLINK("https://co.linkedin.com/jobs/view/analista-senior-de-sst-y-people-operations-at-bia-energy-4482822765", "Ver Vacante")</f>
        <v/>
      </c>
      <c r="H260" s="6" t="inlineStr"/>
      <c r="I260" s="3" t="inlineStr">
        <is>
          <t>[Afinidad: 55/100 -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4186187be58ff002</t>
        </is>
      </c>
      <c r="B261" s="2" t="inlineStr">
        <is>
          <t>2026-10-26 17:16</t>
        </is>
      </c>
      <c r="C261" s="3" t="inlineStr">
        <is>
          <t>Cali -consultor psicólogo especialista sst independiente</t>
        </is>
      </c>
      <c r="D261" s="3" t="inlineStr">
        <is>
          <t>Confidencial</t>
        </is>
      </c>
      <c r="E261" s="7" t="n">
        <v>0.55</v>
      </c>
      <c r="F261" s="2" t="inlineStr">
        <is>
          <t>Remoto</t>
        </is>
      </c>
      <c r="G261" s="5">
        <f>HYPERLINK("https://www.elempleo.com/co/ofertas-trabajo/cali-consultor-psicologo-especialista-sst-independiente-1886785064", "Ver Vacante")</f>
        <v/>
      </c>
      <c r="H261" s="6" t="inlineStr"/>
      <c r="I261" s="3" t="inlineStr">
        <is>
          <t>[Afinidad: 55/100 -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63748a6d4402aef5</t>
        </is>
      </c>
      <c r="B262" s="2" t="inlineStr">
        <is>
          <t>2026-10-26 17:16</t>
        </is>
      </c>
      <c r="C262" s="3" t="inlineStr">
        <is>
          <t>Coordinador de SST y GH</t>
        </is>
      </c>
      <c r="D262" s="3" t="inlineStr">
        <is>
          <t>S&amp;H IMPORTADORES S.A.S.</t>
        </is>
      </c>
      <c r="E262" s="7" t="n">
        <v>0.55</v>
      </c>
      <c r="F262" s="2" t="inlineStr">
        <is>
          <t>Remoto</t>
        </is>
      </c>
      <c r="G262" s="5">
        <f>HYPERLINK("https://co.linkedin.com/jobs/view/coordinador-de-sst-y-gh-at-s-h-importadores-s-a-s-4483592095", "Ver Vacante")</f>
        <v/>
      </c>
      <c r="H262" s="6" t="inlineStr"/>
      <c r="I262" s="3" t="inlineStr">
        <is>
          <t>[Afinidad: 55/100 -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7ef5ee9ea797e026</t>
        </is>
      </c>
      <c r="B263" s="2" t="inlineStr">
        <is>
          <t>2026-10-27 16:18</t>
        </is>
      </c>
      <c r="C263" s="3" t="inlineStr">
        <is>
          <t>Coordinador SST</t>
        </is>
      </c>
      <c r="D263" s="3" t="inlineStr">
        <is>
          <t>ISES S.A.S.</t>
        </is>
      </c>
      <c r="E263" s="7" t="n">
        <v>0.55</v>
      </c>
      <c r="F263" s="2" t="inlineStr">
        <is>
          <t>Remoto</t>
        </is>
      </c>
      <c r="G263" s="5">
        <f>HYPERLINK("https://co.computrabajo.com/ofertas-de-trabajo/oferta-de-trabajo-de-coordinador-sst-licencia-de-maternidad-en-palmira-9ABF13C5B6EC2BC161373E686DCF3405", "Ver Vacante")</f>
        <v/>
      </c>
      <c r="H263" s="6" t="inlineStr"/>
      <c r="I263" s="3" t="inlineStr">
        <is>
          <t>[Afinidad: 55/100 -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34e1c18ec2005be1</t>
        </is>
      </c>
      <c r="B264" s="2" t="inlineStr">
        <is>
          <t>2026-10-27 16:18</t>
        </is>
      </c>
      <c r="C264" s="3" t="inlineStr">
        <is>
          <t>Analista de infraestructura fisica y mantenimiento - ingeniero civil o arquitecto</t>
        </is>
      </c>
      <c r="D264" s="3" t="inlineStr">
        <is>
          <t>Confidencial</t>
        </is>
      </c>
      <c r="E264" s="7" t="n">
        <v>0.55</v>
      </c>
      <c r="F264" s="2" t="inlineStr">
        <is>
          <t>Remoto</t>
        </is>
      </c>
      <c r="G264" s="5">
        <f>HYPERLINK("https://www.elempleo.com/co/ofertas-trabajo/analista-de-infraestructura-fisica-y-mantenimiento-ingeniero-civil-o-arquitecto-1886780222", "Ver Vacante")</f>
        <v/>
      </c>
      <c r="H264" s="6" t="inlineStr"/>
      <c r="I264" s="3" t="inlineStr">
        <is>
          <t>[Afinidad: 55/100 -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eb63b1252dafedeb</t>
        </is>
      </c>
      <c r="B265" s="2" t="inlineStr">
        <is>
          <t>2026-10-27 16:18</t>
        </is>
      </c>
      <c r="C265" s="3" t="inlineStr">
        <is>
          <t>Arquitecto de infraestructura civil - bogotá</t>
        </is>
      </c>
      <c r="D265" s="3" t="inlineStr">
        <is>
          <t>ADECCO COLOMBIA S A</t>
        </is>
      </c>
      <c r="E265" s="7" t="n">
        <v>0.55</v>
      </c>
      <c r="F265" s="2" t="inlineStr">
        <is>
          <t>Remoto</t>
        </is>
      </c>
      <c r="G265" s="5">
        <f>HYPERLINK("https://www.elempleo.com/co/ofertas-trabajo/arquitecto-de-infraestructura-civil-bogota-1886767679", "Ver Vacante")</f>
        <v/>
      </c>
      <c r="H265" s="6" t="inlineStr"/>
      <c r="I265" s="3" t="inlineStr">
        <is>
          <t>[Afinidad: 55/100 - Afinidad Moderada] Afinidad parcial en infraestructura vial y transporte.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a4e19de2be73d32f</t>
        </is>
      </c>
      <c r="B266" s="2" t="inlineStr">
        <is>
          <t>2026-10-27 16:18</t>
        </is>
      </c>
      <c r="C266" s="3" t="inlineStr">
        <is>
          <t>Arquitecto de infraestructura civil - bogotá</t>
        </is>
      </c>
      <c r="D266" s="3" t="inlineStr">
        <is>
          <t>ADECCO COLOMBIA S A</t>
        </is>
      </c>
      <c r="E266" s="7" t="n">
        <v>0.55</v>
      </c>
      <c r="F266" s="2" t="inlineStr">
        <is>
          <t>Remoto</t>
        </is>
      </c>
      <c r="G266" s="5">
        <f>HYPERLINK("https://www.elempleo.com/co/ofertas-trabajo/arquitecto-de-infraestructura-civil-bogota-1886767675", "Ver Vacante")</f>
        <v/>
      </c>
      <c r="H266" s="6" t="inlineStr"/>
      <c r="I266" s="3" t="inlineStr">
        <is>
          <t>[Afinidad: 55/100 - Afinidad Moderada] Afinidad parcial en infraestructura vial y transporte.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3cbe044b124adb25</t>
        </is>
      </c>
      <c r="B267" s="2" t="inlineStr">
        <is>
          <t>2026-09-22 05:09</t>
        </is>
      </c>
      <c r="C267" s="3" t="inlineStr">
        <is>
          <t>Coordinador/a Plan estratégico de seguridad vial</t>
        </is>
      </c>
      <c r="D267" s="3" t="inlineStr">
        <is>
          <t>EMPRESA TRANSPORTADORA SAN GABRIEL SAS</t>
        </is>
      </c>
      <c r="E267" s="7" t="n">
        <v>0.53</v>
      </c>
      <c r="F267" s="2" t="inlineStr">
        <is>
          <t>Remoto</t>
        </is>
      </c>
      <c r="G267" s="5">
        <f>HYPERLINK("https://co.computrabajo.com/ofertas-de-trabajo/oferta-de-trabajo-de-coordinadora-plan-estrategico-de-seguridad-vial-pesv-bogota-en-bogota-dc-2AE9BF94CB16F8FA61373E686DCF3405", "Ver Vacante")</f>
        <v/>
      </c>
      <c r="H267" s="6" t="inlineStr">
        <is>
          <t>$ 3.710.000,00 (Mensual)</t>
        </is>
      </c>
      <c r="I267" s="3" t="inlineStr">
        <is>
          <t>[Afinidad: 53/100 - Afinidad Moderada] Alta coincidencia técnica en infraestructura vial, diseño geométrico y pavimentos.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f93c2e5eedb2fde7</t>
        </is>
      </c>
      <c r="B268" s="2" t="inlineStr">
        <is>
          <t>2026-09-22 05:09</t>
        </is>
      </c>
      <c r="C268" s="3" t="inlineStr">
        <is>
          <t>Coordinador seguridad industrial y sst - plantas de producción</t>
        </is>
      </c>
      <c r="D268" s="3" t="inlineStr">
        <is>
          <t>Confidencial</t>
        </is>
      </c>
      <c r="E268" s="7" t="n">
        <v>0.53</v>
      </c>
      <c r="F268" s="2" t="inlineStr">
        <is>
          <t>Remoto</t>
        </is>
      </c>
      <c r="G268" s="5">
        <f>HYPERLINK("https://www.elempleo.com/co/ofertas-trabajo/coordinador-seguridad-industrial-y-sst-plantas-de-produccion-1886745985", "Ver Vacante")</f>
        <v/>
      </c>
      <c r="H268" s="6" t="inlineStr"/>
      <c r="I268" s="3" t="inlineStr">
        <is>
          <t>[Afinidad: 53/100 - Afinidad Moderada] Alta coincidencia en gestión de Seguridad y Salud en el Trabajo (SST).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a1c66287744c7791</t>
        </is>
      </c>
      <c r="B269" s="2" t="inlineStr">
        <is>
          <t>2026-09-22 05:09</t>
        </is>
      </c>
      <c r="C269" s="3" t="inlineStr">
        <is>
          <t>Coordinador/a Plan estratégico de seguridad vial</t>
        </is>
      </c>
      <c r="D269" s="3" t="inlineStr">
        <is>
          <t>Empresa Transportadora San Gabriel S.A.S.</t>
        </is>
      </c>
      <c r="E269" s="7" t="n">
        <v>0.53</v>
      </c>
      <c r="F269" s="2" t="inlineStr">
        <is>
          <t>Remoto</t>
        </is>
      </c>
      <c r="G269" s="5">
        <f>HYPERLINK("https://co.linkedin.com/jobs/view/coordinador-a-plan-estrat%C3%A9gico-de-seguridad-vial-pesv-at-empresa-transportadora-san-gabriel-s-a-s-4469263436", "Ver Vacante")</f>
        <v/>
      </c>
      <c r="H269" s="6" t="inlineStr"/>
      <c r="I269" s="3" t="inlineStr">
        <is>
          <t>[Afinidad: 53/100 - Afinidad Moderada] Alta coincidencia técnica en infraestructura vial, diseño geométrico y pavimentos.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336177464dac0014</t>
        </is>
      </c>
      <c r="B270" s="2" t="inlineStr">
        <is>
          <t>2026-09-23 10:17</t>
        </is>
      </c>
      <c r="C270" s="3" t="inlineStr">
        <is>
          <t>Coordinador/a PESV / Plan estratégico de seguridad vial</t>
        </is>
      </c>
      <c r="D270" s="3" t="inlineStr">
        <is>
          <t>AGENCIA DE EMPLEO COMFAMA</t>
        </is>
      </c>
      <c r="E270" s="7" t="n">
        <v>0.53</v>
      </c>
      <c r="F270" s="2" t="inlineStr">
        <is>
          <t>Remoto</t>
        </is>
      </c>
      <c r="G27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70" s="6" t="inlineStr">
        <is>
          <t>$ 2.800.000,00 (Mensual)</t>
        </is>
      </c>
      <c r="I270" s="3" t="inlineStr">
        <is>
          <t>[Afinidad: 53/100 - Afinidad Moderada] Alta coincidencia técnica en infraestructura vial, diseño geométrico y pavimentos.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0f38d72fbe51d491</t>
        </is>
      </c>
      <c r="B271" s="2" t="inlineStr">
        <is>
          <t>2026-09-24 15:49</t>
        </is>
      </c>
      <c r="C271" s="3" t="inlineStr">
        <is>
          <t>Coordinador PESV Plan Estratégico de Seguridad Vial/ Cubrimiento Licencia de Maternidad</t>
        </is>
      </c>
      <c r="D271" s="3" t="inlineStr">
        <is>
          <t>Eulen Colombia S.A</t>
        </is>
      </c>
      <c r="E271" s="7" t="n">
        <v>0.53</v>
      </c>
      <c r="F271" s="2" t="inlineStr">
        <is>
          <t>Remoto</t>
        </is>
      </c>
      <c r="G27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71" s="6" t="inlineStr">
        <is>
          <t>$ 2.105.000,00 (Mensual)</t>
        </is>
      </c>
      <c r="I271" s="3" t="inlineStr">
        <is>
          <t>[Afinidad: 53/100 - Afinidad Moderada] Alta coincidencia técnica en infraestructura vial, diseño geométrico y pavimentos.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fb215e5097ec76c6</t>
        </is>
      </c>
      <c r="B272" s="2" t="inlineStr">
        <is>
          <t>2026-09-25 15:50</t>
        </is>
      </c>
      <c r="C272" s="3" t="inlineStr">
        <is>
          <t>Coordinador(a) de Seguridad y Salud en el Trabajo</t>
        </is>
      </c>
      <c r="D272" s="3" t="inlineStr">
        <is>
          <t>Importante empresa del sector LOGISTICO</t>
        </is>
      </c>
      <c r="E272" s="7" t="n">
        <v>0.53</v>
      </c>
      <c r="F272" s="2" t="inlineStr">
        <is>
          <t>Remoto</t>
        </is>
      </c>
      <c r="G272" s="5">
        <f>HYPERLINK("https://co.computrabajo.com/ofertas-de-trabajo/oferta-de-trabajo-de-coordinadora-de-seguridad-y-salud-en-el-trabajo-sst-barranquilla-en-barranquilla-C2287C727D6B7D0A61373E686DCF3405", "Ver Vacante")</f>
        <v/>
      </c>
      <c r="H272" s="6" t="inlineStr"/>
      <c r="I272" s="3" t="inlineStr">
        <is>
          <t>[Afinidad: 53/100 - Afinidad Moderada] Alta coincidencia en gestión de Seguridad y Salud en el Trabajo (SST).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a910b243bb001dc2</t>
        </is>
      </c>
      <c r="B273" s="2" t="inlineStr">
        <is>
          <t>2026-09-29 16:56</t>
        </is>
      </c>
      <c r="C273" s="3" t="inlineStr">
        <is>
          <t>Coordinadora de seguridad y salud en el trabajo</t>
        </is>
      </c>
      <c r="D273" s="3" t="inlineStr">
        <is>
          <t>IPS SERVICIOS MEDICOS FAMEDIC S.A.S</t>
        </is>
      </c>
      <c r="E273" s="7" t="n">
        <v>0.53</v>
      </c>
      <c r="F273" s="2" t="inlineStr">
        <is>
          <t>Remoto</t>
        </is>
      </c>
      <c r="G273" s="5">
        <f>HYPERLINK("https://www.elempleo.com/co/ofertas-trabajo/coordinadora-de-seguridad-y-salud-en-el-trabajo-sst-1886749461", "Ver Vacante")</f>
        <v/>
      </c>
      <c r="H273" s="6" t="inlineStr"/>
      <c r="I273" s="3" t="inlineStr">
        <is>
          <t>[Afinidad: 53/100 - Afinidad Moderada] Alta coincidencia en gestión de Seguridad y Salud en el Trabajo (SST).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a3ad931178799ae8</t>
        </is>
      </c>
      <c r="B274" s="2" t="inlineStr">
        <is>
          <t>2026-10-10 16:13</t>
        </is>
      </c>
      <c r="C274" s="3" t="inlineStr">
        <is>
          <t>Profesional / Coordinador de Seguridad y Salud en el Trabajo (SST) y Gestión Humana</t>
        </is>
      </c>
      <c r="D274" s="3" t="inlineStr">
        <is>
          <t>APG DRYWALL</t>
        </is>
      </c>
      <c r="E274" s="7" t="n">
        <v>0.53</v>
      </c>
      <c r="F274" s="2" t="inlineStr">
        <is>
          <t>Remoto</t>
        </is>
      </c>
      <c r="G274" s="5">
        <f>HYPERLINK("https://co.linkedin.com/jobs/view/profesional-coordinador-de-seguridad-y-salud-en-el-trabajo-sst-y-gesti%C3%B3n-humana-at-apg-drywall-4471756195", "Ver Vacante")</f>
        <v/>
      </c>
      <c r="H274" s="6" t="inlineStr"/>
      <c r="I274" s="3" t="inlineStr">
        <is>
          <t>[Afinidad: 53/100 - Afinidad Moderada] Alta coincidencia en gestión de Seguridad y Salud en el Trabajo (SST).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ffc814422821057d</t>
        </is>
      </c>
      <c r="B275" s="2" t="inlineStr">
        <is>
          <t>2026-10-11 16:39</t>
        </is>
      </c>
      <c r="C275" s="3" t="inlineStr">
        <is>
          <t>Jefe hse bilingüe</t>
        </is>
      </c>
      <c r="D275" s="3" t="inlineStr">
        <is>
          <t>Confidencial</t>
        </is>
      </c>
      <c r="E275" s="7" t="n">
        <v>0.53</v>
      </c>
      <c r="F275" s="2" t="inlineStr">
        <is>
          <t>Remoto</t>
        </is>
      </c>
      <c r="G275" s="5">
        <f>HYPERLINK("https://www.elempleo.com/co/ofertas-trabajo/jefe-hse-bilingue-sst-1886752737", "Ver Vacante")</f>
        <v/>
      </c>
      <c r="H275" s="6" t="inlineStr"/>
      <c r="I275" s="3" t="inlineStr">
        <is>
          <t>[Afinidad: 53/100 - Afinidad Moderada] Alta coincidencia en gestión de Seguridad y Salud en el Trabajo (SST).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88e6988cf71d21c4</t>
        </is>
      </c>
      <c r="B276" s="2" t="inlineStr">
        <is>
          <t>2026-10-27 16:18</t>
        </is>
      </c>
      <c r="C276" s="3" t="inlineStr">
        <is>
          <t>Coordinador(a) de gestión humana y seguridad y salud en el trabajo</t>
        </is>
      </c>
      <c r="D276" s="3" t="inlineStr">
        <is>
          <t>AGENCIA DE EMPLEO COLSUBSIDIO</t>
        </is>
      </c>
      <c r="E276" s="7" t="n">
        <v>0.53</v>
      </c>
      <c r="F276" s="2" t="inlineStr">
        <is>
          <t>Remoto</t>
        </is>
      </c>
      <c r="G276" s="5">
        <f>HYPERLINK("https://www.elempleo.com/co/ofertas-trabajo/coordinadora-de-gestion-humana-y-seguridad-y-salud-en-el-trabajo-sst-1886785750", "Ver Vacante")</f>
        <v/>
      </c>
      <c r="H276" s="6" t="inlineStr"/>
      <c r="I276" s="3" t="inlineStr">
        <is>
          <t>[Afinidad: 53/100 - Afinidad Moderada] Alta coincidencia en gestión de Seguridad y Salud en el Trabajo (SST).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aab045c9be9eca86</t>
        </is>
      </c>
      <c r="B277" s="2" t="inlineStr">
        <is>
          <t>2026-09-22 03:17</t>
        </is>
      </c>
      <c r="C277" s="3" t="inlineStr">
        <is>
          <t>Ingeniero infraestructura - bilingue - remoto</t>
        </is>
      </c>
      <c r="D277" s="3" t="inlineStr">
        <is>
          <t>MICHAEL PAGE INTERNATIONAL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HYPERLINK("https://www.elempleo.com/co/ofertas-trabajo/ingeniero-infraestructura-bilingue-remoto-1886744267", "Ver Vacante")</f>
        <v/>
      </c>
      <c r="H277" s="6" t="inlineStr"/>
      <c r="I277" s="3" t="inlineStr">
        <is>
          <t>[Afinidad: 50/100 - Afinidad Moderada] Afinidad parcial en infraestructura vial y transporte.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1a61ce5041122a0a</t>
        </is>
      </c>
      <c r="B278" s="2" t="inlineStr">
        <is>
          <t>2026-09-22 03:17</t>
        </is>
      </c>
      <c r="C278" s="3" t="inlineStr">
        <is>
          <t>Ingeniero de infraestructura (servidores/aws) - remoto</t>
        </is>
      </c>
      <c r="D278" s="3" t="inlineStr">
        <is>
          <t>Cinte Colombia SAS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HYPERLINK("https://www.elempleo.com/co/ofertas-trabajo/ingeniero-de-infraestructura-servidores-aws-remoto-1886744007", "Ver Vacante")</f>
        <v/>
      </c>
      <c r="H278" s="6" t="inlineStr"/>
      <c r="I278" s="3" t="inlineStr">
        <is>
          <t>[Afinidad: 50/100 - Afinidad Moderada]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1c3cc968f8905c3e</t>
        </is>
      </c>
      <c r="B279" s="2" t="inlineStr">
        <is>
          <t>2026-09-22 03:17</t>
        </is>
      </c>
      <c r="C279" s="3" t="inlineStr">
        <is>
          <t>Ingeniero/a de infraestructura y conectividad cloud remoto</t>
        </is>
      </c>
      <c r="D279" s="3" t="inlineStr">
        <is>
          <t>TALYCAP GLOBAL SAS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HYPERLINK("https://www.elempleo.com/co/ofertas-trabajo/ingeniero-a-de-infraestructura-y-conectividad-cloud-remoto-1886768627", "Ver Vacante")</f>
        <v/>
      </c>
      <c r="H279" s="6" t="inlineStr"/>
      <c r="I279" s="3" t="inlineStr">
        <is>
          <t>[Afinidad: 50/100 - Afinidad Moderada] Afinidad parcial en infraestructura vial y transporte.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d1d0c6736a34b513</t>
        </is>
      </c>
      <c r="B280" s="2" t="inlineStr">
        <is>
          <t>2026-09-22 03:17</t>
        </is>
      </c>
      <c r="C280" s="3" t="inlineStr">
        <is>
          <t>Ingeniero/a de infraestructura y conectividad cloud 100% remoto</t>
        </is>
      </c>
      <c r="D280" s="3" t="inlineStr">
        <is>
          <t>TALYCAP GLOBAL SAS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HYPERLINK("https://www.elempleo.com/co/ofertas-trabajo/ingeniero-a-de-infraestructura-y-conectividad-cloud-100-remoto-1886768625", "Ver Vacante")</f>
        <v/>
      </c>
      <c r="H280" s="6" t="inlineStr"/>
      <c r="I280" s="3" t="inlineStr">
        <is>
          <t>[Afinidad: 50/100 - Afinidad Moderada] Afinidad parcial en infraestructura vial y transporte.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ec4f785d321ad6f2</t>
        </is>
      </c>
      <c r="B281" s="2" t="inlineStr">
        <is>
          <t>2026-09-22 03:17</t>
        </is>
      </c>
      <c r="C281" s="3" t="inlineStr">
        <is>
          <t>Ingeniero de infraestructura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HYPERLINK("https://www.elempleo.com/co/ofertas-trabajo/ingeniero-de-infraestructura-1886755031",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0948ea95da6f92b1</t>
        </is>
      </c>
      <c r="B282" s="2" t="inlineStr">
        <is>
          <t>2026-09-22 03:17</t>
        </is>
      </c>
      <c r="C282" s="3" t="inlineStr">
        <is>
          <t>Director de interventoría concesión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HYPERLINK("https://www.elempleo.com/co/ofertas-trabajo/director-de-interventoria-concesion-1886746971",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c9f286b043467fde</t>
        </is>
      </c>
      <c r="B283" s="2" t="inlineStr">
        <is>
          <t>2026-09-22 03:17</t>
        </is>
      </c>
      <c r="C283" s="3" t="inlineStr">
        <is>
          <t>Director de interventoría proyectos de tecnología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HYPERLINK("https://www.elempleo.com/co/ofertas-trabajo/director-de-interventoria-proyectos-de-tecnologia-1886751669",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1a624bde0aabf417</t>
        </is>
      </c>
      <c r="B284" s="2" t="inlineStr">
        <is>
          <t>2026-09-22 03:17</t>
        </is>
      </c>
      <c r="C284" s="3" t="inlineStr">
        <is>
          <t>Director de interventoria civil | yumbo - valle del cauca</t>
        </is>
      </c>
      <c r="D284" s="3" t="inlineStr">
        <is>
          <t>INP PROYECTOS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HYPERLINK("https://www.elempleo.com/co/ofertas-trabajo/director-de-interventoria-civil-yumbo-valle-del-cauca-1886761247",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5a15c71034d6360d</t>
        </is>
      </c>
      <c r="B285" s="2" t="inlineStr">
        <is>
          <t>2026-09-22 03:17</t>
        </is>
      </c>
      <c r="C285" s="3" t="inlineStr">
        <is>
          <t>Director de interventoría / mosquera, cundinamarca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HYPERLINK("https://www.elempleo.com/co/ofertas-trabajo/director-de-interventoria-mosquera-cundinamarca-1886761828", "Ver Vacante")</f>
        <v/>
      </c>
      <c r="H285" s="6" t="inlineStr"/>
      <c r="I2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deca148c608f5071</t>
        </is>
      </c>
      <c r="B286" s="2" t="inlineStr">
        <is>
          <t>2026-09-22 03:17</t>
        </is>
      </c>
      <c r="C286" s="3" t="inlineStr">
        <is>
          <t>Director hseq - chia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HYPERLINK("https://www.elempleo.com/co/ofertas-trabajo/director-hseq-chia-1886755279",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158a5b888f4835d9</t>
        </is>
      </c>
      <c r="B287" s="2" t="inlineStr">
        <is>
          <t>2026-09-22 03:17</t>
        </is>
      </c>
      <c r="C287" s="3" t="inlineStr">
        <is>
          <t>Ingeniero Civil Senior Estructural Obras Hidráulicas</t>
        </is>
      </c>
      <c r="D287" s="3" t="inlineStr">
        <is>
          <t>IDOM Consulting, Engineering, Architecture</t>
        </is>
      </c>
      <c r="E287" s="7" t="n">
        <v>0.5</v>
      </c>
      <c r="F287" s="2" t="inlineStr">
        <is>
          <t>Remoto</t>
        </is>
      </c>
      <c r="G287" s="5">
        <f>HYPERLINK("https://co.linkedin.com/jobs/view/ingeniero-civil-senior-estructural-obras-hidr%C3%A1ulicas-at-idom-consulting-engineering-architecture-4449786446",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f1bdba926234f67e</t>
        </is>
      </c>
      <c r="B288" s="2" t="inlineStr">
        <is>
          <t>2026-09-22 03:27</t>
        </is>
      </c>
      <c r="C288" s="3" t="inlineStr">
        <is>
          <t>Director (a) Comercial ARL y SST</t>
        </is>
      </c>
      <c r="D288" s="3" t="inlineStr">
        <is>
          <t>MASTER SST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HYPERLINK("https://co.computrabajo.com/ofertas-de-trabajo/oferta-de-trabajo-de-director-a-comercial-arl-y-sst-bogota-y-zonas-aledanas-en-bogota-dc-AD10DBD96F164F8C61373E686DCF3405", "Ver Vacante")</f>
        <v/>
      </c>
      <c r="H288" s="6" t="inlineStr">
        <is>
          <t>$ 3.000.000,00 (Mensual) + Comisiones</t>
        </is>
      </c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90c3670c335038e4</t>
        </is>
      </c>
      <c r="B289" s="2" t="inlineStr">
        <is>
          <t>2026-09-22 05:09</t>
        </is>
      </c>
      <c r="C289" s="3" t="inlineStr">
        <is>
          <t>Director de Proyecto</t>
        </is>
      </c>
      <c r="D289" s="3" t="inlineStr">
        <is>
          <t>ADRIAN MAFIOLI Y CIA S.A.S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HYPERLINK("https://co.computrabajo.com/ofertas-de-trabajo/oferta-de-trabajo-de-director-de-proyecto-ingeniero-en-transporte-y-vias-ingeniero-civil-en-lebrija-04F373EC97EDC4CB61373E686DCF3405",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1af0455db2f829b8</t>
        </is>
      </c>
      <c r="B290" s="2" t="inlineStr">
        <is>
          <t>2026-09-22 05:09</t>
        </is>
      </c>
      <c r="C290" s="3" t="inlineStr">
        <is>
          <t>Consultora en Seguridad y Salud en el trabajo</t>
        </is>
      </c>
      <c r="D290" s="3" t="inlineStr">
        <is>
          <t>MEZZA Y CIA LTDA</t>
        </is>
      </c>
      <c r="E290" s="7" t="n">
        <v>0.5</v>
      </c>
      <c r="F290" s="2" t="inlineStr">
        <is>
          <t>Remoto</t>
        </is>
      </c>
      <c r="G290" s="5">
        <f>HYPERLINK("https://co.computrabajo.com/ofertas-de-trabajo/oferta-de-trabajo-de-consultora-en-seguridad-y-salud-en-el-trabajo-en-bogota-dc-07E9BF3B6742F79361373E686DCF3405", "Ver Vacante")</f>
        <v/>
      </c>
      <c r="H290" s="6" t="inlineStr">
        <is>
          <t>Presencial y remoto</t>
        </is>
      </c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1feadbd74bd9bfbe</t>
        </is>
      </c>
      <c r="B291" s="2" t="inlineStr">
        <is>
          <t>2026-09-22 05:09</t>
        </is>
      </c>
      <c r="C291" s="3" t="inlineStr">
        <is>
          <t>Director de interventoría</t>
        </is>
      </c>
      <c r="D291" s="3" t="inlineStr">
        <is>
          <t>AMERICAS GBS SAS</t>
        </is>
      </c>
      <c r="E291" s="7" t="n">
        <v>0.5</v>
      </c>
      <c r="F291" s="2" t="inlineStr">
        <is>
          <t>Remoto</t>
        </is>
      </c>
      <c r="G291" s="5">
        <f>HYPERLINK("https://co.computrabajo.com/ofertas-de-trabajo/oferta-de-trabajo-de-director-de-interventoria-director-de-obra-en--643E1A399D2C177561373E686DCF3405",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58e1b7cc06edffaf</t>
        </is>
      </c>
      <c r="B292" s="2" t="inlineStr">
        <is>
          <t>2026-09-22 05:09</t>
        </is>
      </c>
      <c r="C292" s="3" t="inlineStr">
        <is>
          <t>Gerente de proyecto sector inmobiliario</t>
        </is>
      </c>
      <c r="D292" s="3" t="inlineStr">
        <is>
          <t>AGENCIA DE EMPLEO COMFAMA</t>
        </is>
      </c>
      <c r="E292" s="7" t="n">
        <v>0.5</v>
      </c>
      <c r="F292" s="2" t="inlineStr">
        <is>
          <t>Remoto</t>
        </is>
      </c>
      <c r="G292" s="5">
        <f>HYPERLINK("https://co.computrabajo.com/ofertas-de-trabajo/oferta-de-trabajo-de-gerente-de-proyecto-sector-inmobiliario-en-medellin-1D6BC514AC61985761373E686DCF3405", "Ver Vacante")</f>
        <v/>
      </c>
      <c r="H292" s="6" t="inlineStr">
        <is>
          <t>$ 12.000.000,00 (Mensual)</t>
        </is>
      </c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511ca640d20d7c32</t>
        </is>
      </c>
      <c r="B293" s="2" t="inlineStr">
        <is>
          <t>2026-09-22 05:09</t>
        </is>
      </c>
      <c r="C293" s="3" t="inlineStr">
        <is>
          <t>Ingeniero infraestructura - bilingue - remoto</t>
        </is>
      </c>
      <c r="D293" s="3" t="inlineStr">
        <is>
          <t>MICHAEL PAGE INTERNATIONAL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HYPERLINK("https://www.elempleo.com/co/ofertas-trabajo/ingeniero-infraestructura-bilingue-remoto-1886744267", "Ver Vacante")</f>
        <v/>
      </c>
      <c r="H293" s="6" t="inlineStr"/>
      <c r="I293" s="3" t="inlineStr">
        <is>
          <t>[Afinidad: 50/100 - Afinidad Moderada] Afinidad parcial en infraestructura vial y transporte.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c4c55096ea3e18ec</t>
        </is>
      </c>
      <c r="B294" s="2" t="inlineStr">
        <is>
          <t>2026-09-22 05:09</t>
        </is>
      </c>
      <c r="C294" s="3" t="inlineStr">
        <is>
          <t>Ingeniero de infraestructura (servidores/aws) - remoto</t>
        </is>
      </c>
      <c r="D294" s="3" t="inlineStr">
        <is>
          <t>Cinte Colombia SAS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HYPERLINK("https://www.elempleo.com/co/ofertas-trabajo/ingeniero-de-infraestructura-servidores-aws-remoto-1886744007",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9bf756e884703fa1</t>
        </is>
      </c>
      <c r="B295" s="2" t="inlineStr">
        <is>
          <t>2026-09-22 05:09</t>
        </is>
      </c>
      <c r="C295" s="3" t="inlineStr">
        <is>
          <t>Ingeniero/a de infraestructura y conectividad cloud remoto</t>
        </is>
      </c>
      <c r="D295" s="3" t="inlineStr">
        <is>
          <t>TALYCAP GLOBAL SAS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HYPERLINK("https://www.elempleo.com/co/ofertas-trabajo/ingeniero-a-de-infraestructura-y-conectividad-cloud-remoto-1886768627",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6f66992aface828b</t>
        </is>
      </c>
      <c r="B296" s="2" t="inlineStr">
        <is>
          <t>2026-09-22 05:09</t>
        </is>
      </c>
      <c r="C296" s="3" t="inlineStr">
        <is>
          <t>Ingeniero/a de infraestructura y conectividad cloud 100% remoto</t>
        </is>
      </c>
      <c r="D296" s="3" t="inlineStr">
        <is>
          <t>TALYCAP GLOBAL SAS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HYPERLINK("https://www.elempleo.com/co/ofertas-trabajo/ingeniero-a-de-infraestructura-y-conectividad-cloud-100-remoto-1886768625", "Ver Vacante")</f>
        <v/>
      </c>
      <c r="H296" s="6" t="inlineStr"/>
      <c r="I296" s="3" t="inlineStr">
        <is>
          <t>[Afinidad: 50/100 - Afinidad Moderada] Afinidad parcial en infraestructura vial y transporte.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aa9466dfe7d6ea2b</t>
        </is>
      </c>
      <c r="B297" s="2" t="inlineStr">
        <is>
          <t>2026-09-22 05:09</t>
        </is>
      </c>
      <c r="C297" s="3" t="inlineStr">
        <is>
          <t>Ingeniero de infraestructura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HYPERLINK("https://www.elempleo.com/co/ofertas-trabajo/ingeniero-de-infraestructura-1886755031", "Ver Vacante")</f>
        <v/>
      </c>
      <c r="H297" s="6" t="inlineStr"/>
      <c r="I297" s="3" t="inlineStr">
        <is>
          <t>[Afinidad: 50/100 - Afinidad Moderada] Afinidad parcial en infraestructura vial y transporte.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b6b37cabc98817e3</t>
        </is>
      </c>
      <c r="B298" s="2" t="inlineStr">
        <is>
          <t>2026-09-22 05:09</t>
        </is>
      </c>
      <c r="C298" s="3" t="inlineStr">
        <is>
          <t>Director de interventoría concesión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HYPERLINK("https://www.elempleo.com/co/ofertas-trabajo/director-de-interventoria-concesion-1886746971",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ce17946994d038a1</t>
        </is>
      </c>
      <c r="B299" s="2" t="inlineStr">
        <is>
          <t>2026-09-22 05:09</t>
        </is>
      </c>
      <c r="C299" s="3" t="inlineStr">
        <is>
          <t>Director de interventoría proyectos de tecnología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HYPERLINK("https://www.elempleo.com/co/ofertas-trabajo/director-de-interventoria-proyectos-de-tecnologia-1886751669",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bda13b98253a2a50</t>
        </is>
      </c>
      <c r="B300" s="2" t="inlineStr">
        <is>
          <t>2026-09-22 05:09</t>
        </is>
      </c>
      <c r="C300" s="3" t="inlineStr">
        <is>
          <t>Director de interventoria civil | yumbo - valle del cauca</t>
        </is>
      </c>
      <c r="D300" s="3" t="inlineStr">
        <is>
          <t>INP PROYECTOS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HYPERLINK("https://www.elempleo.com/co/ofertas-trabajo/director-de-interventoria-civil-yumbo-valle-del-cauca-1886761247",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5f9ea780b98f8c1e</t>
        </is>
      </c>
      <c r="B301" s="2" t="inlineStr">
        <is>
          <t>2026-09-22 05:09</t>
        </is>
      </c>
      <c r="C301" s="3" t="inlineStr">
        <is>
          <t>Director de interventoría / mosquera, cundinamarca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HYPERLINK("https://www.elempleo.com/co/ofertas-trabajo/director-de-interventoria-mosquera-cundinamarca-1886761828",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fc3b5b2ce1bd6c85</t>
        </is>
      </c>
      <c r="B302" s="2" t="inlineStr">
        <is>
          <t>2026-09-22 05:09</t>
        </is>
      </c>
      <c r="C302" s="3" t="inlineStr">
        <is>
          <t>Director hseq - chia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HYPERLINK("https://www.elempleo.com/co/ofertas-trabajo/director-hseq-chia-1886755279",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7d9a8688b4af9ac9</t>
        </is>
      </c>
      <c r="B303" s="2" t="inlineStr">
        <is>
          <t>2026-09-22 05:09</t>
        </is>
      </c>
      <c r="C303" s="3" t="inlineStr">
        <is>
          <t>Ingeniero hseq - neiva</t>
        </is>
      </c>
      <c r="D303" s="3" t="inlineStr">
        <is>
          <t>ICONTEC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HYPERLINK("https://www.elempleo.com/co/ofertas-trabajo/ingeniero-hseq-neiva-1886744084",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9672c07df7f7c273</t>
        </is>
      </c>
      <c r="B304" s="2" t="inlineStr">
        <is>
          <t>2026-09-22 05:09</t>
        </is>
      </c>
      <c r="C304" s="3" t="inlineStr">
        <is>
          <t>Bogota - consultor de sistemas de gestion - hseq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HYPERLINK("https://www.elempleo.com/co/ofertas-trabajo/bogota-consultor-de-sistemas-de-gestion-hseq-1886769154",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0a1acb8adf7421ab</t>
        </is>
      </c>
      <c r="B305" s="2" t="inlineStr">
        <is>
          <t>2026-09-22 05:09</t>
        </is>
      </c>
      <c r="C305" s="3" t="inlineStr">
        <is>
          <t>Medellin - consultor de sistemas de gestion - hseq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HYPERLINK("https://www.elempleo.com/co/ofertas-trabajo/medellin-consultor-de-sistemas-de-gestion-hseq-1886769144",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df96de49b7d10c23</t>
        </is>
      </c>
      <c r="B306" s="2" t="inlineStr">
        <is>
          <t>2026-09-22 05:09</t>
        </is>
      </c>
      <c r="C306" s="3" t="inlineStr">
        <is>
          <t>Consultor(a) sistema de gestión hseq - bucaramanga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HYPERLINK("https://www.elempleo.com/co/ofertas-trabajo/consultora-sistema-de-gestion-hseq-bucaramanga-1886759378",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40659dd2e41fd444</t>
        </is>
      </c>
      <c r="B307" s="2" t="inlineStr">
        <is>
          <t>2026-09-22 05:09</t>
        </is>
      </c>
      <c r="C307" s="3" t="inlineStr">
        <is>
          <t>Ingeniero topográfico - especialista senior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HYPERLINK("https://www.elempleo.com/co/ofertas-trabajo/ingeniero-topografico-especialista-senior-1886765054",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7b0f7c3850ec6f61</t>
        </is>
      </c>
      <c r="B308" s="2" t="inlineStr">
        <is>
          <t>2026-09-22 05:09</t>
        </is>
      </c>
      <c r="C308" s="3" t="inlineStr">
        <is>
          <t>Coordinador (a) senior - especialista en bioequivalencias</t>
        </is>
      </c>
      <c r="D308" s="3" t="inlineStr">
        <is>
          <t>LABORATORIOS BUSSIE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HYPERLINK("https://www.elempleo.com/co/ofertas-trabajo/coordinador-a-senior-especialista-en-bioequivalencias-1886769840",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aeaf42aeea186cb0</t>
        </is>
      </c>
      <c r="B309" s="2" t="inlineStr">
        <is>
          <t>2026-09-22 05:09</t>
        </is>
      </c>
      <c r="C309" s="3" t="inlineStr">
        <is>
          <t>Profesional en sst o ingeniero esp en sst - rio negro</t>
        </is>
      </c>
      <c r="D309" s="3" t="inlineStr">
        <is>
          <t>Quirón Prevención Colombia S.A.S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HYPERLINK("https://www.elempleo.com/co/ofertas-trabajo/profesional-en-sst-o-ingeniero-esp-en-sst-rio-negro-1886758412",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07f1ee6c04e40269</t>
        </is>
      </c>
      <c r="B310" s="2" t="inlineStr">
        <is>
          <t>2026-09-22 05:09</t>
        </is>
      </c>
      <c r="C310" s="3" t="inlineStr">
        <is>
          <t>Profesional en sst o ingeniero esp en sst - rio negro</t>
        </is>
      </c>
      <c r="D310" s="3" t="inlineStr">
        <is>
          <t>Quirón Prevención Colombia S.A.S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HYPERLINK("https://www.elempleo.com/co/ofertas-trabajo/profesional-en-sst-o-ingeniero-esp-en-sst-rio-negro-1886752068",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09443eef5570ce96</t>
        </is>
      </c>
      <c r="B311" s="2" t="inlineStr">
        <is>
          <t>2026-09-22 05:09</t>
        </is>
      </c>
      <c r="C311" s="3" t="inlineStr">
        <is>
          <t>Director de proyecto movilidad</t>
        </is>
      </c>
      <c r="D311" s="3" t="inlineStr">
        <is>
          <t>JAHV MC GREGOR S.A.S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HYPERLINK("https://www.elempleo.com/co/ofertas-trabajo/director-de-proyecto-movilidad-1886766486", "Ver Vacante")</f>
        <v/>
      </c>
      <c r="H311" s="6" t="inlineStr"/>
      <c r="I3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b54c3610b3497128</t>
        </is>
      </c>
      <c r="B312" s="2" t="inlineStr">
        <is>
          <t>2026-09-22 05:09</t>
        </is>
      </c>
      <c r="C312" s="3" t="inlineStr">
        <is>
          <t>Líder proyectos e ingeniería</t>
        </is>
      </c>
      <c r="D312" s="3" t="inlineStr">
        <is>
          <t>SinapSer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HYPERLINK("https://www.elempleo.com/co/ofertas-trabajo/lider-proyectos-e-ingenieria-1886749715",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d554349d14476076</t>
        </is>
      </c>
      <c r="B313" s="2" t="inlineStr">
        <is>
          <t>2026-09-22 05:09</t>
        </is>
      </c>
      <c r="C313" s="3" t="inlineStr">
        <is>
          <t>Director de proyecto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HYPERLINK("https://www.elempleo.com/co/ofertas-trabajo/director-de-proyecto-1886769375", "Ver Vacante")</f>
        <v/>
      </c>
      <c r="H313" s="6" t="inlineStr"/>
      <c r="I3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772da76a91611419</t>
        </is>
      </c>
      <c r="B314" s="2" t="inlineStr">
        <is>
          <t>2026-09-22 05:09</t>
        </is>
      </c>
      <c r="C314" s="3" t="inlineStr">
        <is>
          <t>Gerente de proyectos</t>
        </is>
      </c>
      <c r="D314" s="3" t="inlineStr">
        <is>
          <t>SUMMAR PRODUCTIVIDAD S.A.S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HYPERLINK("https://www.elempleo.com/co/ofertas-trabajo/gerente-de-proyectos-1886767600", "Ver Vacante")</f>
        <v/>
      </c>
      <c r="H314" s="6" t="inlineStr"/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2fb7132270011cb4</t>
        </is>
      </c>
      <c r="B315" s="2" t="inlineStr">
        <is>
          <t>2026-09-22 05:09</t>
        </is>
      </c>
      <c r="C315" s="3" t="inlineStr">
        <is>
          <t>Gerente de proyecto tic</t>
        </is>
      </c>
      <c r="D315" s="3" t="inlineStr">
        <is>
          <t>MANPOWER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HYPERLINK("https://www.elempleo.com/co/ofertas-trabajo/gerente-de-proyecto-tic-1886743669", "Ver Vacante")</f>
        <v/>
      </c>
      <c r="H315" s="6" t="inlineStr"/>
      <c r="I3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3f55a2f61ab57bc3</t>
        </is>
      </c>
      <c r="B316" s="2" t="inlineStr">
        <is>
          <t>2026-09-22 05:09</t>
        </is>
      </c>
      <c r="C316" s="3" t="inlineStr">
        <is>
          <t>Gerente de proyectos para empresa de tecnología</t>
        </is>
      </c>
      <c r="D316" s="3" t="inlineStr">
        <is>
          <t>Gattaca Outsourcing S.A.S.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HYPERLINK("https://www.elempleo.com/co/ofertas-trabajo/gerente-de-proyectos-para-empresa-de-tecnologia-1886747783", "Ver Vacante")</f>
        <v/>
      </c>
      <c r="H316" s="6" t="inlineStr"/>
      <c r="I3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66e63adcbcc1d616</t>
        </is>
      </c>
      <c r="B317" s="2" t="inlineStr">
        <is>
          <t>2026-09-22 05:09</t>
        </is>
      </c>
      <c r="C317" s="3" t="inlineStr">
        <is>
          <t>Consultor de soporte gestión humana y sst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HYPERLINK("https://www.elempleo.com/co/ofertas-trabajo/consultor-de-soporte-gestion-humana-y-sst-1886759036",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4b86da36a8f7b158</t>
        </is>
      </c>
      <c r="B318" s="2" t="inlineStr">
        <is>
          <t>2026-09-22 05:09</t>
        </is>
      </c>
      <c r="C318" s="3" t="inlineStr">
        <is>
          <t>Ingeniero esp en sst - palmira</t>
        </is>
      </c>
      <c r="D318" s="3" t="inlineStr">
        <is>
          <t>Quirón Prevención Colombia S.A.S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HYPERLINK("https://www.elempleo.com/co/ofertas-trabajo/ingeniero-esp-en-sst-palmira-1886743728",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0a9344b068ffdb17</t>
        </is>
      </c>
      <c r="B319" s="2" t="inlineStr">
        <is>
          <t>2026-09-22 05:09</t>
        </is>
      </c>
      <c r="C319" s="3" t="inlineStr">
        <is>
          <t>Ingeniero esp en sst - palmira</t>
        </is>
      </c>
      <c r="D319" s="3" t="inlineStr">
        <is>
          <t>Quirón Prevención Colombia S.A.S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HYPERLINK("https://www.elempleo.com/co/ofertas-trabajo/ingeniero-esp-en-sst-palmira-1886760865",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193cfde3b5dfbfaa</t>
        </is>
      </c>
      <c r="B320" s="2" t="inlineStr">
        <is>
          <t>2026-09-22 05:09</t>
        </is>
      </c>
      <c r="C320" s="3" t="inlineStr">
        <is>
          <t>Director(a) de talento humano y sst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HYPERLINK("https://www.elempleo.com/co/ofertas-trabajo/directora-de-talento-humano-y-sst-1886746502",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6386ae2cdd0ca648</t>
        </is>
      </c>
      <c r="B321" s="2" t="inlineStr">
        <is>
          <t>2026-09-22 05:09</t>
        </is>
      </c>
      <c r="C321" s="3" t="inlineStr">
        <is>
          <t>Ingeniero hseq - hidrocarburos</t>
        </is>
      </c>
      <c r="D321" s="3" t="inlineStr">
        <is>
          <t>ADECCO COLOMBIA S A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HYPERLINK("https://www.elempleo.com/co/ofertas-trabajo/ingeniero-hseq-hidrocarburos-1886757090",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7e3a819c5137691c</t>
        </is>
      </c>
      <c r="B322" s="2" t="inlineStr">
        <is>
          <t>2026-09-22 05:09</t>
        </is>
      </c>
      <c r="C322" s="3" t="inlineStr">
        <is>
          <t>Bogota - consultor sistemas de gestión sst- con licencia en sst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HYPERLINK("https://www.elempleo.com/co/ofertas-trabajo/bogota-consultor-sistemas-de-gestion-sst-con-licencia-en-sst-1886759829",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8a9cbfc1b1d76c90</t>
        </is>
      </c>
      <c r="B323" s="2" t="inlineStr">
        <is>
          <t>2026-09-22 05:09</t>
        </is>
      </c>
      <c r="C323" s="3" t="inlineStr">
        <is>
          <t>Bogota - consultor sistemas de gestión sst- con licencia en sst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HYPERLINK("https://www.elempleo.com/co/ofertas-trabajo/bogota-consultor-sistemas-de-gestion-sst-con-licencia-en-sst-1886764895",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654baa524215581d</t>
        </is>
      </c>
      <c r="B324" s="2" t="inlineStr">
        <is>
          <t>2026-09-22 05:09</t>
        </is>
      </c>
      <c r="C324" s="3" t="inlineStr">
        <is>
          <t>Medellín - consultor sistemas de gestión sst- con licencia en sst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HYPERLINK("https://www.elempleo.com/co/ofertas-trabajo/medellin-consultor-sistemas-de-gestion-sst-con-licencia-en-sst-1886764969",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cfad72f86eb60cd6</t>
        </is>
      </c>
      <c r="B325" s="2" t="inlineStr">
        <is>
          <t>2026-09-22 05:09</t>
        </is>
      </c>
      <c r="C325" s="3" t="inlineStr">
        <is>
          <t>Consultor sst freelance</t>
        </is>
      </c>
      <c r="D325" s="3" t="inlineStr">
        <is>
          <t>SELECTED HR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HYPERLINK("https://www.elempleo.com/co/ofertas-trabajo/consultor-sst-freelance-1886758665",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b7e5ecf9972019b8</t>
        </is>
      </c>
      <c r="B326" s="2" t="inlineStr">
        <is>
          <t>2026-09-22 05:09</t>
        </is>
      </c>
      <c r="C326" s="3" t="inlineStr">
        <is>
          <t>Cali - consultor de sistemas de gestion sst independiente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HYPERLINK("https://www.elempleo.com/co/ofertas-trabajo/cali-consultor-de-sistemas-de-gestion-sst-independiente-1886766615",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45156e9fe504104c</t>
        </is>
      </c>
      <c r="B327" s="2" t="inlineStr">
        <is>
          <t>2026-09-22 05:09</t>
        </is>
      </c>
      <c r="C327" s="3" t="inlineStr">
        <is>
          <t>Barranquilla - consultor de sistemas de gestion sst independiente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HYPERLINK("https://www.elempleo.com/co/ofertas-trabajo/barranquilla-consultor-de-sistemas-de-gestion-sst-independiente-1886765182",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2414c05d0c98b4bf</t>
        </is>
      </c>
      <c r="B328" s="2" t="inlineStr">
        <is>
          <t>2026-09-22 05:09</t>
        </is>
      </c>
      <c r="C328" s="3" t="inlineStr">
        <is>
          <t>Consultor(a) sst - gestión del riesgo químico - barrancabermeja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HYPERLINK("https://www.elempleo.com/co/ofertas-trabajo/consultora-sst-gestion-del-riesgo-quimico-barrancabermeja-1886746280",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3d360078771e726a</t>
        </is>
      </c>
      <c r="B329" s="2" t="inlineStr">
        <is>
          <t>2026-09-22 05:09</t>
        </is>
      </c>
      <c r="C329" s="3" t="inlineStr">
        <is>
          <t>Ingeniero hseq</t>
        </is>
      </c>
      <c r="D329" s="3" t="inlineStr">
        <is>
          <t>CONCONCRETO S.A.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HYPERLINK("https://www.elempleo.com/co/ofertas-trabajo/ingeniero-hseq-1886755671",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596e039a845e32eb</t>
        </is>
      </c>
      <c r="B330" s="2" t="inlineStr">
        <is>
          <t>2026-09-22 05:09</t>
        </is>
      </c>
      <c r="C330" s="3" t="inlineStr">
        <is>
          <t>Ingeniero de infraestructura ti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HYPERLINK("https://www.elempleo.com/co/ofertas-trabajo/ingeniero-de-infraestructura-ti-1886762110", "Ver Vacante")</f>
        <v/>
      </c>
      <c r="H330" s="6" t="inlineStr"/>
      <c r="I330" s="3" t="inlineStr">
        <is>
          <t>[Afinidad: 50/100 - Afinidad Moderada] Afinidad parcial en infraestructura vial y transporte.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eff7bc9185d1d6d6</t>
        </is>
      </c>
      <c r="B331" s="2" t="inlineStr">
        <is>
          <t>2026-09-22 05:09</t>
        </is>
      </c>
      <c r="C331" s="3" t="inlineStr">
        <is>
          <t>Avaluador - especialista senior en seguimiento, control e interventoría de obra.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HYPERLINK("https://www.elempleo.com/co/ofertas-trabajo/avaluador-especialista-senior-en-seguimiento-control-e-interventoria-de-obra-1886733468", "Ver Vacante")</f>
        <v/>
      </c>
      <c r="H331" s="6" t="inlineStr"/>
      <c r="I3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4628b75d3c64d84f</t>
        </is>
      </c>
      <c r="B332" s="2" t="inlineStr">
        <is>
          <t>2026-09-22 05:09</t>
        </is>
      </c>
      <c r="C332" s="3" t="inlineStr">
        <is>
          <t>Analista senior de control de proyectos sector inmobiliario, obra civil, construcción en bogota</t>
        </is>
      </c>
      <c r="D332" s="3" t="inlineStr">
        <is>
          <t>MANPOWER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HYPERLINK("https://www.elempleo.com/co/ofertas-trabajo/analista-senior-de-control-de-proyectos-sector-inmobiliario-obra-civil-construccion-en-bogota-1886762627", "Ver Vacante")</f>
        <v/>
      </c>
      <c r="H332" s="6" t="inlineStr"/>
      <c r="I3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a3bdfbb53c8050bc</t>
        </is>
      </c>
      <c r="B333" s="2" t="inlineStr">
        <is>
          <t>2026-09-22 05:09</t>
        </is>
      </c>
      <c r="C333" s="3" t="inlineStr">
        <is>
          <t>Líder Técnico - Colombia</t>
        </is>
      </c>
      <c r="D333" s="3" t="inlineStr">
        <is>
          <t>SETI S.A.S</t>
        </is>
      </c>
      <c r="E333" s="7" t="n">
        <v>0.5</v>
      </c>
      <c r="F333" s="2" t="inlineStr">
        <is>
          <t>Remoto</t>
        </is>
      </c>
      <c r="G333" s="5">
        <f>HYPERLINK("https://co.linkedin.com/jobs/view/l%C3%ADder-t%C3%A9cnico-colombia-at-seti-s-a-s-4464254507", "Ver Vacante")</f>
        <v/>
      </c>
      <c r="H333" s="6" t="inlineStr"/>
      <c r="I3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9876a1d7b57c2e9d</t>
        </is>
      </c>
      <c r="B334" s="2" t="inlineStr">
        <is>
          <t>2026-09-22 05:09</t>
        </is>
      </c>
      <c r="C334" s="3" t="inlineStr">
        <is>
          <t>Diseñador Civil Senior/Senior Civil Designer</t>
        </is>
      </c>
      <c r="D334" s="3" t="inlineStr">
        <is>
          <t>Pond &amp; Company</t>
        </is>
      </c>
      <c r="E334" s="7" t="n">
        <v>0.5</v>
      </c>
      <c r="F334" s="2" t="inlineStr">
        <is>
          <t>Remoto</t>
        </is>
      </c>
      <c r="G334" s="5">
        <f>HYPERLINK("https://co.linkedin.com/jobs/view/dise%C3%B1ador-civil-senior-senior-civil-designer-at-pond-company-4448248118", "Ver Vacante")</f>
        <v/>
      </c>
      <c r="H334" s="6" t="inlineStr"/>
      <c r="I3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c5c945234866a1f1</t>
        </is>
      </c>
      <c r="B335" s="2" t="inlineStr">
        <is>
          <t>2026-09-22 05:09</t>
        </is>
      </c>
      <c r="C335" s="3" t="inlineStr">
        <is>
          <t>Gerente HSE - Barranquilla</t>
        </is>
      </c>
      <c r="D335" s="3" t="inlineStr">
        <is>
          <t>ADAMA Ltd.</t>
        </is>
      </c>
      <c r="E335" s="7" t="n">
        <v>0.5</v>
      </c>
      <c r="F335" s="2" t="inlineStr">
        <is>
          <t>Remoto</t>
        </is>
      </c>
      <c r="G335" s="5">
        <f>HYPERLINK("https://co.linkedin.com/jobs/view/gerente-hse-barranquilla-colombia-at-adama-ltd-4468291249",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mock_nonmatch_008</t>
        </is>
      </c>
      <c r="B336" s="2" t="inlineStr">
        <is>
          <t>2026-09-23 09:45</t>
        </is>
      </c>
      <c r="C336" s="3" t="inlineStr">
        <is>
          <t>Especialista Hidráulico y Sanitario para Plantas de Tratamiento de Aguas Residuales</t>
        </is>
      </c>
      <c r="D336" s="3" t="inlineStr">
        <is>
          <t>Aguas y Cuencas Ambientales S.A.S. E.S.P.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HYPERLINK("https://www.elempleo.com/co/ofertas-trabajo/mock-nonmatch-008", "Ver Vacante")</f>
        <v/>
      </c>
      <c r="H336" s="6" t="inlineStr">
        <is>
          <t>$ 7.500.000 COP</t>
        </is>
      </c>
      <c r="I3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7fb7d18d4b7e2f15</t>
        </is>
      </c>
      <c r="B337" s="2" t="inlineStr">
        <is>
          <t>2026-09-23 10:17</t>
        </is>
      </c>
      <c r="C337" s="3" t="inlineStr">
        <is>
          <t>Gerente de Proyectos de redes secas eléctricas en sector inmobiliarios vivienda</t>
        </is>
      </c>
      <c r="D337" s="3" t="inlineStr">
        <is>
          <t>Soluciones Inmediatas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37" s="6" t="inlineStr">
        <is>
          <t>$ 7.000.000,00 (Mensual)</t>
        </is>
      </c>
      <c r="I3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f46574832270c441</t>
        </is>
      </c>
      <c r="B338" s="2" t="inlineStr">
        <is>
          <t>2026-09-23 10:17</t>
        </is>
      </c>
      <c r="C338" s="3" t="inlineStr">
        <is>
          <t>Director de proyectos construcción/impermeabilización</t>
        </is>
      </c>
      <c r="D338" s="3" t="inlineStr">
        <is>
          <t>ADECCO COLOMBIA S A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HYPERLINK("https://www.elempleo.com/co/ofertas-trabajo/director-de-proyectos-construccion-impermeabilizacion-1886757649", "Ver Vacante")</f>
        <v/>
      </c>
      <c r="H338" s="6" t="inlineStr"/>
      <c r="I3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3723b2e178098779</t>
        </is>
      </c>
      <c r="B339" s="2" t="inlineStr">
        <is>
          <t>2026-09-23 10:17</t>
        </is>
      </c>
      <c r="C339" s="3" t="inlineStr">
        <is>
          <t>Ingeniero de infraestructura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HYPERLINK("https://www.elempleo.com/co/ofertas-trabajo/ingeniero-de-infraestructura-1886762657", "Ver Vacante")</f>
        <v/>
      </c>
      <c r="H339" s="6" t="inlineStr"/>
      <c r="I339" s="3" t="inlineStr">
        <is>
          <t>[Afinidad: 50/100 - Afinidad Moderada] Afinidad parcial en infraestructura vial y transporte.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bf21ac0878b65435</t>
        </is>
      </c>
      <c r="B340" s="2" t="inlineStr">
        <is>
          <t>2026-09-23 10:17</t>
        </is>
      </c>
      <c r="C340" s="3" t="inlineStr">
        <is>
          <t>Ingeniero industrial esp en sst - exp en sector construcción - barranquilla</t>
        </is>
      </c>
      <c r="D340" s="3" t="inlineStr">
        <is>
          <t>Quirón Prevención Colombia S.A.S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HYPERLINK("https://www.elempleo.com/co/ofertas-trabajo/ingeniero-industrial-esp-en-sst-exp-en-sector-construccion-barranquilla-1886766331",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3a03aae1fae2698b</t>
        </is>
      </c>
      <c r="B341" s="2" t="inlineStr">
        <is>
          <t>2026-09-23 10:17</t>
        </is>
      </c>
      <c r="C341" s="3" t="inlineStr">
        <is>
          <t>Ingeniero(a) Sr Obras Civiles</t>
        </is>
      </c>
      <c r="D341" s="3" t="inlineStr">
        <is>
          <t>Parex Resources</t>
        </is>
      </c>
      <c r="E341" s="7" t="n">
        <v>0.5</v>
      </c>
      <c r="F341" s="2" t="inlineStr">
        <is>
          <t>Remoto</t>
        </is>
      </c>
      <c r="G341" s="5">
        <f>HYPERLINK("https://co.linkedin.com/jobs/view/ingeniero-a-sr-obras-civiles-at-parex-resources-4436029487", "Ver Vacante")</f>
        <v/>
      </c>
      <c r="H341" s="6" t="inlineStr"/>
      <c r="I3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32f893fe802cdb50</t>
        </is>
      </c>
      <c r="B342" s="2" t="inlineStr">
        <is>
          <t>2026-09-24 15:49</t>
        </is>
      </c>
      <c r="C342" s="3" t="inlineStr">
        <is>
          <t>Director de Proyectos Construcción/impermeabilización</t>
        </is>
      </c>
      <c r="D342" s="3" t="inlineStr">
        <is>
          <t>Adecco Colombia S.A.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HYPERLINK("https://co.computrabajo.com/ofertas-de-trabajo/oferta-de-trabajo-de-director-de-proyectos-construccionimpermeabilizacion-en-bogota-dc-362312C315753AF861373E686DCF3405", "Ver Vacante")</f>
        <v/>
      </c>
      <c r="H342" s="6" t="inlineStr"/>
      <c r="I3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c9aa3304763a1c02</t>
        </is>
      </c>
      <c r="B343" s="2" t="inlineStr">
        <is>
          <t>2026-09-24 15:49</t>
        </is>
      </c>
      <c r="C343" s="3" t="inlineStr">
        <is>
          <t>Gerente de proyecto de implementación erp siesa</t>
        </is>
      </c>
      <c r="D343" s="3" t="inlineStr">
        <is>
          <t>Confidencial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HYPERLINK("https://www.elempleo.com/co/ofertas-trabajo/gerente-de-proyecto-de-implementacion-erp-siesa-1886759247", "Ver Vacante")</f>
        <v/>
      </c>
      <c r="H343" s="6" t="inlineStr"/>
      <c r="I3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5d33b91bceb27cc7</t>
        </is>
      </c>
      <c r="B344" s="2" t="inlineStr">
        <is>
          <t>2026-09-24 15:49</t>
        </is>
      </c>
      <c r="C344" s="3" t="inlineStr">
        <is>
          <t>Asesor en prevención sst</t>
        </is>
      </c>
      <c r="D344" s="3" t="inlineStr">
        <is>
          <t>SONDA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HYPERLINK("https://www.elempleo.com/co/ofertas-trabajo/asesor-en-prevencion-sst-1886748210",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a8091ac7ae978c56</t>
        </is>
      </c>
      <c r="B345" s="2" t="inlineStr">
        <is>
          <t>2026-09-24 15:50</t>
        </is>
      </c>
      <c r="C345" s="3" t="inlineStr">
        <is>
          <t>Senior Engineer/Specialist - Structural/Civil</t>
        </is>
      </c>
      <c r="D345" s="3" t="inlineStr">
        <is>
          <t>Kent</t>
        </is>
      </c>
      <c r="E345" s="7" t="n">
        <v>0.5</v>
      </c>
      <c r="F345" s="2" t="inlineStr">
        <is>
          <t>Remoto</t>
        </is>
      </c>
      <c r="G345" s="5">
        <f>HYPERLINK("https://co.linkedin.com/jobs/view/senior-engineer-specialist-structural-civil-at-kent-4448228012", "Ver Vacante")</f>
        <v/>
      </c>
      <c r="H345" s="6" t="inlineStr"/>
      <c r="I3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f3a1b7629bfb5091</t>
        </is>
      </c>
      <c r="B346" s="2" t="inlineStr">
        <is>
          <t>2026-09-24 15:50</t>
        </is>
      </c>
      <c r="C346" s="3" t="inlineStr">
        <is>
          <t>Ingeniero de Infraestructura Física y Mantenimiento / Galapa</t>
        </is>
      </c>
      <c r="D346" s="3" t="inlineStr">
        <is>
          <t>Coopidrogas</t>
        </is>
      </c>
      <c r="E346" s="7" t="n">
        <v>0.5</v>
      </c>
      <c r="F346" s="2" t="inlineStr">
        <is>
          <t>Remoto</t>
        </is>
      </c>
      <c r="G346" s="5">
        <f>HYPERLINK("https://co.linkedin.com/jobs/view/ingeniero-de-infraestructura-f%C3%ADsica-y-mantenimiento-galapa-at-coopidrogas-4447216390", "Ver Vacante")</f>
        <v/>
      </c>
      <c r="H346" s="6" t="inlineStr"/>
      <c r="I346" s="3" t="inlineStr">
        <is>
          <t>[Afinidad: 50/100 - Afinidad Moderada] Afinidad parcial en infraestructura vial y transporte.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7cc53930dd68fddd</t>
        </is>
      </c>
      <c r="B347" s="2" t="inlineStr">
        <is>
          <t>2026-09-22 05:09</t>
        </is>
      </c>
      <c r="C347" s="3" t="inlineStr">
        <is>
          <t>Líder de Seguridad y salud en el trabajo</t>
        </is>
      </c>
      <c r="D347" s="3" t="inlineStr">
        <is>
          <t>Importante empresa del sector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HYPERLINK("https://co.computrabajo.com/ofertas-de-trabajo/oferta-de-trabajo-de-lider-de-seguridad-y-salud-en-el-trabajo-en-bogota-dc-1FA3664D15D5571061373E686DCF3405",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8f2604180c4175aa</t>
        </is>
      </c>
      <c r="B348" s="2" t="inlineStr">
        <is>
          <t>2026-09-22 05:09</t>
        </is>
      </c>
      <c r="C348" s="3" t="inlineStr">
        <is>
          <t>Líder hseq</t>
        </is>
      </c>
      <c r="D348" s="3" t="inlineStr">
        <is>
          <t>Grupo Good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HYPERLINK("https://www.elempleo.com/co/ofertas-trabajo/lider-hseq-1886758267",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c996b309ea31c398</t>
        </is>
      </c>
      <c r="B349" s="2" t="inlineStr">
        <is>
          <t>2026-09-22 05:09</t>
        </is>
      </c>
      <c r="C349" s="3" t="inlineStr">
        <is>
          <t>Lider hseq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HYPERLINK("https://www.elempleo.com/co/ofertas-trabajo/lider-hseq-1886767416",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1a35e87760c6acbe</t>
        </is>
      </c>
      <c r="B350" s="2" t="inlineStr">
        <is>
          <t>2026-09-22 05:09</t>
        </is>
      </c>
      <c r="C350" s="3" t="inlineStr">
        <is>
          <t>Líder hseq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HYPERLINK("https://www.elempleo.com/co/ofertas-trabajo/lider-hseq-1886761912",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ddd0530c3b22efe7</t>
        </is>
      </c>
      <c r="B351" s="2" t="inlineStr">
        <is>
          <t>2026-09-22 05:09</t>
        </is>
      </c>
      <c r="C351" s="3" t="inlineStr">
        <is>
          <t>Lider sst para la guajira</t>
        </is>
      </c>
      <c r="D351" s="3" t="inlineStr">
        <is>
          <t>Confidencial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HYPERLINK("https://www.elempleo.com/co/ofertas-trabajo/lider-sst-para-la-guajira-1886764349",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5890db86961c728a</t>
        </is>
      </c>
      <c r="B352" s="2" t="inlineStr">
        <is>
          <t>2026-09-22 05:09</t>
        </is>
      </c>
      <c r="C352" s="3" t="inlineStr">
        <is>
          <t>Lider de proyectos de infraestructura</t>
        </is>
      </c>
      <c r="D352" s="3" t="inlineStr">
        <is>
          <t>Confidencial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HYPERLINK("https://www.elempleo.com/co/ofertas-trabajo/lider-de-proyectos-de-infraestructura-1886763250", "Ver Vacante")</f>
        <v/>
      </c>
      <c r="H352" s="6" t="inlineStr"/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0b3307883dd9e76d</t>
        </is>
      </c>
      <c r="B353" s="2" t="inlineStr">
        <is>
          <t>2026-09-22 05:09</t>
        </is>
      </c>
      <c r="C353" s="3" t="inlineStr">
        <is>
          <t>Líder de Infraestructura y Estructuración de Proyectos</t>
        </is>
      </c>
      <c r="D353" s="3" t="inlineStr">
        <is>
          <t>Innova Schools Colombia</t>
        </is>
      </c>
      <c r="E353" s="7" t="n">
        <v>0.5</v>
      </c>
      <c r="F353" s="2" t="inlineStr">
        <is>
          <t>Remoto</t>
        </is>
      </c>
      <c r="G353" s="5">
        <f>HYPERLINK("https://co.linkedin.com/jobs/view/l%C3%ADder-de-infraestructura-y-estructuraci%C3%B3n-de-proyectos-at-innova-schools-colombia-4462807966", "Ver Vacante")</f>
        <v/>
      </c>
      <c r="H353" s="6" t="inlineStr"/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b16bf21d94be490a</t>
        </is>
      </c>
      <c r="B354" s="2" t="inlineStr">
        <is>
          <t>2026-09-22 05:09</t>
        </is>
      </c>
      <c r="C354" s="3" t="inlineStr">
        <is>
          <t>Líder HSEQ</t>
        </is>
      </c>
      <c r="D354" s="3" t="inlineStr">
        <is>
          <t>RH Group</t>
        </is>
      </c>
      <c r="E354" s="7" t="n">
        <v>0.5</v>
      </c>
      <c r="F354" s="2" t="inlineStr">
        <is>
          <t>Remoto</t>
        </is>
      </c>
      <c r="G354" s="5">
        <f>HYPERLINK("https://co.linkedin.com/jobs/view/l%C3%ADder-hseq-at-rh-group-4468612641",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cd1ed0c7003820f9</t>
        </is>
      </c>
      <c r="B355" s="2" t="inlineStr">
        <is>
          <t>2026-09-25 15:50</t>
        </is>
      </c>
      <c r="C355" s="3" t="inlineStr">
        <is>
          <t>Analista técnico HSEQ</t>
        </is>
      </c>
      <c r="D355" s="3" t="inlineStr">
        <is>
          <t>Importante empresa del sector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HYPERLINK("https://co.computrabajo.com/ofertas-de-trabajo/oferta-de-trabajo-de-analista-tecnico-hseq-auxiliar-siso-en-bucaramanga-D61BC02E1336822161373E686DCF3405",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2a1cbfdbed03a387</t>
        </is>
      </c>
      <c r="B356" s="2" t="inlineStr">
        <is>
          <t>2026-09-25 15:50</t>
        </is>
      </c>
      <c r="C356" s="3" t="inlineStr">
        <is>
          <t>Analista SST/ Con Licencia Vigente</t>
        </is>
      </c>
      <c r="D356" s="3" t="inlineStr">
        <is>
          <t>Importante empresa del sector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HYPERLINK("https://co.computrabajo.com/ofertas-de-trabajo/oferta-de-trabajo-de-analista-sst-con-licencia-vigente-en-bogota-dc-427AA507B61CAF9061373E686DCF3405", "Ver Vacante")</f>
        <v/>
      </c>
      <c r="H356" s="6" t="inlineStr">
        <is>
          <t>$ 1.908.000,00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bb3f6db46a6887f1</t>
        </is>
      </c>
      <c r="B357" s="2" t="inlineStr">
        <is>
          <t>2026-09-25 15:50</t>
        </is>
      </c>
      <c r="C357" s="3" t="inlineStr">
        <is>
          <t>Analista seguridad y salud en el trabajo</t>
        </is>
      </c>
      <c r="D357" s="3" t="inlineStr">
        <is>
          <t>GENTE UTIL S.A.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HYPERLINK("https://co.computrabajo.com/ofertas-de-trabajo/oferta-de-trabajo-de-analista-seguridad-y-salud-en-el-trabajo-en-bucaramanga-217BC88A60F8BD9261373E686DCF3405", "Ver Vacante")</f>
        <v/>
      </c>
      <c r="H357" s="6" t="inlineStr">
        <is>
          <t>$ 2.700.000,00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1ead4f148498c379</t>
        </is>
      </c>
      <c r="B358" s="2" t="inlineStr">
        <is>
          <t>2026-09-25 15:50</t>
        </is>
      </c>
      <c r="C358" s="3" t="inlineStr">
        <is>
          <t>Analista HSEQ</t>
        </is>
      </c>
      <c r="D358" s="3" t="inlineStr">
        <is>
          <t>TNC SOLUCIONES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HYPERLINK("https://co.computrabajo.com/ofertas-de-trabajo/oferta-de-trabajo-de-analista-hseq-guarne-en-guarne-E886A61EC9E5D90B61373E686DCF3405", "Ver Vacante")</f>
        <v/>
      </c>
      <c r="H358" s="6" t="inlineStr">
        <is>
          <t>$ 2.400.000,00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9ff1e568afbe6452</t>
        </is>
      </c>
      <c r="B359" s="2" t="inlineStr">
        <is>
          <t>2026-09-25 15:50</t>
        </is>
      </c>
      <c r="C359" s="3" t="inlineStr">
        <is>
          <t>Analista HSEQ</t>
        </is>
      </c>
      <c r="D359" s="3" t="inlineStr">
        <is>
          <t>ELIS COLOMBIA SAS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HYPERLINK("https://co.computrabajo.com/ofertas-de-trabajo/oferta-de-trabajo-de-analista-hseq-medellin-en-medellin-B43CB6F9EBA28A8161373E686DCF3405", "Ver Vacante")</f>
        <v/>
      </c>
      <c r="H359" s="6" t="inlineStr">
        <is>
          <t>$ 1.951.000,00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8b0ee5de6334b5ca</t>
        </is>
      </c>
      <c r="B360" s="2" t="inlineStr">
        <is>
          <t>2026-09-25 15:50</t>
        </is>
      </c>
      <c r="C360" s="3" t="inlineStr">
        <is>
          <t>Analista Ambiental HSEQ</t>
        </is>
      </c>
      <c r="D360" s="3" t="inlineStr">
        <is>
          <t>Importante empresa del sector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HYPERLINK("https://co.computrabajo.com/ofertas-de-trabajo/oferta-de-trabajo-de-analista-ambiental-hseq-lider-de-sostenibilidad-ambiental-ingeniero-en-bogota-dc-BB1D9E72E010F26D61373E686DCF3405",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cf943e439e7fa597</t>
        </is>
      </c>
      <c r="B361" s="2" t="inlineStr">
        <is>
          <t>2026-09-25 15:50</t>
        </is>
      </c>
      <c r="C361" s="3" t="inlineStr">
        <is>
          <t>Analista de SST sector alimentos</t>
        </is>
      </c>
      <c r="D361" s="3" t="inlineStr">
        <is>
          <t>GENTE UTIL S.A.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HYPERLINK("https://co.computrabajo.com/ofertas-de-trabajo/oferta-de-trabajo-de-analista-de-sst-sector-alimentos-en-bucaramanga-03C3091ADF2940A061373E686DCF3405", "Ver Vacante")</f>
        <v/>
      </c>
      <c r="H361" s="6" t="inlineStr">
        <is>
          <t>$ 2.700.000,00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d447a89ce66534d3</t>
        </is>
      </c>
      <c r="B362" s="2" t="inlineStr">
        <is>
          <t>2026-09-25 15:50</t>
        </is>
      </c>
      <c r="C362" s="3" t="inlineStr">
        <is>
          <t>Analista pesv</t>
        </is>
      </c>
      <c r="D362" s="3" t="inlineStr">
        <is>
          <t>GYP BOGOTA S.A.S.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HYPERLINK("https://co.computrabajo.com/ofertas-de-trabajo/oferta-de-trabajo-de-analista-pesv-junior-en-bogota-dc-BCB0395C3C5D8A2F61373E686DCF3405", "Ver Vacante")</f>
        <v/>
      </c>
      <c r="H362" s="6" t="inlineStr">
        <is>
          <t>$ 2.200.000,00 (Mensual)</t>
        </is>
      </c>
      <c r="I362" s="3" t="inlineStr">
        <is>
          <t>[Afinidad: 50/100 - Afinidad Moderada] Afinidad parcial en infraestructura vial y transporte.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8e20d357d678b79d</t>
        </is>
      </c>
      <c r="B363" s="2" t="inlineStr">
        <is>
          <t>2026-09-25 15:50</t>
        </is>
      </c>
      <c r="C363" s="3" t="inlineStr">
        <is>
          <t>Analista HSEQ</t>
        </is>
      </c>
      <c r="D363" s="3" t="inlineStr">
        <is>
          <t>Alianza Temporal S.A.S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HYPERLINK("https://co.computrabajo.com/ofertas-de-trabajo/oferta-de-trabajo-de-analista-hseq-en-bogota-dc-1C936FC8891CA02A61373E686DCF3405", "Ver Vacante")</f>
        <v/>
      </c>
      <c r="H363" s="6" t="inlineStr">
        <is>
          <t>$ 2.800.000,00 (Mensual)</t>
        </is>
      </c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9d2ac9f3d7cb9acd</t>
        </is>
      </c>
      <c r="B364" s="2" t="inlineStr">
        <is>
          <t>2026-09-25 15:50</t>
        </is>
      </c>
      <c r="C364" s="3" t="inlineStr">
        <is>
          <t>Analista HSEQ / SGI</t>
        </is>
      </c>
      <c r="D364" s="3" t="inlineStr">
        <is>
          <t>Alianza Temporal S.A.S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HYPERLINK("https://co.computrabajo.com/ofertas-de-trabajo/oferta-de-trabajo-de-analista-hseq-sgi-en-bogota-dc-0CE6D56C083ABD1961373E686DCF3405", "Ver Vacante")</f>
        <v/>
      </c>
      <c r="H364" s="6" t="inlineStr">
        <is>
          <t>$ 2.800.000,00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4deabccd5a9cdc25</t>
        </is>
      </c>
      <c r="B365" s="2" t="inlineStr">
        <is>
          <t>2026-09-25 15:50</t>
        </is>
      </c>
      <c r="C365" s="3" t="inlineStr">
        <is>
          <t>Analista HSEQ</t>
        </is>
      </c>
      <c r="D365" s="3" t="inlineStr">
        <is>
          <t>Alianza Temporal S.A.S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HYPERLINK("https://co.computrabajo.com/ofertas-de-trabajo/oferta-de-trabajo-de-analista-hseq-en-bogota-dc-448326405347581761373E686DCF3405", "Ver Vacante")</f>
        <v/>
      </c>
      <c r="H365" s="6" t="inlineStr">
        <is>
          <t>$ 2.800.000,00 (Mensual)</t>
        </is>
      </c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04a62710351898c7</t>
        </is>
      </c>
      <c r="B366" s="2" t="inlineStr">
        <is>
          <t>2026-09-25 15:50</t>
        </is>
      </c>
      <c r="C366" s="3" t="inlineStr">
        <is>
          <t>Profesional en SST analista SIG</t>
        </is>
      </c>
      <c r="D366" s="3" t="inlineStr">
        <is>
          <t>MULTISOLUCIONES A&amp;A SAS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HYPERLINK("https://co.computrabajo.com/ofertas-de-trabajo/oferta-de-trabajo-de-profesional-en-sst-analista-sig-lunes-a-viernes-zona-alcazares-en-bogota-dc-44FDC591768D6E7361373E686DCF3405", "Ver Vacante")</f>
        <v/>
      </c>
      <c r="H366" s="6" t="inlineStr">
        <is>
          <t>$ 2.500.000,00 (Mensual)</t>
        </is>
      </c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c7446dc528c6d347</t>
        </is>
      </c>
      <c r="B367" s="2" t="inlineStr">
        <is>
          <t>2026-09-25 15:50</t>
        </is>
      </c>
      <c r="C367" s="3" t="inlineStr">
        <is>
          <t>Profesional en SST analista SIG</t>
        </is>
      </c>
      <c r="D367" s="3" t="inlineStr">
        <is>
          <t>MULTISOLUCIONES A&amp;A SAS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HYPERLINK("https://co.computrabajo.com/ofertas-de-trabajo/oferta-de-trabajo-de-profesional-en-sst-analista-sig-lunes-a-viernes-zona-alcazares-en-bogota-dc-1B88E58AD1C7CC5061373E686DCF3405", "Ver Vacante")</f>
        <v/>
      </c>
      <c r="H367" s="6" t="inlineStr">
        <is>
          <t>$ 2.500.000,00 (Mensual)</t>
        </is>
      </c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fbadbced248d18e1</t>
        </is>
      </c>
      <c r="B368" s="2" t="inlineStr">
        <is>
          <t>2026-09-25 15:50</t>
        </is>
      </c>
      <c r="C368" s="3" t="inlineStr">
        <is>
          <t>Consultor en Seguridad Vial</t>
        </is>
      </c>
      <c r="D368" s="3" t="inlineStr">
        <is>
          <t>CORPORACION SIGMA SAS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HYPERLINK("https://co.computrabajo.com/ofertas-de-trabajo/oferta-de-trabajo-de-consultor-en-seguridad-vial-pesv-y-gestion-del-riego-vial-en-bogota-dc-A22BEA7B6CD0ECAF61373E686DCF3405", "Ver Vacante")</f>
        <v/>
      </c>
      <c r="H368" s="6" t="inlineStr"/>
      <c r="I368" s="3" t="inlineStr">
        <is>
          <t>[Afinidad: 50/100 - Afinidad Moderada] Afinidad parcial en infraestructura vial y transporte.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f5f6fb5fa69e5858</t>
        </is>
      </c>
      <c r="B369" s="2" t="inlineStr">
        <is>
          <t>2026-09-25 15:50</t>
        </is>
      </c>
      <c r="C369" s="3" t="inlineStr">
        <is>
          <t>Analista SST</t>
        </is>
      </c>
      <c r="D369" s="3" t="inlineStr">
        <is>
          <t>S&amp;A Servicios y Asesorias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HYPERLINK("https://co.computrabajo.com/ofertas-de-trabajo/oferta-de-trabajo-de-analista-sst-medellin-en-medellin-08A3D3F6FA52C2AC61373E686DCF3405", "Ver Vacante")</f>
        <v/>
      </c>
      <c r="H369" s="6" t="inlineStr">
        <is>
          <t>$ 2.700.000,00 (Mensual)</t>
        </is>
      </c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6fd98edb1903dcca</t>
        </is>
      </c>
      <c r="B370" s="2" t="inlineStr">
        <is>
          <t>2026-09-25 15:50</t>
        </is>
      </c>
      <c r="C370" s="3" t="inlineStr">
        <is>
          <t>Analista SST para incapacidad</t>
        </is>
      </c>
      <c r="D370" s="3" t="inlineStr">
        <is>
          <t>PQP. Productos Quimicos Panamericanos S.A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HYPERLINK("https://co.computrabajo.com/ofertas-de-trabajo/oferta-de-trabajo-de-analista-sst-para-incapacidad-barranquilla-en-barranquilla-2ADE011329ECD43761373E686DCF3405",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541d99c3c6e9a353</t>
        </is>
      </c>
      <c r="B371" s="2" t="inlineStr">
        <is>
          <t>2026-09-25 15:50</t>
        </is>
      </c>
      <c r="C371" s="3" t="inlineStr">
        <is>
          <t>Analista de infraestructura i (redes/firewall) - presencial en bogotá</t>
        </is>
      </c>
      <c r="D371" s="3" t="inlineStr">
        <is>
          <t>Cinte Colombia SAS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HYPERLINK("https://www.elempleo.com/co/ofertas-trabajo/analista-de-infraestructura-i-redes-firewall-presencial-en-bogota-1886756899", "Ver Vacante")</f>
        <v/>
      </c>
      <c r="H371" s="6" t="inlineStr"/>
      <c r="I371" s="3" t="inlineStr">
        <is>
          <t>[Afinidad: 50/100 - Afinidad Moderada] Afinidad parcial en infraestructura vial y transporte.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03a8ea34d80e8a34</t>
        </is>
      </c>
      <c r="B372" s="2" t="inlineStr">
        <is>
          <t>2026-09-25 15:50</t>
        </is>
      </c>
      <c r="C372" s="3" t="inlineStr">
        <is>
          <t>Analista de seguridad y salud en el trabajo funza presencial</t>
        </is>
      </c>
      <c r="D372" s="3" t="inlineStr">
        <is>
          <t>Confidencial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HYPERLINK("https://www.elempleo.com/co/ofertas-trabajo/analista-de-seguridad-y-salud-en-el-trabajo-funza-presencial-1886725219",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540178b2a701337c</t>
        </is>
      </c>
      <c r="B373" s="2" t="inlineStr">
        <is>
          <t>2026-09-25 15:50</t>
        </is>
      </c>
      <c r="C373" s="3" t="inlineStr">
        <is>
          <t>Analista de seguridad y salud en el trabajo</t>
        </is>
      </c>
      <c r="D373" s="3" t="inlineStr">
        <is>
          <t>Confidencial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HYPERLINK("https://www.elempleo.com/co/ofertas-trabajo/analista-de-seguridad-y-salud-en-el-trabajo-1886770263",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e11ebdd67cc774e6</t>
        </is>
      </c>
      <c r="B374" s="2" t="inlineStr">
        <is>
          <t>2026-09-25 15:50</t>
        </is>
      </c>
      <c r="C374" s="3" t="inlineStr">
        <is>
          <t>Analista de seguridad y salud en el trabajo</t>
        </is>
      </c>
      <c r="D374" s="3" t="inlineStr">
        <is>
          <t>Confidencial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HYPERLINK("https://www.elempleo.com/co/ofertas-trabajo/analista-de-seguridad-y-salud-en-el-trabajo-1886767319",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bcff69a50f54e5a9</t>
        </is>
      </c>
      <c r="B375" s="2" t="inlineStr">
        <is>
          <t>2026-09-25 15:50</t>
        </is>
      </c>
      <c r="C375" s="3" t="inlineStr">
        <is>
          <t>Analista de seguridad y salud en el trabajo</t>
        </is>
      </c>
      <c r="D375" s="3" t="inlineStr">
        <is>
          <t>FLEXO SPRING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HYPERLINK("https://www.elempleo.com/co/ofertas-trabajo/analista-de-seguridad-y-salud-en-el-trabajo-1886763294",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7b7be0e160fd697a</t>
        </is>
      </c>
      <c r="B376" s="2" t="inlineStr">
        <is>
          <t>2026-09-25 15:50</t>
        </is>
      </c>
      <c r="C376" s="3" t="inlineStr">
        <is>
          <t>Analista de seguridad y salud en el trabajo</t>
        </is>
      </c>
      <c r="D376" s="3" t="inlineStr">
        <is>
          <t>DAVITA SAS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HYPERLINK("https://www.elempleo.com/co/ofertas-trabajo/analista-de-seguridad-y-salud-en-el-trabajo-1886744905",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953a9dbdeb50a536</t>
        </is>
      </c>
      <c r="B377" s="2" t="inlineStr">
        <is>
          <t>2026-09-25 15:50</t>
        </is>
      </c>
      <c r="C377" s="3" t="inlineStr">
        <is>
          <t>Líder de seguridad y salud en el trabajo-maní, casanare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HYPERLINK("https://www.elempleo.com/co/ofertas-trabajo/lider-de-seguridad-y-salud-en-el-trabajomani-casanare-1886766966",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1077a52c358d103c</t>
        </is>
      </c>
      <c r="B378" s="2" t="inlineStr">
        <is>
          <t>2026-09-25 15:50</t>
        </is>
      </c>
      <c r="C378" s="3" t="inlineStr">
        <is>
          <t>Analista de seguridad y salud en el trabajo</t>
        </is>
      </c>
      <c r="D378" s="3" t="inlineStr">
        <is>
          <t>FLEXO SPRING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HYPERLINK("https://www.elempleo.com/co/ofertas-trabajo/analista-de-seguridad-y-salud-en-el-trabajo-1886762820",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49485c38f90564f4</t>
        </is>
      </c>
      <c r="B379" s="2" t="inlineStr">
        <is>
          <t>2026-09-25 15:50</t>
        </is>
      </c>
      <c r="C379" s="3" t="inlineStr">
        <is>
          <t>Analista sst seguridad y salud den el trabajo // villavicencio meta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HYPERLINK("https://www.elempleo.com/co/ofertas-trabajo/analista-sst-seguridad-y-salud-den-el-trabajo-villavicencio-meta-1886739263",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3996788779b0f367</t>
        </is>
      </c>
      <c r="B380" s="2" t="inlineStr">
        <is>
          <t>2026-09-25 15:50</t>
        </is>
      </c>
      <c r="C380" s="3" t="inlineStr">
        <is>
          <t>Analista de sst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HYPERLINK("https://www.elempleo.com/co/ofertas-trabajo/analista-de-sst-1886750073",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a7b8c286017a1279</t>
        </is>
      </c>
      <c r="B381" s="2" t="inlineStr">
        <is>
          <t>2026-09-25 15:50</t>
        </is>
      </c>
      <c r="C381" s="3" t="inlineStr">
        <is>
          <t>Analista de medicina preventiva-sst</t>
        </is>
      </c>
      <c r="D381" s="3" t="inlineStr">
        <is>
          <t>ORGANIZACION GEN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HYPERLINK("https://www.elempleo.com/co/ofertas-trabajo/analista-de-medicina-preventivasst-1886767891",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cb5259b3fda206ce</t>
        </is>
      </c>
      <c r="B382" s="2" t="inlineStr">
        <is>
          <t>2026-09-25 15:50</t>
        </is>
      </c>
      <c r="C382" s="3" t="inlineStr">
        <is>
          <t>Analista hseq</t>
        </is>
      </c>
      <c r="D382" s="3" t="inlineStr">
        <is>
          <t>Confidencial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HYPERLINK("https://www.elempleo.com/co/ofertas-trabajo/analista-hseq-1886768704",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2833e263103c1333</t>
        </is>
      </c>
      <c r="B383" s="2" t="inlineStr">
        <is>
          <t>2026-09-25 15:50</t>
        </is>
      </c>
      <c r="C383" s="3" t="inlineStr">
        <is>
          <t>Analista hseq tocancipa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HYPERLINK("https://www.elempleo.com/co/ofertas-trabajo/analista-hseq-tocancipa-1886712233",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dac638d1bd51c678</t>
        </is>
      </c>
      <c r="B384" s="2" t="inlineStr">
        <is>
          <t>2026-09-25 15:50</t>
        </is>
      </c>
      <c r="C384" s="3" t="inlineStr">
        <is>
          <t>Director proyectos e ingeniería</t>
        </is>
      </c>
      <c r="D384" s="3" t="inlineStr">
        <is>
          <t>SinapSer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HYPERLINK("https://www.elempleo.com/co/ofertas-trabajo/director-proyectos-e-ingenieria-1886749724", "Ver Vacante")</f>
        <v/>
      </c>
      <c r="H384" s="6" t="inlineStr"/>
      <c r="I3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6b6e8ba8ffb749b7</t>
        </is>
      </c>
      <c r="B385" s="2" t="inlineStr">
        <is>
          <t>2026-09-25 15:50</t>
        </is>
      </c>
      <c r="C385" s="3" t="inlineStr">
        <is>
          <t>Analista de seguridad vial</t>
        </is>
      </c>
      <c r="D385" s="3" t="inlineStr">
        <is>
          <t>FLEXITEMP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HYPERLINK("https://www.elempleo.com/co/ofertas-trabajo/analista-de-seguridad-vial-1886767093", "Ver Vacante")</f>
        <v/>
      </c>
      <c r="H385" s="6" t="inlineStr"/>
      <c r="I385" s="3" t="inlineStr">
        <is>
          <t>[Afinidad: 50/100 - Afinidad Moderada] Afinidad parcial en infraestructura vial y transporte.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c58d8d2ab06afb3e</t>
        </is>
      </c>
      <c r="B386" s="2" t="inlineStr">
        <is>
          <t>2026-09-25 15:50</t>
        </is>
      </c>
      <c r="C386" s="3" t="inlineStr">
        <is>
          <t>Lider corporativo de sst latam</t>
        </is>
      </c>
      <c r="D386" s="3" t="inlineStr">
        <is>
          <t>DISAN COLOMBIA S.A.S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HYPERLINK("https://www.elempleo.com/co/ofertas-trabajo/lider-corporativo-de-sst-latam-1886770796",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d9a45ecb5a281054</t>
        </is>
      </c>
      <c r="B387" s="2" t="inlineStr">
        <is>
          <t>2026-09-25 15:50</t>
        </is>
      </c>
      <c r="C387" s="3" t="inlineStr">
        <is>
          <t>Analista sst sector floricultor</t>
        </is>
      </c>
      <c r="D387" s="3" t="inlineStr">
        <is>
          <t>AGENCIA DE EMPLEO CAFAM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HYPERLINK("https://www.elempleo.com/co/ofertas-trabajo/analista-sst-sector-floricultor-1886753404",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4d7fa5b437ae0bb5</t>
        </is>
      </c>
      <c r="B388" s="2" t="inlineStr">
        <is>
          <t>2026-09-25 15:50</t>
        </is>
      </c>
      <c r="C388" s="3" t="inlineStr">
        <is>
          <t>Analista sst - santa marta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HYPERLINK("https://www.elempleo.com/co/ofertas-trabajo/analista-sst-santa-marta-1886765312",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0924285e67d45615</t>
        </is>
      </c>
      <c r="B389" s="2" t="inlineStr">
        <is>
          <t>2026-09-25 15:50</t>
        </is>
      </c>
      <c r="C389" s="3" t="inlineStr">
        <is>
          <t>Analista de sst- tabio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HYPERLINK("https://www.elempleo.com/co/ofertas-trabajo/analista-de-sst-tabio-1886757209",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a0b1ddd1068c41b6</t>
        </is>
      </c>
      <c r="B390" s="2" t="inlineStr">
        <is>
          <t>2026-09-25 15:50</t>
        </is>
      </c>
      <c r="C390" s="3" t="inlineStr">
        <is>
          <t>Analista de sst</t>
        </is>
      </c>
      <c r="D390" s="3" t="inlineStr">
        <is>
          <t>ALCIAUTOS SAS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HYPERLINK("https://www.elempleo.com/co/ofertas-trabajo/analista-de-sst-1886755902",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0e8e9e5f8fd1279f</t>
        </is>
      </c>
      <c r="B391" s="2" t="inlineStr">
        <is>
          <t>2026-09-25 15:50</t>
        </is>
      </c>
      <c r="C391" s="3" t="inlineStr">
        <is>
          <t>Analista de seguridad y salud en el trabajo</t>
        </is>
      </c>
      <c r="D391" s="3" t="inlineStr">
        <is>
          <t>Confidencial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HYPERLINK("https://www.elempleo.com/co/ofertas-trabajo/analista-de-seguridad-y-salud-en-el-trabajo-1886745959",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3f516439681196e6</t>
        </is>
      </c>
      <c r="B392" s="2" t="inlineStr">
        <is>
          <t>2026-09-25 15:50</t>
        </is>
      </c>
      <c r="C392" s="3" t="inlineStr">
        <is>
          <t>Analista de sst</t>
        </is>
      </c>
      <c r="D392" s="3" t="inlineStr">
        <is>
          <t>ALCIAUTOS SAS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HYPERLINK("https://www.elempleo.com/co/ofertas-trabajo/analista-de-sst-1886766524",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431b016f24a1f2e7</t>
        </is>
      </c>
      <c r="B393" s="2" t="inlineStr">
        <is>
          <t>2026-09-25 15:50</t>
        </is>
      </c>
      <c r="C393" s="3" t="inlineStr">
        <is>
          <t>Analista de hseq</t>
        </is>
      </c>
      <c r="D393" s="3" t="inlineStr">
        <is>
          <t>DHL SUPPLY CHAIN COLOMBIA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HYPERLINK("https://www.elempleo.com/co/ofertas-trabajo/analista-de-hseq-1886756771",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a3bc4d60e4d02902</t>
        </is>
      </c>
      <c r="B394" s="2" t="inlineStr">
        <is>
          <t>2026-09-25 15:50</t>
        </is>
      </c>
      <c r="C394" s="3" t="inlineStr">
        <is>
          <t>Cali - consultor integral sistemas de gestion sst - con licencia en sst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HYPERLINK("https://www.elempleo.com/co/ofertas-trabajo/cali-consultor-integral-sistemas-de-gestion-sst-con-licencia-en-sst-1886771972",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5a6dfbb47030360b</t>
        </is>
      </c>
      <c r="B395" s="2" t="inlineStr">
        <is>
          <t>2026-09-25 15:50</t>
        </is>
      </c>
      <c r="C395" s="3" t="inlineStr">
        <is>
          <t>Analista sst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HYPERLINK("https://www.elempleo.com/co/ofertas-trabajo/analista-sst-1886749305",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d9cfb72d0a715a59</t>
        </is>
      </c>
      <c r="B396" s="2" t="inlineStr">
        <is>
          <t>2026-09-25 15:50</t>
        </is>
      </c>
      <c r="C396" s="3" t="inlineStr">
        <is>
          <t>Analista hse</t>
        </is>
      </c>
      <c r="D396" s="3" t="inlineStr">
        <is>
          <t>MTS Administración total S.A.S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HYPERLINK("https://www.elempleo.com/co/ofertas-trabajo/analista-hse-1886746749",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40841d71c43f1222</t>
        </is>
      </c>
      <c r="B397" s="2" t="inlineStr">
        <is>
          <t>2026-09-25 15:50</t>
        </is>
      </c>
      <c r="C397" s="3" t="inlineStr">
        <is>
          <t>Analista hse / bogotá</t>
        </is>
      </c>
      <c r="D397" s="3" t="inlineStr">
        <is>
          <t>MTS Administración total S.A.S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HYPERLINK("https://www.elempleo.com/co/ofertas-trabajo/analista-hse-bogota-1886747171",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c3ac919add19223e</t>
        </is>
      </c>
      <c r="B398" s="2" t="inlineStr">
        <is>
          <t>2026-09-25 15:50</t>
        </is>
      </c>
      <c r="C398" s="3" t="inlineStr">
        <is>
          <t>Auxiliar hseq / obra vivienda técnicos y/o tecnólogos fusagasuga y al rededores</t>
        </is>
      </c>
      <c r="D398" s="3" t="inlineStr">
        <is>
          <t>OIKOS S.A.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HYPERLINK("https://www.elempleo.com/co/ofertas-trabajo/auxiliar-hseq-obra-vivienda-tecnicos-y-o-tecnologos-fusagasuga-y-al-rededores-1886755940",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081f1cdd6c603c67</t>
        </is>
      </c>
      <c r="B399" s="2" t="inlineStr">
        <is>
          <t>2026-09-25 15:50</t>
        </is>
      </c>
      <c r="C399" s="3" t="inlineStr">
        <is>
          <t>Coordinado/a de hseq tecnico / tecnologo</t>
        </is>
      </c>
      <c r="D399" s="3" t="inlineStr">
        <is>
          <t>GI GROUP STAFFING S.A.S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HYPERLINK("https://www.elempleo.com/co/ofertas-trabajo/coordinado-a-de-hseq-tecnico-tecnologo-1886753906",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fda7dd0065c71794</t>
        </is>
      </c>
      <c r="B400" s="2" t="inlineStr">
        <is>
          <t>2026-09-25 15:50</t>
        </is>
      </c>
      <c r="C400" s="3" t="inlineStr">
        <is>
          <t>Analista de logística e infraestructura</t>
        </is>
      </c>
      <c r="D400" s="3" t="inlineStr">
        <is>
          <t>Compañía Aseguradora de Fianzas - Seguros Confianza S.A.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HYPERLINK("https://www.elempleo.com/co/ofertas-trabajo/analista-de-logistica-e-infraestructura-1886755686", "Ver Vacante")</f>
        <v/>
      </c>
      <c r="H400" s="6" t="inlineStr"/>
      <c r="I400" s="3" t="inlineStr">
        <is>
          <t>[Afinidad: 50/100 - Afinidad Moderada] Afinidad parcial en infraestructura vial y transporte.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06ac12af82c8f553</t>
        </is>
      </c>
      <c r="B401" s="2" t="inlineStr">
        <is>
          <t>2026-09-25 15:50</t>
        </is>
      </c>
      <c r="C401" s="3" t="inlineStr">
        <is>
          <t>Analista de seguridad y salud en el trabajo</t>
        </is>
      </c>
      <c r="D401" s="3" t="inlineStr">
        <is>
          <t>Agaval S.A.</t>
        </is>
      </c>
      <c r="E401" s="7" t="n">
        <v>0.5</v>
      </c>
      <c r="F401" s="2" t="inlineStr">
        <is>
          <t>Remoto</t>
        </is>
      </c>
      <c r="G401" s="5">
        <f>HYPERLINK("https://co.linkedin.com/jobs/view/analista-de-seguridad-y-salud-en-el-trabajo-at-agaval-s-a-4470416741",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dbdcc9c937f7fac0</t>
        </is>
      </c>
      <c r="B402" s="2" t="inlineStr">
        <is>
          <t>2026-09-25 15:50</t>
        </is>
      </c>
      <c r="C402" s="3" t="inlineStr">
        <is>
          <t>Técnico/Analista HSE - Vacante Inclusiva PCD</t>
        </is>
      </c>
      <c r="D402" s="3" t="inlineStr">
        <is>
          <t>Unisys</t>
        </is>
      </c>
      <c r="E402" s="7" t="n">
        <v>0.5</v>
      </c>
      <c r="F402" s="2" t="inlineStr">
        <is>
          <t>Remoto</t>
        </is>
      </c>
      <c r="G402" s="5">
        <f>HYPERLINK("https://co.linkedin.com/jobs/view/t%C3%A9cnico-analista-hse-vacante-inclusiva-pcd-at-unisys-4460766616",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dc76c168bb90e870</t>
        </is>
      </c>
      <c r="B403" s="2" t="inlineStr">
        <is>
          <t>2026-09-25 15:50</t>
        </is>
      </c>
      <c r="C403" s="3" t="inlineStr">
        <is>
          <t>Analista SST</t>
        </is>
      </c>
      <c r="D403" s="3" t="inlineStr">
        <is>
          <t>Constructora Las Galias</t>
        </is>
      </c>
      <c r="E403" s="7" t="n">
        <v>0.5</v>
      </c>
      <c r="F403" s="2" t="inlineStr">
        <is>
          <t>Remoto</t>
        </is>
      </c>
      <c r="G403" s="5">
        <f>HYPERLINK("https://co.linkedin.com/jobs/view/analista-sst-at-constructora-las-galias-4456720035",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ab0b8a02ee89c538</t>
        </is>
      </c>
      <c r="B404" s="2" t="inlineStr">
        <is>
          <t>2026-09-25 15:50</t>
        </is>
      </c>
      <c r="C404" s="3" t="inlineStr">
        <is>
          <t>Analista de seguridad y salud en el trabajo</t>
        </is>
      </c>
      <c r="D404" s="3" t="inlineStr">
        <is>
          <t>DaVita Colombia</t>
        </is>
      </c>
      <c r="E404" s="7" t="n">
        <v>0.5</v>
      </c>
      <c r="F404" s="2" t="inlineStr">
        <is>
          <t>Remoto</t>
        </is>
      </c>
      <c r="G404" s="5">
        <f>HYPERLINK("https://co.linkedin.com/jobs/view/analista-de-seguridad-y-salud-en-el-trabajo-at-davita-colombia-4453103338",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461d2d2e2c8db03a</t>
        </is>
      </c>
      <c r="B405" s="2" t="inlineStr">
        <is>
          <t>2026-09-25 15:50</t>
        </is>
      </c>
      <c r="C405" s="3" t="inlineStr">
        <is>
          <t>Analista Sst Y Sg</t>
        </is>
      </c>
      <c r="D405" s="3" t="inlineStr">
        <is>
          <t>GLOBAL LOGÍSTICA DE TRANSPORTE S.A.S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HYPERLINK("https://co.linkedin.com/jobs/view/analista-sst-y-sg-at-global-log%C3%ADstica-de-transporte-s-a-s-4467897164",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c39a6537e6eea06b</t>
        </is>
      </c>
      <c r="B406" s="2" t="inlineStr">
        <is>
          <t>2026-09-25 15:50</t>
        </is>
      </c>
      <c r="C406" s="3" t="inlineStr">
        <is>
          <t>Analista SST y SG</t>
        </is>
      </c>
      <c r="D406" s="3" t="inlineStr">
        <is>
          <t>GLOBAL LOGÍSTICA DE TRANSPORTE S.A.S</t>
        </is>
      </c>
      <c r="E406" s="7" t="n">
        <v>0.5</v>
      </c>
      <c r="F406" s="2" t="inlineStr">
        <is>
          <t>Remoto</t>
        </is>
      </c>
      <c r="G406" s="5">
        <f>HYPERLINK("https://co.linkedin.com/jobs/view/analista-sst-y-sg-at-global-log%C3%ADstica-de-transporte-s-a-s-4468342327",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a084c2779add376e</t>
        </is>
      </c>
      <c r="B407" s="2" t="inlineStr">
        <is>
          <t>2026-09-25 15:50</t>
        </is>
      </c>
      <c r="C407" s="3" t="inlineStr">
        <is>
          <t>ANALISTA SST</t>
        </is>
      </c>
      <c r="D407" s="3" t="inlineStr">
        <is>
          <t>DHL Supply Chain</t>
        </is>
      </c>
      <c r="E407" s="7" t="n">
        <v>0.5</v>
      </c>
      <c r="F407" s="2" t="inlineStr">
        <is>
          <t>Remoto</t>
        </is>
      </c>
      <c r="G407" s="5">
        <f>HYPERLINK("https://co.linkedin.com/jobs/view/analista-sst-at-dhl-supply-chain-4464420416",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b346821234375c6b</t>
        </is>
      </c>
      <c r="B408" s="2" t="inlineStr">
        <is>
          <t>2026-09-25 15:50</t>
        </is>
      </c>
      <c r="C408" s="3" t="inlineStr">
        <is>
          <t>Tecnologo o tecnico en salud ocupacional</t>
        </is>
      </c>
      <c r="D408" s="3" t="inlineStr">
        <is>
          <t>Llanopozos sa</t>
        </is>
      </c>
      <c r="E408" s="7" t="n">
        <v>0.5</v>
      </c>
      <c r="F408" s="2" t="inlineStr">
        <is>
          <t>Remoto</t>
        </is>
      </c>
      <c r="G408" s="5">
        <f>HYPERLINK("https://co.linkedin.com/jobs/view/tecnologo-o-tecnico-en-salud-ocupacional-4471620635",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18698a98a0559ee4</t>
        </is>
      </c>
      <c r="B409" s="2" t="inlineStr">
        <is>
          <t>2026-09-25 15:50</t>
        </is>
      </c>
      <c r="C409" s="3" t="inlineStr">
        <is>
          <t>ANALISTA - SST</t>
        </is>
      </c>
      <c r="D409" s="3" t="inlineStr">
        <is>
          <t>Gerleinco SAS</t>
        </is>
      </c>
      <c r="E409" s="7" t="n">
        <v>0.5</v>
      </c>
      <c r="F409" s="2" t="inlineStr">
        <is>
          <t>Remoto</t>
        </is>
      </c>
      <c r="G409" s="5">
        <f>HYPERLINK("https://co.linkedin.com/jobs/view/analista-sst-at-gerleinco-sas-4468331526",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61d593970cdc1eb0</t>
        </is>
      </c>
      <c r="B410" s="2" t="inlineStr">
        <is>
          <t>2026-09-25 15:50</t>
        </is>
      </c>
      <c r="C410" s="3" t="inlineStr">
        <is>
          <t>Analista Seguridad Vial</t>
        </is>
      </c>
      <c r="D410" s="3" t="inlineStr">
        <is>
          <t>Improve Solutions S.A.S.</t>
        </is>
      </c>
      <c r="E410" s="7" t="n">
        <v>0.5</v>
      </c>
      <c r="F410" s="2" t="inlineStr">
        <is>
          <t>Remoto</t>
        </is>
      </c>
      <c r="G410" s="5">
        <f>HYPERLINK("https://co.linkedin.com/jobs/view/analista-seguridad-vial-at-improve-solutions-s-a-s-4463145618", "Ver Vacante")</f>
        <v/>
      </c>
      <c r="H410" s="6" t="inlineStr"/>
      <c r="I410" s="3" t="inlineStr">
        <is>
          <t>[Afinidad: 50/100 - Afinidad Moderada] Afinidad parcial en infraestructura vial y transporte.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7b3bcbac47723cda</t>
        </is>
      </c>
      <c r="B411" s="2" t="inlineStr">
        <is>
          <t>2026-09-25 15:50</t>
        </is>
      </c>
      <c r="C411" s="3" t="inlineStr">
        <is>
          <t>Analista de SST Bogotá</t>
        </is>
      </c>
      <c r="D411" s="3" t="inlineStr">
        <is>
          <t>X-Cargo</t>
        </is>
      </c>
      <c r="E411" s="7" t="n">
        <v>0.5</v>
      </c>
      <c r="F411" s="2" t="inlineStr">
        <is>
          <t>Remoto</t>
        </is>
      </c>
      <c r="G411" s="5">
        <f>HYPERLINK("https://co.linkedin.com/jobs/view/analista-de-sst-bogot%C3%A1-at-x-cargo-4470414820",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76e9e10e6636e900</t>
        </is>
      </c>
      <c r="B412" s="2" t="inlineStr">
        <is>
          <t>2026-09-25 15:50</t>
        </is>
      </c>
      <c r="C412" s="3" t="inlineStr">
        <is>
          <t>Líder de Interventoría Civil</t>
        </is>
      </c>
      <c r="D412" s="3" t="inlineStr">
        <is>
          <t>Erco Energía</t>
        </is>
      </c>
      <c r="E412" s="7" t="n">
        <v>0.5</v>
      </c>
      <c r="F412" s="2" t="inlineStr">
        <is>
          <t>Remoto</t>
        </is>
      </c>
      <c r="G412" s="5">
        <f>HYPERLINK("https://co.linkedin.com/jobs/view/l%C3%ADder-de-interventor%C3%ADa-civil-at-erco-energ%C3%ADa-4471619395", "Ver Vacante")</f>
        <v/>
      </c>
      <c r="H412" s="6" t="inlineStr"/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6f437a27b6511e2d</t>
        </is>
      </c>
      <c r="B413" s="2" t="inlineStr">
        <is>
          <t>2026-09-26 15:00</t>
        </is>
      </c>
      <c r="C413" s="3" t="inlineStr">
        <is>
          <t>Analista HSEQ</t>
        </is>
      </c>
      <c r="D413" s="3" t="inlineStr">
        <is>
          <t>Alianza Temporal S.A.S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HYPERLINK("https://co.computrabajo.com/ofertas-de-trabajo/oferta-de-trabajo-de-analista-hseq-en-bogota-dc-E4BED3252AF449C661373E686DCF3405", "Ver Vacante")</f>
        <v/>
      </c>
      <c r="H413" s="6" t="inlineStr">
        <is>
          <t>$ 2.800.000,00 (Mensual)</t>
        </is>
      </c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8e91529f2772c72c</t>
        </is>
      </c>
      <c r="B414" s="2" t="inlineStr">
        <is>
          <t>2026-09-26 15:00</t>
        </is>
      </c>
      <c r="C414" s="3" t="inlineStr">
        <is>
          <t>Analista SST</t>
        </is>
      </c>
      <c r="D414" s="3" t="inlineStr">
        <is>
          <t>Importante empresa del sector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HYPERLINK("https://co.computrabajo.com/ofertas-de-trabajo/oferta-de-trabajo-de-analista-sst-con-experiencia-en-barranquilla-6CA31CFAD0482DD661373E686DCF3405", "Ver Vacante")</f>
        <v/>
      </c>
      <c r="H414" s="6" t="inlineStr">
        <is>
          <t>$ 2.200.000,00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13f03ff01ddce4a7</t>
        </is>
      </c>
      <c r="B415" s="2" t="inlineStr">
        <is>
          <t>2026-09-26 15:00</t>
        </is>
      </c>
      <c r="C415" s="3" t="inlineStr">
        <is>
          <t>Analista SST</t>
        </is>
      </c>
      <c r="D415" s="3" t="inlineStr">
        <is>
          <t>TECNO FUEGO S.A.S.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HYPERLINK("https://co.computrabajo.com/ofertas-de-trabajo/oferta-de-trabajo-de-analista-sst-barranquilla-en-barranquilla-32BBEEDAA6E18BE461373E686DCF3405", "Ver Vacante")</f>
        <v/>
      </c>
      <c r="H415" s="6" t="inlineStr">
        <is>
          <t>$ 1.939.999,00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28b598355a120cb3</t>
        </is>
      </c>
      <c r="B416" s="2" t="inlineStr">
        <is>
          <t>2026-09-26 15:00</t>
        </is>
      </c>
      <c r="C416" s="3" t="inlineStr">
        <is>
          <t>Tecnico o tecnologo en seguridad y salud en el trabajo</t>
        </is>
      </c>
      <c r="D416" s="3" t="inlineStr">
        <is>
          <t>ABOGADOS TRIANA SAS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HYPERLINK("https://www.elempleo.com/co/ofertas-trabajo/tecnico-o-tecnologo-en-seguridad-y-salud-en-el-trabajo-1886771946",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617d4224f3e92d29</t>
        </is>
      </c>
      <c r="B417" s="2" t="inlineStr">
        <is>
          <t>2026-09-26 15:00</t>
        </is>
      </c>
      <c r="C417" s="3" t="inlineStr">
        <is>
          <t>Cali - consultor de sistemas de gestion sst independiente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HYPERLINK("https://www.elempleo.com/co/ofertas-trabajo/cali-consultor-de-sistemas-de-gestion-sst-independiente-1886772687",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8bd71be8a3c31a17</t>
        </is>
      </c>
      <c r="B418" s="2" t="inlineStr">
        <is>
          <t>2026-09-26 15:00</t>
        </is>
      </c>
      <c r="C418" s="3" t="inlineStr">
        <is>
          <t>Coordinado/a de hseq tecnico / tecnologo</t>
        </is>
      </c>
      <c r="D418" s="3" t="inlineStr">
        <is>
          <t>GI GROUP STAFFING S.A.S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HYPERLINK("https://www.elempleo.com/co/ofertas-trabajo/coordinado-a-de-hseq-tecnico-tecnologo-licencia-de-maternidad-1886755960",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48a32ee00e933602</t>
        </is>
      </c>
      <c r="B419" s="2" t="inlineStr">
        <is>
          <t>2026-09-26 15:00</t>
        </is>
      </c>
      <c r="C419" s="3" t="inlineStr">
        <is>
          <t>Líder de HSE Funza</t>
        </is>
      </c>
      <c r="D419" s="3" t="inlineStr">
        <is>
          <t>Coaspharma</t>
        </is>
      </c>
      <c r="E419" s="7" t="n">
        <v>0.5</v>
      </c>
      <c r="F419" s="2" t="inlineStr">
        <is>
          <t>Remoto</t>
        </is>
      </c>
      <c r="G419" s="5">
        <f>HYPERLINK("https://co.linkedin.com/jobs/view/l%C3%ADder-de-hse-funza-at-coaspharma-4472206802",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158d52d234c03ea0</t>
        </is>
      </c>
      <c r="B420" s="2" t="inlineStr">
        <is>
          <t>2026-09-27 15:38</t>
        </is>
      </c>
      <c r="C420" s="3" t="inlineStr">
        <is>
          <t>Analista HSEQ</t>
        </is>
      </c>
      <c r="D420" s="3" t="inlineStr">
        <is>
          <t>Adecco Colombia S.A.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HYPERLINK("https://co.computrabajo.com/ofertas-de-trabajo/oferta-de-trabajo-de-analista-hseq-bogota-en-bogota-dc-0AD6A8A7D12FF6DE61373E686DCF3405", "Ver Vacante")</f>
        <v/>
      </c>
      <c r="H420" s="6" t="inlineStr">
        <is>
          <t>$ 2.320.000,00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182f0845a966ef19</t>
        </is>
      </c>
      <c r="B421" s="2" t="inlineStr">
        <is>
          <t>2026-09-27 15:38</t>
        </is>
      </c>
      <c r="C421" s="3" t="inlineStr">
        <is>
          <t>Analista Seguridad Vial</t>
        </is>
      </c>
      <c r="D421" s="3" t="inlineStr">
        <is>
          <t>IMPROVE SOLUTIONS S.A.S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HYPERLINK("https://co.computrabajo.com/ofertas-de-trabajo/oferta-de-trabajo-de-analista-seguridad-vial-en-cucuta-8D0599AAE93B7BDB61373E686DCF3405", "Ver Vacante")</f>
        <v/>
      </c>
      <c r="H421" s="6" t="inlineStr"/>
      <c r="I421" s="3" t="inlineStr">
        <is>
          <t>[Afinidad: 50/100 - Afinidad Moderada] Afinidad parcial en infraestructura vial y transporte.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a7b55fd269df3a50</t>
        </is>
      </c>
      <c r="B422" s="2" t="inlineStr">
        <is>
          <t>2026-09-27 15:38</t>
        </is>
      </c>
      <c r="C422" s="3" t="inlineStr">
        <is>
          <t>Analista de Seguridad y Salud en el Trabajo</t>
        </is>
      </c>
      <c r="D422" s="3" t="inlineStr">
        <is>
          <t>Importante empresa del sector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HYPERLINK("https://co.computrabajo.com/ofertas-de-trabajo/oferta-de-trabajo-de-analista-de-seguridad-y-salud-en-el-trabajo-en-girardota-FCB0DBA2EE5A9F3C61373E686DCF3405", "Ver Vacante")</f>
        <v/>
      </c>
      <c r="H422" s="6" t="inlineStr">
        <is>
          <t>$ 2.800.000,00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665bd61e41f51bda</t>
        </is>
      </c>
      <c r="B423" s="2" t="inlineStr">
        <is>
          <t>2026-09-27 15:38</t>
        </is>
      </c>
      <c r="C423" s="3" t="inlineStr">
        <is>
          <t>Director de interventoría / Mosquera, Cundinamarca</t>
        </is>
      </c>
      <c r="D423" s="3" t="inlineStr">
        <is>
          <t>Importante empresa del sector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HYPERLINK("https://co.computrabajo.com/ofertas-de-trabajo/oferta-de-trabajo-de-director-de-interventoria-mosquera-cundinamarca-en-mosquera-097873138F684A0161373E686DCF3405", "Ver Vacante")</f>
        <v/>
      </c>
      <c r="H423" s="6" t="inlineStr">
        <is>
          <t>$ 7.300.000,00 (Mensual)</t>
        </is>
      </c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2d7943b278e48a1f</t>
        </is>
      </c>
      <c r="B424" s="2" t="inlineStr">
        <is>
          <t>2026-09-27 15:38</t>
        </is>
      </c>
      <c r="C424" s="3" t="inlineStr">
        <is>
          <t>Analista de seguridad y salud en el trabajo</t>
        </is>
      </c>
      <c r="D424" s="3" t="inlineStr">
        <is>
          <t>Fundación Santa Fe de Bogotá</t>
        </is>
      </c>
      <c r="E424" s="7" t="n">
        <v>0.5</v>
      </c>
      <c r="F424" s="2" t="inlineStr">
        <is>
          <t>Remoto</t>
        </is>
      </c>
      <c r="G424" s="5">
        <f>HYPERLINK("https://www.elempleo.com/co/ofertas-trabajo/analista-de-seguridad-y-salud-en-el-trabajo-1886761626",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56bbeddd14532a1d</t>
        </is>
      </c>
      <c r="B425" s="2" t="inlineStr">
        <is>
          <t>2026-09-27 15:38</t>
        </is>
      </c>
      <c r="C425" s="3" t="inlineStr">
        <is>
          <t>Ingeniero de infraestructura ti / siberia - tenjo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HYPERLINK("https://www.elempleo.com/co/ofertas-trabajo/ingeniero-de-infraestructura-ti-siberia-tenjo-1886757026", "Ver Vacante")</f>
        <v/>
      </c>
      <c r="H425" s="6" t="inlineStr"/>
      <c r="I425" s="3" t="inlineStr">
        <is>
          <t>[Afinidad: 50/100 - Afinidad Moderada] Afinidad parcial en infraestructura vial y transporte.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fb9d1689e52df06d</t>
        </is>
      </c>
      <c r="B426" s="2" t="inlineStr">
        <is>
          <t>2026-09-28 18:33</t>
        </is>
      </c>
      <c r="C426" s="3" t="inlineStr">
        <is>
          <t>Analista HSEQ</t>
        </is>
      </c>
      <c r="D426" s="3" t="inlineStr">
        <is>
          <t>Alianza Temporal S.A.S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HYPERLINK("https://co.computrabajo.com/ofertas-de-trabajo/oferta-de-trabajo-de-analista-hseq-en-bogota-dc-60F9287F0E0927AA61373E686DCF3405", "Ver Vacante")</f>
        <v/>
      </c>
      <c r="H426" s="6" t="inlineStr">
        <is>
          <t>$ 2.800.000,00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a126bb419c79df7e</t>
        </is>
      </c>
      <c r="B427" s="2" t="inlineStr">
        <is>
          <t>2026-09-28 18:33</t>
        </is>
      </c>
      <c r="C427" s="3" t="inlineStr">
        <is>
          <t>Analista hseq</t>
        </is>
      </c>
      <c r="D427" s="3" t="inlineStr">
        <is>
          <t>COLOMBIANA DE BITUMEN S.A.S.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HYPERLINK("https://co.computrabajo.com/ofertas-de-trabajo/oferta-de-trabajo-de-analista-hseq-turno-20x10-en-barrancabermeja-61259FD10ECADDAA61373E686DCF3405", "Ver Vacante")</f>
        <v/>
      </c>
      <c r="H427" s="6" t="inlineStr">
        <is>
          <t>$ 2.920.000,00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e5bfaf2c54afe6e9</t>
        </is>
      </c>
      <c r="B428" s="2" t="inlineStr">
        <is>
          <t>2026-09-28 18:33</t>
        </is>
      </c>
      <c r="C428" s="3" t="inlineStr">
        <is>
          <t>Técnico de Seguridad Vial</t>
        </is>
      </c>
      <c r="D428" s="3" t="inlineStr">
        <is>
          <t>Grupo emi S.A.S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HYPERLINK("https://co.computrabajo.com/ofertas-de-trabajo/oferta-de-trabajo-de-tecnico-de-seguridad-vial-motorizado-bogota-en-bogota-dc-72F1AE2DD8173FE461373E686DCF3405", "Ver Vacante")</f>
        <v/>
      </c>
      <c r="H428" s="6" t="inlineStr">
        <is>
          <t>$ 2.300.000,00 (Mensual)</t>
        </is>
      </c>
      <c r="I428" s="3" t="inlineStr">
        <is>
          <t>[Afinidad: 50/100 - Afinidad Moderada] Afinidad parcial en infraestructura vial y transporte.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e13fffd506305725</t>
        </is>
      </c>
      <c r="B429" s="2" t="inlineStr">
        <is>
          <t>2026-09-28 18:33</t>
        </is>
      </c>
      <c r="C429" s="3" t="inlineStr">
        <is>
          <t>Líder HSEQ</t>
        </is>
      </c>
      <c r="D429" s="3" t="inlineStr">
        <is>
          <t>RH GROUP S.A.S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HYPERLINK("https://co.computrabajo.com/ofertas-de-trabajo/oferta-de-trabajo-de-lider-hseq-transporte-de-carga-en-bogota-dc-F5737E43A93B5BC961373E686DCF3405", "Ver Vacante")</f>
        <v/>
      </c>
      <c r="H429" s="6" t="inlineStr">
        <is>
          <t>$ 4.000.000,00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ce9df04fc55e902d</t>
        </is>
      </c>
      <c r="B430" s="2" t="inlineStr">
        <is>
          <t>2026-09-28 18:33</t>
        </is>
      </c>
      <c r="C430" s="3" t="inlineStr">
        <is>
          <t>Analista hseq-mosquera/</t>
        </is>
      </c>
      <c r="D430" s="3" t="inlineStr">
        <is>
          <t>AGENCIA DE EMPLEO Y FOMENTO EMPRESARIAL COMPENSAR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HYPERLINK("https://www.elempleo.com/co/ofertas-trabajo/analista-hseqmosquera-1886771003",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6f8eabfbc4ec3e41</t>
        </is>
      </c>
      <c r="B431" s="2" t="inlineStr">
        <is>
          <t>2026-09-28 18:33</t>
        </is>
      </c>
      <c r="C431" s="3" t="inlineStr">
        <is>
          <t>Analista HSE</t>
        </is>
      </c>
      <c r="D431" s="3" t="inlineStr">
        <is>
          <t>AEROSAN Airport Services S.A.</t>
        </is>
      </c>
      <c r="E431" s="7" t="n">
        <v>0.5</v>
      </c>
      <c r="F431" s="2" t="inlineStr">
        <is>
          <t>Remoto</t>
        </is>
      </c>
      <c r="G431" s="5">
        <f>HYPERLINK("https://co.linkedin.com/jobs/view/analista-hse-at-aerosan-airport-services-s-a-4468581761",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aa1853d76c5c5ed9</t>
        </is>
      </c>
      <c r="B432" s="2" t="inlineStr">
        <is>
          <t>2026-09-29 16:56</t>
        </is>
      </c>
      <c r="C432" s="3" t="inlineStr">
        <is>
          <t>Consultor ambiental y seguridad y salud en el trabajo</t>
        </is>
      </c>
      <c r="D432" s="3" t="inlineStr">
        <is>
          <t>MEZZA Y CIA LTDA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HYPERLINK("https://co.computrabajo.com/ofertas-de-trabajo/oferta-de-trabajo-de-consultor-ambiental-y-seguridad-y-salud-en-el-trabajo-en-bogota-dc-A14DC14AA2298CCB61373E686DCF3405", "Ver Vacante")</f>
        <v/>
      </c>
      <c r="H432" s="6" t="inlineStr">
        <is>
          <t>$ 2.680.001,00 (Mensual)</t>
        </is>
      </c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86201a8c69fe5815</t>
        </is>
      </c>
      <c r="B433" s="2" t="inlineStr">
        <is>
          <t>2026-09-29 16:56</t>
        </is>
      </c>
      <c r="C433" s="3" t="inlineStr">
        <is>
          <t>Analista de SST y Ambiental</t>
        </is>
      </c>
      <c r="D433" s="3" t="inlineStr">
        <is>
          <t>Importante empresa del sector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HYPERLINK("https://co.computrabajo.com/ofertas-de-trabajo/oferta-de-trabajo-de-analista-de-sst-y-ambiental-en-medellin-0895E6B31FC4695061373E686DCF3405", "Ver Vacante")</f>
        <v/>
      </c>
      <c r="H433" s="6" t="inlineStr">
        <is>
          <t>$ 2.200.000,00 (Mensual)</t>
        </is>
      </c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46e9717e44c22e27</t>
        </is>
      </c>
      <c r="B434" s="2" t="inlineStr">
        <is>
          <t>2026-09-29 16:56</t>
        </is>
      </c>
      <c r="C434" s="3" t="inlineStr">
        <is>
          <t>Analista HSEQ</t>
        </is>
      </c>
      <c r="D434" s="3" t="inlineStr">
        <is>
          <t>Transportes Especializados JR SAS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HYPERLINK("https://co.computrabajo.com/ofertas-de-trabajo/oferta-de-trabajo-de-analista-hseq-sector-ganadero-y-hotelero-en-villavicencio-D5D82FF691ED940C61373E686DCF3405",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cf4dd25358e73581</t>
        </is>
      </c>
      <c r="B435" s="2" t="inlineStr">
        <is>
          <t>2026-09-29 16:56</t>
        </is>
      </c>
      <c r="C435" s="3" t="inlineStr">
        <is>
          <t>Auxiliar SST Técnico y/o tecnólogo</t>
        </is>
      </c>
      <c r="D435" s="3" t="inlineStr">
        <is>
          <t>Productos Alimenticios LAS CASERITAS S.A.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HYPERLINK("https://co.computrabajo.com/ofertas-de-trabajo/oferta-de-trabajo-de-auxiliar-sst-tecnico-yo-tecnologo-experiencia-pesv-en-sabaneta-F7BD1E37111FEB7F61373E686DCF3405", "Ver Vacante")</f>
        <v/>
      </c>
      <c r="H435" s="6" t="inlineStr">
        <is>
          <t>$ 2.100.000,00 (Mensual)</t>
        </is>
      </c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e0289b96b5e5aca1</t>
        </is>
      </c>
      <c r="B436" s="2" t="inlineStr">
        <is>
          <t>2026-09-29 16:56</t>
        </is>
      </c>
      <c r="C436" s="3" t="inlineStr">
        <is>
          <t>Analista de Infraestructura</t>
        </is>
      </c>
      <c r="D436" s="3" t="inlineStr">
        <is>
          <t>BOGOTA MOVIL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HYPERLINK("https://co.computrabajo.com/ofertas-de-trabajo/oferta-de-trabajo-de-analista-de-infraestructura-en-bogota-dc-84538088ACE7C2A761373E686DCF3405", "Ver Vacante")</f>
        <v/>
      </c>
      <c r="H436" s="6" t="inlineStr">
        <is>
          <t>$ 4.664.000,00 (Mensual)</t>
        </is>
      </c>
      <c r="I436" s="3" t="inlineStr">
        <is>
          <t>[Afinidad: 50/100 - Afinidad Moderada] Afinidad parcial en infraestructura vial y transporte.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99732df7cf109dca</t>
        </is>
      </c>
      <c r="B437" s="2" t="inlineStr">
        <is>
          <t>2026-09-29 16:56</t>
        </is>
      </c>
      <c r="C437" s="3" t="inlineStr">
        <is>
          <t>Director jurídico - concesión vial</t>
        </is>
      </c>
      <c r="D437" s="3" t="inlineStr">
        <is>
          <t>Confidencial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HYPERLINK("https://www.elempleo.com/co/ofertas-trabajo/director-juridico-concesion-vial-1886773755", "Ver Vacante")</f>
        <v/>
      </c>
      <c r="H437" s="6" t="inlineStr"/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f4061b893930be56</t>
        </is>
      </c>
      <c r="B438" s="2" t="inlineStr">
        <is>
          <t>2026-09-29 16:56</t>
        </is>
      </c>
      <c r="C438" s="3" t="inlineStr">
        <is>
          <t>Director de proyecto</t>
        </is>
      </c>
      <c r="D438" s="3" t="inlineStr">
        <is>
          <t>Confidencial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HYPERLINK("https://www.elempleo.com/co/ofertas-trabajo/director-de-proyecto-1886773471",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7021630d6c4620eb</t>
        </is>
      </c>
      <c r="B439" s="2" t="inlineStr">
        <is>
          <t>2026-09-29 16:56</t>
        </is>
      </c>
      <c r="C439" s="3" t="inlineStr">
        <is>
          <t>PROFESIONAL SENIOR CIVIL - GUAYEPO - MISIÓN</t>
        </is>
      </c>
      <c r="D439" s="3" t="inlineStr">
        <is>
          <t>Enel Colombia</t>
        </is>
      </c>
      <c r="E439" s="7" t="n">
        <v>0.5</v>
      </c>
      <c r="F439" s="2" t="inlineStr">
        <is>
          <t>Remoto</t>
        </is>
      </c>
      <c r="G439" s="5">
        <f>HYPERLINK("https://co.linkedin.com/jobs/view/profesional-senior-civil-guayepo-misi%C3%B3n-at-enel-colombia-4471255555",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3a1611ee1dc030fc</t>
        </is>
      </c>
      <c r="B440" s="2" t="inlineStr">
        <is>
          <t>2026-09-29 16:56</t>
        </is>
      </c>
      <c r="C440" s="3" t="inlineStr">
        <is>
          <t>Analista sst</t>
        </is>
      </c>
      <c r="D440" s="3" t="inlineStr">
        <is>
          <t>Comfandi</t>
        </is>
      </c>
      <c r="E440" s="7" t="n">
        <v>0.5</v>
      </c>
      <c r="F440" s="2" t="inlineStr">
        <is>
          <t>Remoto</t>
        </is>
      </c>
      <c r="G440" s="5">
        <f>HYPERLINK("https://co.linkedin.com/jobs/view/analista-sst-at-comfandi-4473041435",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020d30801f243ad2</t>
        </is>
      </c>
      <c r="B441" s="2" t="inlineStr">
        <is>
          <t>2026-09-29 16:56</t>
        </is>
      </c>
      <c r="C441" s="3" t="inlineStr">
        <is>
          <t>Analista de SST</t>
        </is>
      </c>
      <c r="D441" s="3" t="inlineStr">
        <is>
          <t>D1 S.A.S</t>
        </is>
      </c>
      <c r="E441" s="7" t="n">
        <v>0.5</v>
      </c>
      <c r="F441" s="2" t="inlineStr">
        <is>
          <t>Remoto</t>
        </is>
      </c>
      <c r="G441" s="5">
        <f>HYPERLINK("https://co.linkedin.com/jobs/view/analista-de-sst-at-d1-s-a-s-4471726263",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6cfa919f356ead48</t>
        </is>
      </c>
      <c r="B442" s="2" t="inlineStr">
        <is>
          <t>2026-09-29 16:56</t>
        </is>
      </c>
      <c r="C442" s="3" t="inlineStr">
        <is>
          <t>Tecnico en salud ocupacional</t>
        </is>
      </c>
      <c r="D442" s="3" t="inlineStr">
        <is>
          <t>Industrias Metálicas Anro</t>
        </is>
      </c>
      <c r="E442" s="7" t="n">
        <v>0.5</v>
      </c>
      <c r="F442" s="2" t="inlineStr">
        <is>
          <t>Remoto</t>
        </is>
      </c>
      <c r="G442" s="5">
        <f>HYPERLINK("https://co.linkedin.com/jobs/view/tecnico-en-salud-ocupacional-at-industrias-met%C3%A1licas-anro-4468013193",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5e036e740884f39c</t>
        </is>
      </c>
      <c r="B443" s="2" t="inlineStr">
        <is>
          <t>2026-09-29 16:56</t>
        </is>
      </c>
      <c r="C443" s="3" t="inlineStr">
        <is>
          <t>Director de proyecto</t>
        </is>
      </c>
      <c r="D443" s="3" t="inlineStr">
        <is>
          <t>Ospinas &amp; Cía. S.A.</t>
        </is>
      </c>
      <c r="E443" s="7" t="n">
        <v>0.5</v>
      </c>
      <c r="F443" s="2" t="inlineStr">
        <is>
          <t>Remoto</t>
        </is>
      </c>
      <c r="G443" s="5">
        <f>HYPERLINK("https://co.linkedin.com/jobs/view/director-de-proyecto-at-ospinas-c%C3%ADa-s-a-4471212521", "Ver Vacante")</f>
        <v/>
      </c>
      <c r="H443" s="6" t="inlineStr"/>
      <c r="I4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0c19effab36a2934</t>
        </is>
      </c>
      <c r="B444" s="2" t="inlineStr">
        <is>
          <t>2026-09-29 16:56</t>
        </is>
      </c>
      <c r="C444" s="3" t="inlineStr">
        <is>
          <t>Director de Proyectos Inmobiliarios | Base Barranquilla</t>
        </is>
      </c>
      <c r="D444" s="3" t="inlineStr">
        <is>
          <t>Ospinas &amp; Cía. S.A.</t>
        </is>
      </c>
      <c r="E444" s="7" t="n">
        <v>0.5</v>
      </c>
      <c r="F444" s="2" t="inlineStr">
        <is>
          <t>Remoto</t>
        </is>
      </c>
      <c r="G444" s="5">
        <f>HYPERLINK("https://co.linkedin.com/jobs/view/director-de-proyectos-inmobiliarios-base-barranquilla-at-ospinas-c%C3%ADa-s-a-4471208656",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8866c6d524273852</t>
        </is>
      </c>
      <c r="B445" s="2" t="inlineStr">
        <is>
          <t>2026-09-29 16:56</t>
        </is>
      </c>
      <c r="C445" s="3" t="inlineStr">
        <is>
          <t>Lider de Proyectos SST - Construcción - Manufactura</t>
        </is>
      </c>
      <c r="D445" s="3" t="inlineStr">
        <is>
          <t>LER Prevención</t>
        </is>
      </c>
      <c r="E445" s="7" t="n">
        <v>0.5</v>
      </c>
      <c r="F445" s="2" t="inlineStr">
        <is>
          <t>Remoto</t>
        </is>
      </c>
      <c r="G445" s="5">
        <f>HYPERLINK("https://co.linkedin.com/jobs/view/lider-de-proyectos-sst-construcci%C3%B3n-manufactura-at-ler-prevenci%C3%B3n-4471740571", "Ver Vacante")</f>
        <v/>
      </c>
      <c r="H445" s="6" t="inlineStr"/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5199355566a75a1a</t>
        </is>
      </c>
      <c r="B446" s="2" t="inlineStr">
        <is>
          <t>2026-09-29 16:56</t>
        </is>
      </c>
      <c r="C446" s="3" t="inlineStr">
        <is>
          <t>Ingeniero Líder Civil Generación Distribuida</t>
        </is>
      </c>
      <c r="D446" s="3" t="inlineStr">
        <is>
          <t>Vattio Energía solar</t>
        </is>
      </c>
      <c r="E446" s="7" t="n">
        <v>0.5</v>
      </c>
      <c r="F446" s="2" t="inlineStr">
        <is>
          <t>Remoto</t>
        </is>
      </c>
      <c r="G446" s="5">
        <f>HYPERLINK("https://co.linkedin.com/jobs/view/ingeniero-l%C3%ADder-civil-generaci%C3%B3n-distribuida-at-vattio-energ%C3%ADa-solar-4465109200", "Ver Vacante")</f>
        <v/>
      </c>
      <c r="H446" s="6" t="inlineStr"/>
      <c r="I4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c685298300c728b9</t>
        </is>
      </c>
      <c r="B447" s="2" t="inlineStr">
        <is>
          <t>2026-09-30 16:46</t>
        </is>
      </c>
      <c r="C447" s="3" t="inlineStr">
        <is>
          <t>Analista HSEQ</t>
        </is>
      </c>
      <c r="D447" s="3" t="inlineStr">
        <is>
          <t>ANAVA LOGISTICS S.A.S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HYPERLINK("https://co.computrabajo.com/ofertas-de-trabajo/oferta-de-trabajo-de-analista-hseq-bogota-en-bogota-dc-E53A4F22A973920F61373E686DCF3405", "Ver Vacante")</f>
        <v/>
      </c>
      <c r="H447" s="6" t="inlineStr">
        <is>
          <t>$ 2.800.000,00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156dd5420c6e5b92</t>
        </is>
      </c>
      <c r="B448" s="2" t="inlineStr">
        <is>
          <t>2026-09-30 16:46</t>
        </is>
      </c>
      <c r="C448" s="3" t="inlineStr">
        <is>
          <t>Analista de SST y ambiental</t>
        </is>
      </c>
      <c r="D448" s="3" t="inlineStr">
        <is>
          <t>Importante empresa del sector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HYPERLINK("https://co.computrabajo.com/ofertas-de-trabajo/oferta-de-trabajo-de-analista-de-sst-y-ambiental-en-medellin-F63968234861F97461373E686DCF3405", "Ver Vacante")</f>
        <v/>
      </c>
      <c r="H448" s="6" t="inlineStr"/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de5fd6fd93eea8e4</t>
        </is>
      </c>
      <c r="B449" s="2" t="inlineStr">
        <is>
          <t>2026-09-30 16:46</t>
        </is>
      </c>
      <c r="C449" s="3" t="inlineStr">
        <is>
          <t>Analista de Mantenimiento de Flota / PESV</t>
        </is>
      </c>
      <c r="D449" s="3" t="inlineStr">
        <is>
          <t>IMPROVE SOLUTIONS S.A.S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HYPERLINK("https://co.computrabajo.com/ofertas-de-trabajo/oferta-de-trabajo-de-analista-de-mantenimiento-de-flota-pesv-en-cucuta-19A84F3B4E4E919A61373E686DCF3405", "Ver Vacante")</f>
        <v/>
      </c>
      <c r="H449" s="6" t="inlineStr"/>
      <c r="I449" s="3" t="inlineStr">
        <is>
          <t>[Afinidad: 50/100 - Afinidad Moderada] Afinidad parcial en infraestructura vial y transporte.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853675d9ef3b39d2</t>
        </is>
      </c>
      <c r="B450" s="2" t="inlineStr">
        <is>
          <t>2026-09-30 16:46</t>
        </is>
      </c>
      <c r="C450" s="3" t="inlineStr">
        <is>
          <t>Director de Interventoría en Medellín</t>
        </is>
      </c>
      <c r="D450" s="3" t="inlineStr">
        <is>
          <t>ARCA ARQUITECTURA E INGENIERIA SA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HYPERLINK("https://co.computrabajo.com/ofertas-de-trabajo/oferta-de-trabajo-de-director-de-interventoria-en-medellin-edificaciones-tiempo-completo-en-medellin-3A72E83C8F1B1FD161373E686DCF3405",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ec9675dfecf38b43</t>
        </is>
      </c>
      <c r="B451" s="2" t="inlineStr">
        <is>
          <t>2026-09-30 16:46</t>
        </is>
      </c>
      <c r="C451" s="3" t="inlineStr">
        <is>
          <t>Analista de seguridad y salud en el trabajo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HYPERLINK("https://www.elempleo.com/co/ofertas-trabajo/analista-de-seguridad-y-salud-en-el-trabajo-1886729482", "Ver Vacante")</f>
        <v/>
      </c>
      <c r="H451" s="6" t="inlineStr"/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ac2f660951d79124</t>
        </is>
      </c>
      <c r="B452" s="2" t="inlineStr">
        <is>
          <t>2026-09-30 16:46</t>
        </is>
      </c>
      <c r="C452" s="3" t="inlineStr">
        <is>
          <t>Medellin - consultor de sistemas de gestion - hseq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HYPERLINK("https://www.elempleo.com/co/ofertas-trabajo/medellin-consultor-de-sistemas-de-gestion-hseq-1886774314",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9f4f14a1c8a21c83</t>
        </is>
      </c>
      <c r="B453" s="2" t="inlineStr">
        <is>
          <t>2026-09-30 16:46</t>
        </is>
      </c>
      <c r="C453" s="3" t="inlineStr">
        <is>
          <t>Director de proyecto</t>
        </is>
      </c>
      <c r="D453" s="3" t="inlineStr">
        <is>
          <t>Confidencial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HYPERLINK("https://www.elempleo.com/co/ofertas-trabajo/director-de-proyecto-1886773926",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4a349fac4ca6ef49</t>
        </is>
      </c>
      <c r="B454" s="2" t="inlineStr">
        <is>
          <t>2026-09-30 16:46</t>
        </is>
      </c>
      <c r="C454" s="3" t="inlineStr">
        <is>
          <t>Medellín - consultor sistemas de gestión sst- con licencia en sst</t>
        </is>
      </c>
      <c r="D454" s="3" t="inlineStr">
        <is>
          <t>Confidencial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HYPERLINK("https://www.elempleo.com/co/ofertas-trabajo/medellin-consultor-sistemas-de-gestion-sst-con-licencia-en-sst-1886774334",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1b6b5035162f6976</t>
        </is>
      </c>
      <c r="B455" s="2" t="inlineStr">
        <is>
          <t>2026-09-30 16:46</t>
        </is>
      </c>
      <c r="C455" s="3" t="inlineStr">
        <is>
          <t>Profesional senior civil - guayepo, atlántico - misión</t>
        </is>
      </c>
      <c r="D455" s="3" t="inlineStr">
        <is>
          <t>Enel Colombia S.A ESP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HYPERLINK("https://www.elempleo.com/co/ofertas-trabajo/profesional-senior-civil-guayepo-atlantico-mision-1886774211",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d8439fb23eef5c73</t>
        </is>
      </c>
      <c r="B456" s="2" t="inlineStr">
        <is>
          <t>2026-09-30 16:46</t>
        </is>
      </c>
      <c r="C456" s="3" t="inlineStr">
        <is>
          <t>Senior BIM/CAD Modeler - Linear Infrastructure &amp; Site Civils</t>
        </is>
      </c>
      <c r="D456" s="3" t="inlineStr">
        <is>
          <t>AECOM</t>
        </is>
      </c>
      <c r="E456" s="7" t="n">
        <v>0.5</v>
      </c>
      <c r="F456" s="2" t="inlineStr">
        <is>
          <t>Remoto</t>
        </is>
      </c>
      <c r="G456" s="5">
        <f>HYPERLINK("https://co.linkedin.com/jobs/view/senior-bim-cad-modeler-linear-infrastructure-site-civils-at-aecom-4416329093",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9e6a613f2d568c61</t>
        </is>
      </c>
      <c r="B457" s="2" t="inlineStr">
        <is>
          <t>2026-09-30 16:46</t>
        </is>
      </c>
      <c r="C457" s="3" t="inlineStr">
        <is>
          <t>ANALISTA DE SST-328212</t>
        </is>
      </c>
      <c r="D457" s="3" t="inlineStr">
        <is>
          <t>Colección Talento</t>
        </is>
      </c>
      <c r="E457" s="7" t="n">
        <v>0.5</v>
      </c>
      <c r="F457" s="2" t="inlineStr">
        <is>
          <t>Remoto</t>
        </is>
      </c>
      <c r="G457" s="5">
        <f>HYPERLINK("https://co.linkedin.com/jobs/view/analista-de-sst-328212-at-colecci%C3%B3n-talento-4473728913",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d15b8c924d61a818</t>
        </is>
      </c>
      <c r="B458" s="2" t="inlineStr">
        <is>
          <t>2026-10-01 17:23</t>
        </is>
      </c>
      <c r="C458" s="3" t="inlineStr">
        <is>
          <t>Director HSEQ</t>
        </is>
      </c>
      <c r="D458" s="3" t="inlineStr">
        <is>
          <t>Importante empresa del sector logístico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HYPERLINK("https://co.computrabajo.com/ofertas-de-trabajo/oferta-de-trabajo-de-director-hseq-en-bogota-dc-B2A28649D83D9F1061373E686DCF3405", "Ver Vacante")</f>
        <v/>
      </c>
      <c r="H458" s="6" t="inlineStr">
        <is>
          <t>$ 5.300.000,00 (Mensual)</t>
        </is>
      </c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aeb81cd33e2ad2b4</t>
        </is>
      </c>
      <c r="B459" s="2" t="inlineStr">
        <is>
          <t>2026-10-01 17:23</t>
        </is>
      </c>
      <c r="C459" s="3" t="inlineStr">
        <is>
          <t>Ingeniero industrial con especializacion en SST</t>
        </is>
      </c>
      <c r="D459" s="3" t="inlineStr">
        <is>
          <t>ACTIVOS S A S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HYPERLINK("https://co.computrabajo.com/ofertas-de-trabajo/oferta-de-trabajo-de-ingeniero-industrial-con-especializacion-en-sst-empresa-de-transporte-en-bogota-dc-1C9CB2E49ACC82C061373E686DCF3405", "Ver Vacante")</f>
        <v/>
      </c>
      <c r="H459" s="6" t="inlineStr">
        <is>
          <t>$ 4.104.000,00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f3a391add027d6b7</t>
        </is>
      </c>
      <c r="B460" s="2" t="inlineStr">
        <is>
          <t>2026-10-01 17:23</t>
        </is>
      </c>
      <c r="C460" s="3" t="inlineStr">
        <is>
          <t>Profesional Líder del SG SST</t>
        </is>
      </c>
      <c r="D460" s="3" t="inlineStr">
        <is>
          <t>Yobel SCM SAS</t>
        </is>
      </c>
      <c r="E460" s="7" t="n">
        <v>0.5</v>
      </c>
      <c r="F460" s="2" t="inlineStr">
        <is>
          <t>Remoto</t>
        </is>
      </c>
      <c r="G460" s="5">
        <f>HYPERLINK("https://co.computrabajo.com/ofertas-de-trabajo/oferta-de-trabajo-de-profesional-lider-del-sg-sst-en-guarne-07745DA7BA41FD9461373E686DCF3405", "Ver Vacante")</f>
        <v/>
      </c>
      <c r="H460" s="6" t="inlineStr">
        <is>
          <t>$ 3.500.000,00 (Mensual)</t>
        </is>
      </c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aadee9ed5e690be5</t>
        </is>
      </c>
      <c r="B461" s="2" t="inlineStr">
        <is>
          <t>2026-10-01 17:23</t>
        </is>
      </c>
      <c r="C461" s="3" t="inlineStr">
        <is>
          <t>Analista de Seguridad y Salud en el Trabajo Experiencia en riesgo Biológico</t>
        </is>
      </c>
      <c r="D461" s="3" t="inlineStr">
        <is>
          <t>Importante empresa del sector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61" s="6" t="inlineStr">
        <is>
          <t>$ 2.000.000,00 (Mensual)</t>
        </is>
      </c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3be8f8c00d5d50b8</t>
        </is>
      </c>
      <c r="B462" s="2" t="inlineStr">
        <is>
          <t>2026-10-01 17:23</t>
        </is>
      </c>
      <c r="C462" s="3" t="inlineStr">
        <is>
          <t>Director de Ingeniería</t>
        </is>
      </c>
      <c r="D462" s="3" t="inlineStr">
        <is>
          <t>GLOBALEM S.A.S</t>
        </is>
      </c>
      <c r="E462" s="7" t="n">
        <v>0.5</v>
      </c>
      <c r="F462" s="2" t="inlineStr">
        <is>
          <t>Remoto</t>
        </is>
      </c>
      <c r="G462" s="5">
        <f>HYPERLINK("https://co.computrabajo.com/ofertas-de-trabajo/oferta-de-trabajo-de-director-de-ingenieria-bogota-en-bogota-dc-CABEC6A60647344F61373E686DCF3405",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84cb3c05b2d64401</t>
        </is>
      </c>
      <c r="B463" s="2" t="inlineStr">
        <is>
          <t>2026-10-01 17:23</t>
        </is>
      </c>
      <c r="C463" s="3" t="inlineStr">
        <is>
          <t>Ingeniero de infraestructura-campo</t>
        </is>
      </c>
      <c r="D463" s="3" t="inlineStr">
        <is>
          <t>Confidencial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HYPERLINK("https://www.elempleo.com/co/ofertas-trabajo/ingeniero-de-infraestructuracampo-1886774794", "Ver Vacante")</f>
        <v/>
      </c>
      <c r="H463" s="6" t="inlineStr"/>
      <c r="I463" s="3" t="inlineStr">
        <is>
          <t>[Afinidad: 50/100 - Afinidad Moderada] Afinidad parcial en infraestructura vial y transporte.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9887ab94ca1c250e</t>
        </is>
      </c>
      <c r="B464" s="2" t="inlineStr">
        <is>
          <t>2026-10-01 17:23</t>
        </is>
      </c>
      <c r="C464" s="3" t="inlineStr">
        <is>
          <t>Medellín - consultor mecanico sst- con licencia en sst</t>
        </is>
      </c>
      <c r="D464" s="3" t="inlineStr">
        <is>
          <t>Confidencial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HYPERLINK("https://www.elempleo.com/co/ofertas-trabajo/medellin-consultor-mecanico-sst-con-licencia-en-sst-1886774358",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c7185ee68119665c</t>
        </is>
      </c>
      <c r="B465" s="2" t="inlineStr">
        <is>
          <t>2026-10-01 17:23</t>
        </is>
      </c>
      <c r="C465" s="3" t="inlineStr">
        <is>
          <t>Analista sheq sst sector minero - girardota</t>
        </is>
      </c>
      <c r="D465" s="3" t="inlineStr">
        <is>
          <t>ADECCO COLOMBIA S A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HYPERLINK("https://www.elempleo.com/co/ofertas-trabajo/analista-sheq-sst-sector-minero-girardota-1886774366",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f8af76ec85ef6dd7</t>
        </is>
      </c>
      <c r="B466" s="2" t="inlineStr">
        <is>
          <t>2026-10-01 17:23</t>
        </is>
      </c>
      <c r="C466" s="3" t="inlineStr">
        <is>
          <t>Inspector SST con Licencia tecnico en adelante</t>
        </is>
      </c>
      <c r="D466" s="3" t="inlineStr">
        <is>
          <t>Asertempo Colombia S.A.S</t>
        </is>
      </c>
      <c r="E466" s="7" t="n">
        <v>0.5</v>
      </c>
      <c r="F466" s="2" t="inlineStr">
        <is>
          <t>Remoto</t>
        </is>
      </c>
      <c r="G466" s="5">
        <f>HYPERLINK("https://co.linkedin.com/jobs/view/inspector-sst-con-licencia-tecnico-en-adelante-at-asertempo-colombia-s-a-s-4474185216",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5b4053cac5b94200</t>
        </is>
      </c>
      <c r="B467" s="2" t="inlineStr">
        <is>
          <t>2026-10-01 17:23</t>
        </is>
      </c>
      <c r="C467" s="3" t="inlineStr">
        <is>
          <t>COORDINADOR TECNICO SALUD OCUPACIONAL REGIONAL</t>
        </is>
      </c>
      <c r="D467" s="3" t="inlineStr">
        <is>
          <t>Keralty</t>
        </is>
      </c>
      <c r="E467" s="7" t="n">
        <v>0.5</v>
      </c>
      <c r="F467" s="2" t="inlineStr">
        <is>
          <t>Remoto</t>
        </is>
      </c>
      <c r="G467" s="5">
        <f>HYPERLINK("https://co.linkedin.com/jobs/view/coordinador-tecnico-salud-ocupacional-regional-at-keralty-4473921272", "Ver Vacante")</f>
        <v/>
      </c>
      <c r="H467" s="6" t="inlineStr"/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5929049924f2f540</t>
        </is>
      </c>
      <c r="B468" s="2" t="inlineStr">
        <is>
          <t>2026-10-01 17:23</t>
        </is>
      </c>
      <c r="C468" s="3" t="inlineStr">
        <is>
          <t>PROFESIONAL SENIOR CIVIL</t>
        </is>
      </c>
      <c r="D468" s="3" t="inlineStr">
        <is>
          <t>Anonima</t>
        </is>
      </c>
      <c r="E468" s="7" t="n">
        <v>0.5</v>
      </c>
      <c r="F468" s="2" t="inlineStr">
        <is>
          <t>Remoto</t>
        </is>
      </c>
      <c r="G468" s="5">
        <f>HYPERLINK("https://co.linkedin.com/jobs/view/profesional-senior-civil-at-anonima-4473965085", "Ver Vacante")</f>
        <v/>
      </c>
      <c r="H468" s="6" t="inlineStr"/>
      <c r="I4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5c891997f301d30d</t>
        </is>
      </c>
      <c r="B469" s="2" t="inlineStr">
        <is>
          <t>2026-10-02 16:36</t>
        </is>
      </c>
      <c r="C469" s="3" t="inlineStr">
        <is>
          <t>Analista SST</t>
        </is>
      </c>
      <c r="D469" s="3" t="inlineStr">
        <is>
          <t>TEMPORARIOS S.A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HYPERLINK("https://co.computrabajo.com/ofertas-de-trabajo/oferta-de-trabajo-de-analista-sst-bogota-en-bogota-dc-2D271B3D9B925DEB61373E686DCF3405", "Ver Vacante")</f>
        <v/>
      </c>
      <c r="H469" s="6" t="inlineStr">
        <is>
          <t>$ 4.500.000,00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46f8e0b3fcc907fd</t>
        </is>
      </c>
      <c r="B470" s="2" t="inlineStr">
        <is>
          <t>2026-10-02 16:36</t>
        </is>
      </c>
      <c r="C470" s="3" t="inlineStr">
        <is>
          <t>Ingeniero(a) de infraestructura ti e inteligencia artificial</t>
        </is>
      </c>
      <c r="D470" s="3" t="inlineStr">
        <is>
          <t>ASISTEMYCA SAS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HYPERLINK("https://www.elempleo.com/co/ofertas-trabajo/ingenieroa-de-infraestructura-ti-e-inteligencia-artificial-1886775238",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0778701471bcd782</t>
        </is>
      </c>
      <c r="B471" s="2" t="inlineStr">
        <is>
          <t>2026-10-02 16:36</t>
        </is>
      </c>
      <c r="C471" s="3" t="inlineStr">
        <is>
          <t>Gerente de proyectos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HYPERLINK("https://www.elempleo.com/co/ofertas-trabajo/gerente-de-proyectos-1886775084",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28c4962b0d4cc90a</t>
        </is>
      </c>
      <c r="B472" s="2" t="inlineStr">
        <is>
          <t>2026-10-02 16:36</t>
        </is>
      </c>
      <c r="C472" s="3" t="inlineStr">
        <is>
          <t>GERENTE DE SST, SOCIAL, AMBIENTAL Y CALIDAD DE OBRA</t>
        </is>
      </c>
      <c r="D472" s="3" t="inlineStr">
        <is>
          <t>OHLA COLOMBIA</t>
        </is>
      </c>
      <c r="E472" s="7" t="n">
        <v>0.5</v>
      </c>
      <c r="F472" s="2" t="inlineStr">
        <is>
          <t>Remoto</t>
        </is>
      </c>
      <c r="G472" s="5">
        <f>HYPERLINK("https://co.linkedin.com/jobs/view/gerente-de-sst-social-ambiental-y-calidad-de-obra-at-ohla-colombia-4472827571",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ad900dcc50d0149d</t>
        </is>
      </c>
      <c r="B473" s="2" t="inlineStr">
        <is>
          <t>2026-10-02 16:36</t>
        </is>
      </c>
      <c r="C473" s="3" t="inlineStr">
        <is>
          <t>Analista SST Manizales</t>
        </is>
      </c>
      <c r="D473" s="3" t="inlineStr">
        <is>
          <t>Constructora Las Galias</t>
        </is>
      </c>
      <c r="E473" s="7" t="n">
        <v>0.5</v>
      </c>
      <c r="F473" s="2" t="inlineStr">
        <is>
          <t>Remoto</t>
        </is>
      </c>
      <c r="G473" s="5">
        <f>HYPERLINK("https://co.linkedin.com/jobs/view/analista-sst-manizales-at-constructora-las-galias-4460527919",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75db2d65eadb5dd0</t>
        </is>
      </c>
      <c r="B474" s="2" t="inlineStr">
        <is>
          <t>2026-10-03 15:09</t>
        </is>
      </c>
      <c r="C474" s="3" t="inlineStr">
        <is>
          <t>Analista de seguridad y salud en el trabajo tocancipa</t>
        </is>
      </c>
      <c r="D474" s="3" t="inlineStr">
        <is>
          <t>SUMMAR PRODUCTIVIDAD S.A.S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HYPERLINK("https://www.elempleo.com/co/ofertas-trabajo/analista-de-seguridad-y-salud-en-el-trabajo-tocancipa-1886759227",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1b6d4849e1fba3f5</t>
        </is>
      </c>
      <c r="B475" s="2" t="inlineStr">
        <is>
          <t>2026-10-03 15:09</t>
        </is>
      </c>
      <c r="C475" s="3" t="inlineStr">
        <is>
          <t>Gerente de proyecto logística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HYPERLINK("https://www.elempleo.com/co/ofertas-trabajo/gerente-de-proyecto-logistica-1886774903",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542fd17d134b6e2e</t>
        </is>
      </c>
      <c r="B476" s="2" t="inlineStr">
        <is>
          <t>2026-10-03 15:09</t>
        </is>
      </c>
      <c r="C476" s="3" t="inlineStr">
        <is>
          <t>Analista de seguridad y salud en el trabajo</t>
        </is>
      </c>
      <c r="D476" s="3" t="inlineStr">
        <is>
          <t>Muebles Tugó</t>
        </is>
      </c>
      <c r="E476" s="7" t="n">
        <v>0.5</v>
      </c>
      <c r="F476" s="2" t="inlineStr">
        <is>
          <t>Remoto</t>
        </is>
      </c>
      <c r="G476" s="5">
        <f>HYPERLINK("https://co.linkedin.com/jobs/view/analista-de-seguridad-y-salud-en-el-trabajo-at-muebles-tug%C3%B3-4475060186", "Ver Vacante")</f>
        <v/>
      </c>
      <c r="H476" s="6" t="inlineStr"/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0091aeaf0d3ea8da</t>
        </is>
      </c>
      <c r="B477" s="2" t="inlineStr">
        <is>
          <t>2026-10-04 15:45</t>
        </is>
      </c>
      <c r="C477" s="3" t="inlineStr">
        <is>
          <t>Gerente de proyectos</t>
        </is>
      </c>
      <c r="D477" s="3" t="inlineStr">
        <is>
          <t>Confidencial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HYPERLINK("https://www.elempleo.com/co/ofertas-trabajo/gerente-de-proyectos-1886773535", "Ver Vacante")</f>
        <v/>
      </c>
      <c r="H477" s="6" t="inlineStr"/>
      <c r="I4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67847ae63add190c</t>
        </is>
      </c>
      <c r="B478" s="2" t="inlineStr">
        <is>
          <t>2026-10-05 19:42</t>
        </is>
      </c>
      <c r="C478" s="3" t="inlineStr">
        <is>
          <t>Analista de Seguridad y Salud en el Trabajo Chía y Alrededores</t>
        </is>
      </c>
      <c r="D478" s="3" t="inlineStr">
        <is>
          <t>TU TEMPORAL S.A</t>
        </is>
      </c>
      <c r="E478" s="7" t="n">
        <v>0.5</v>
      </c>
      <c r="F478" s="2" t="inlineStr">
        <is>
          <t>Remoto</t>
        </is>
      </c>
      <c r="G478" s="5">
        <f>HYPERLINK("https://co.computrabajo.com/ofertas-de-trabajo/oferta-de-trabajo-de-analista-de-seguridad-y-salud-en-el-trabajo-chia-y-alrededores-en-chia-550C367ADF1D68E961373E686DCF3405", "Ver Vacante")</f>
        <v/>
      </c>
      <c r="H478" s="6" t="inlineStr">
        <is>
          <t>$ 2.900.000,00 (Mensual)</t>
        </is>
      </c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7f6262d043837e59</t>
        </is>
      </c>
      <c r="B479" s="2" t="inlineStr">
        <is>
          <t>2026-10-05 19:42</t>
        </is>
      </c>
      <c r="C479" s="3" t="inlineStr">
        <is>
          <t>Analista de tráfico / seguridad vial</t>
        </is>
      </c>
      <c r="D479" s="3" t="inlineStr">
        <is>
          <t>SERDAN - MISION TEMPORAL</t>
        </is>
      </c>
      <c r="E479" s="7" t="n">
        <v>0.5</v>
      </c>
      <c r="F479" s="2" t="inlineStr">
        <is>
          <t>Remoto</t>
        </is>
      </c>
      <c r="G479" s="5">
        <f>HYPERLINK("https://co.computrabajo.com/ofertas-de-trabajo/oferta-de-trabajo-de-analista-de-trafico-seguridad-vial-experiencia-en-empresas-de-transporte-en-mosquera-149E0A9C9FCCE39861373E686DCF3405", "Ver Vacante")</f>
        <v/>
      </c>
      <c r="H479" s="6" t="inlineStr">
        <is>
          <t>$ 2.572.000,00 (Mensual)</t>
        </is>
      </c>
      <c r="I479" s="3" t="inlineStr">
        <is>
          <t>[Afinidad: 50/100 - Afinidad Moderada] Afinidad parcial en infraestructura vial y transporte.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b8b3b33262aa6315</t>
        </is>
      </c>
      <c r="B480" s="2" t="inlineStr">
        <is>
          <t>2026-10-05 19:42</t>
        </is>
      </c>
      <c r="C480" s="3" t="inlineStr">
        <is>
          <t>Analista de seguridad y salud en el trabajo</t>
        </is>
      </c>
      <c r="D480" s="3" t="inlineStr">
        <is>
          <t>Importante empresa del sector educativo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HYPERLINK("https://co.computrabajo.com/ofertas-de-trabajo/oferta-de-trabajo-de-analista-de-seguridad-y-salud-en-el-trabajo-sst-en-bogota-dc-E304D5543B1DAC4261373E686DCF3405", "Ver Vacante")</f>
        <v/>
      </c>
      <c r="H480" s="6" t="inlineStr">
        <is>
          <t>$ 2.500.000,00 (Mensual)</t>
        </is>
      </c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182ddb66c044fb31</t>
        </is>
      </c>
      <c r="B481" s="2" t="inlineStr">
        <is>
          <t>2026-10-05 19:42</t>
        </is>
      </c>
      <c r="C481" s="3" t="inlineStr">
        <is>
          <t>Analista o profesional de seguridad vial</t>
        </is>
      </c>
      <c r="D481" s="3" t="inlineStr">
        <is>
          <t>ACTIVOS S A S</t>
        </is>
      </c>
      <c r="E481" s="7" t="n">
        <v>0.5</v>
      </c>
      <c r="F481" s="2" t="inlineStr">
        <is>
          <t>Remoto</t>
        </is>
      </c>
      <c r="G481" s="5">
        <f>HYPERLINK("https://co.computrabajo.com/ofertas-de-trabajo/oferta-de-trabajo-de-analista-o-profesional-de-seguridad-vial-bogota-en-bogota-dc-C7BA557BEA1DDA4261373E686DCF3405", "Ver Vacante")</f>
        <v/>
      </c>
      <c r="H481" s="6" t="inlineStr">
        <is>
          <t>$ 2.808.000,00 (Mensual)</t>
        </is>
      </c>
      <c r="I481" s="3" t="inlineStr">
        <is>
          <t>[Afinidad: 50/100 - Afinidad Moderada] Afinidad parcial en infraestructura vial y transporte.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9b82c371dc834d3f</t>
        </is>
      </c>
      <c r="B482" s="2" t="inlineStr">
        <is>
          <t>2026-10-05 19:42</t>
        </is>
      </c>
      <c r="C482" s="3" t="inlineStr">
        <is>
          <t>Analista de Seguridad y Salud en el Trabajo/Rionegro</t>
        </is>
      </c>
      <c r="D482" s="3" t="inlineStr">
        <is>
          <t>SODEXO S.A.S</t>
        </is>
      </c>
      <c r="E482" s="7" t="n">
        <v>0.5</v>
      </c>
      <c r="F482" s="2" t="inlineStr">
        <is>
          <t>Remoto</t>
        </is>
      </c>
      <c r="G482" s="5">
        <f>HYPERLINK("https://co.computrabajo.com/ofertas-de-trabajo/oferta-de-trabajo-de-analista-de-seguridad-y-salud-en-el-trabajorionegro-en-medellin-847ADD9963811D7B61373E686DCF3405",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c12a15d8fd068a1e</t>
        </is>
      </c>
      <c r="B483" s="2" t="inlineStr">
        <is>
          <t>2026-10-05 19:42</t>
        </is>
      </c>
      <c r="C483" s="3" t="inlineStr">
        <is>
          <t>Director de HSEQ</t>
        </is>
      </c>
      <c r="D483" s="3" t="inlineStr">
        <is>
          <t>Autotanques de Colombia</t>
        </is>
      </c>
      <c r="E483" s="7" t="n">
        <v>0.5</v>
      </c>
      <c r="F483" s="2" t="inlineStr">
        <is>
          <t>Remoto</t>
        </is>
      </c>
      <c r="G483" s="5">
        <f>HYPERLINK("https://co.computrabajo.com/ofertas-de-trabajo/oferta-de-trabajo-de-director-de-hseq-empresa-del-sector-transporte-en-bucaramanga-414B424B3DBEC6F461373E686DCF3405", "Ver Vacante")</f>
        <v/>
      </c>
      <c r="H483" s="6" t="inlineStr">
        <is>
          <t>$ 4.000.000,00 (Mensual)</t>
        </is>
      </c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948df644b66718ad</t>
        </is>
      </c>
      <c r="B484" s="2" t="inlineStr">
        <is>
          <t>2026-10-05 19:42</t>
        </is>
      </c>
      <c r="C484" s="3" t="inlineStr">
        <is>
          <t>Director de proyecto</t>
        </is>
      </c>
      <c r="D484" s="3" t="inlineStr">
        <is>
          <t>Confidencial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HYPERLINK("https://www.elempleo.com/co/ofertas-trabajo/director-de-proyecto-1886768379",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7b159079519bb23f</t>
        </is>
      </c>
      <c r="B485" s="2" t="inlineStr">
        <is>
          <t>2026-10-05 19:42</t>
        </is>
      </c>
      <c r="C485" s="3" t="inlineStr">
        <is>
          <t>Director de proyecto</t>
        </is>
      </c>
      <c r="D485" s="3" t="inlineStr">
        <is>
          <t>Confidencial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HYPERLINK("https://www.elempleo.com/co/ofertas-trabajo/director-de-proyecto-1886768376",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ec3afae45f3f6140</t>
        </is>
      </c>
      <c r="B486" s="2" t="inlineStr">
        <is>
          <t>2026-10-05 19:42</t>
        </is>
      </c>
      <c r="C486" s="3" t="inlineStr">
        <is>
          <t>Director de proyectos</t>
        </is>
      </c>
      <c r="D486" s="3" t="inlineStr">
        <is>
          <t>MENTORHUB COLOMBIA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HYPERLINK("https://www.elempleo.com/co/ofertas-trabajo/director-de-proyectos-1886756286", "Ver Vacante")</f>
        <v/>
      </c>
      <c r="H486" s="6" t="inlineStr"/>
      <c r="I4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763a6462ee419836</t>
        </is>
      </c>
      <c r="B487" s="2" t="inlineStr">
        <is>
          <t>2026-10-05 19:42</t>
        </is>
      </c>
      <c r="C487" s="3" t="inlineStr">
        <is>
          <t>Director de proyectos de construcciones</t>
        </is>
      </c>
      <c r="D487" s="3" t="inlineStr">
        <is>
          <t>Confidencial</t>
        </is>
      </c>
      <c r="E487" s="7" t="n">
        <v>0.5</v>
      </c>
      <c r="F487" s="2" t="inlineStr">
        <is>
          <t>Remoto</t>
        </is>
      </c>
      <c r="G487" s="5">
        <f>HYPERLINK("https://www.elempleo.com/co/ofertas-trabajo/director-de-proyectos-de-construcciones-1886768359",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cee6bc8d9c12924e</t>
        </is>
      </c>
      <c r="B488" s="2" t="inlineStr">
        <is>
          <t>2026-10-05 19:42</t>
        </is>
      </c>
      <c r="C488" s="3" t="inlineStr">
        <is>
          <t>Senior Civil Engineer</t>
        </is>
      </c>
      <c r="D488" s="3" t="inlineStr">
        <is>
          <t>WSP en Colombia</t>
        </is>
      </c>
      <c r="E488" s="7" t="n">
        <v>0.5</v>
      </c>
      <c r="F488" s="2" t="inlineStr">
        <is>
          <t>Remoto</t>
        </is>
      </c>
      <c r="G488" s="5">
        <f>HYPERLINK("https://co.linkedin.com/jobs/view/senior-civil-engineer-at-wsp-en-colombia-4468901362", "Ver Vacante")</f>
        <v/>
      </c>
      <c r="H488" s="6" t="inlineStr"/>
      <c r="I4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ddbf83f896c4d7b0</t>
        </is>
      </c>
      <c r="B489" s="2" t="inlineStr">
        <is>
          <t>2026-10-05 19:42</t>
        </is>
      </c>
      <c r="C489" s="3" t="inlineStr">
        <is>
          <t>Director de proyecto</t>
        </is>
      </c>
      <c r="D489" s="3" t="inlineStr">
        <is>
          <t>SunColombia</t>
        </is>
      </c>
      <c r="E489" s="7" t="n">
        <v>0.5</v>
      </c>
      <c r="F489" s="2" t="inlineStr">
        <is>
          <t>Remoto</t>
        </is>
      </c>
      <c r="G489" s="5">
        <f>HYPERLINK("https://co.linkedin.com/jobs/view/director-de-proyecto-at-suncolombia-4469266449", "Ver Vacante")</f>
        <v/>
      </c>
      <c r="H489" s="6" t="inlineStr"/>
      <c r="I4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f29816eb9a4ff6d1</t>
        </is>
      </c>
      <c r="B490" s="2" t="inlineStr">
        <is>
          <t>2026-10-06 17:09</t>
        </is>
      </c>
      <c r="C490" s="3" t="inlineStr">
        <is>
          <t>asesor comercial tecnico , ser ingenierio , exp de tres años ventas técnicas B2B infraestructura</t>
        </is>
      </c>
      <c r="D490" s="3" t="inlineStr">
        <is>
          <t>Gestión Vial Integral S.A.S.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90" s="6" t="inlineStr">
        <is>
          <t>$ 4.500.000,00 (Mensual) + Comisiones</t>
        </is>
      </c>
      <c r="I490" s="3" t="inlineStr">
        <is>
          <t>[Afinidad: 50/100 - Afinidad Moderada] Afinidad parcial en infraestructura vial y transporte.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1f3c6f86daeb22a2</t>
        </is>
      </c>
      <c r="B491" s="2" t="inlineStr">
        <is>
          <t>2026-10-06 17:09</t>
        </is>
      </c>
      <c r="C491" s="3" t="inlineStr">
        <is>
          <t>Analista de Seguridad y Salud en el Trabajo/Rionegro</t>
        </is>
      </c>
      <c r="D491" s="3" t="inlineStr">
        <is>
          <t>SODEXO S.A.S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HYPERLINK("https://co.computrabajo.com/ofertas-de-trabajo/oferta-de-trabajo-de-analista-de-seguridad-y-salud-en-el-trabajorionegro-en-rionegro-F560CCEC2B2DE6EE61373E686DCF3405",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09ab63dcb95da56c</t>
        </is>
      </c>
      <c r="B492" s="2" t="inlineStr">
        <is>
          <t>2026-10-06 17:09</t>
        </is>
      </c>
      <c r="C492" s="3" t="inlineStr">
        <is>
          <t>Líder Seguridad y Salud en el Trabajo</t>
        </is>
      </c>
      <c r="D492" s="3" t="inlineStr">
        <is>
          <t>Servicios Postales Especializados.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HYPERLINK("https://co.computrabajo.com/ofertas-de-trabajo/oferta-de-trabajo-de-lider-seguridad-y-salud-en-el-trabajo-sector-transporte-en-medellin-0BE0598AEBD6E06B61373E686DCF3405", "Ver Vacante")</f>
        <v/>
      </c>
      <c r="H492" s="6" t="inlineStr">
        <is>
          <t>$ 3.300.000,00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661a5b25c5a15e2e</t>
        </is>
      </c>
      <c r="B493" s="2" t="inlineStr">
        <is>
          <t>2026-10-06 17:09</t>
        </is>
      </c>
      <c r="C493" s="3" t="inlineStr">
        <is>
          <t>Analista hse / bogotá</t>
        </is>
      </c>
      <c r="D493" s="3" t="inlineStr">
        <is>
          <t>MTS Administración total S.A.S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HYPERLINK("https://www.elempleo.com/co/ofertas-trabajo/analista-hse-bogota-1886753905",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cf3e5557654a18b0</t>
        </is>
      </c>
      <c r="B494" s="2" t="inlineStr">
        <is>
          <t>2026-10-06 17:09</t>
        </is>
      </c>
      <c r="C494" s="3" t="inlineStr">
        <is>
          <t>Ingeniero de pavimentos</t>
        </is>
      </c>
      <c r="D494" s="3" t="inlineStr">
        <is>
          <t>Jeoprobe SAS</t>
        </is>
      </c>
      <c r="E494" s="7" t="n">
        <v>0.5</v>
      </c>
      <c r="F494" s="2" t="inlineStr">
        <is>
          <t>Remoto</t>
        </is>
      </c>
      <c r="G494" s="5">
        <f>HYPERLINK("https://co.linkedin.com/jobs/view/ingeniero-de-pavimentos-at-jeoprobe-sas-4476334326", "Ver Vacante")</f>
        <v/>
      </c>
      <c r="H494" s="6" t="inlineStr"/>
      <c r="I494" s="3" t="inlineStr">
        <is>
          <t>[Afinidad: 50/100 - Afinidad Moderada] Afinidad parcial en infraestructura vial y transporte.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4ecd820cc038daa9</t>
        </is>
      </c>
      <c r="B495" s="2" t="inlineStr">
        <is>
          <t>2026-10-06 17:09</t>
        </is>
      </c>
      <c r="C495" s="3" t="inlineStr">
        <is>
          <t>Director de Proyectos y Operaciones</t>
        </is>
      </c>
      <c r="D495" s="3" t="inlineStr">
        <is>
          <t>Corredor Empresarial</t>
        </is>
      </c>
      <c r="E495" s="7" t="n">
        <v>0.5</v>
      </c>
      <c r="F495" s="2" t="inlineStr">
        <is>
          <t>Remoto</t>
        </is>
      </c>
      <c r="G495" s="5">
        <f>HYPERLINK("https://co.linkedin.com/jobs/view/director-de-proyectos-y-operaciones-at-corredor-empresarial-4476176620", "Ver Vacante")</f>
        <v/>
      </c>
      <c r="H495" s="6" t="inlineStr"/>
      <c r="I4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30e607f4b2822b99</t>
        </is>
      </c>
      <c r="B496" s="2" t="inlineStr">
        <is>
          <t>2026-10-06 17:09</t>
        </is>
      </c>
      <c r="C496" s="3" t="inlineStr">
        <is>
          <t>Director de proyecto</t>
        </is>
      </c>
      <c r="D496" s="3" t="inlineStr">
        <is>
          <t>Construcciones Obycon S.A.S</t>
        </is>
      </c>
      <c r="E496" s="7" t="n">
        <v>0.5</v>
      </c>
      <c r="F496" s="2" t="inlineStr">
        <is>
          <t>Remoto</t>
        </is>
      </c>
      <c r="G496" s="5">
        <f>HYPERLINK("https://co.linkedin.com/jobs/view/director-de-proyecto-at-construcciones-obycon-s-a-s-4465085040",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09b073f3ccbc7c3d</t>
        </is>
      </c>
      <c r="B497" s="2" t="inlineStr">
        <is>
          <t>2026-10-07 17:47</t>
        </is>
      </c>
      <c r="C497" s="3" t="inlineStr">
        <is>
          <t>Analista del Sistema Gestión Integral y SST/ Licencia de Conducir B1Cartagena</t>
        </is>
      </c>
      <c r="D497" s="3" t="inlineStr">
        <is>
          <t>Saitemp S.A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97" s="6" t="inlineStr">
        <is>
          <t>$ 3.000.000,00 (Mensual)</t>
        </is>
      </c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5b0a1323e42ca888</t>
        </is>
      </c>
      <c r="B498" s="2" t="inlineStr">
        <is>
          <t>2026-10-07 17:47</t>
        </is>
      </c>
      <c r="C498" s="3" t="inlineStr">
        <is>
          <t>Analista o profesional de seguridad vial</t>
        </is>
      </c>
      <c r="D498" s="3" t="inlineStr">
        <is>
          <t>ACTIVOS S A S</t>
        </is>
      </c>
      <c r="E498" s="7" t="n">
        <v>0.5</v>
      </c>
      <c r="F498" s="2" t="inlineStr">
        <is>
          <t>Remoto</t>
        </is>
      </c>
      <c r="G498" s="5">
        <f>HYPERLINK("https://co.computrabajo.com/ofertas-de-trabajo/oferta-de-trabajo-de-analista-o-profesional-de-seguridad-vial-bogota-en-bogota-dc-7D776DB2D53922BE61373E686DCF3405", "Ver Vacante")</f>
        <v/>
      </c>
      <c r="H498" s="6" t="inlineStr"/>
      <c r="I498" s="3" t="inlineStr">
        <is>
          <t>[Afinidad: 50/100 - Afinidad Moderada] Afinidad parcial en infraestructura vial y transporte.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846a0dbb51c8ac59</t>
        </is>
      </c>
      <c r="B499" s="2" t="inlineStr">
        <is>
          <t>2026-10-07 17:47</t>
        </is>
      </c>
      <c r="C499" s="3" t="inlineStr">
        <is>
          <t>Analista del Sistema Gestión Integral y SST/ Licencia de Conducir B1Cartagena</t>
        </is>
      </c>
      <c r="D499" s="3" t="inlineStr">
        <is>
          <t>Saitemp S.A</t>
        </is>
      </c>
      <c r="E499" s="7" t="n">
        <v>0.5</v>
      </c>
      <c r="F499" s="2" t="inlineStr">
        <is>
          <t>Remoto</t>
        </is>
      </c>
      <c r="G499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99" s="6" t="inlineStr">
        <is>
          <t>$ 3.000.000,00 (Mensual)</t>
        </is>
      </c>
      <c r="I499" s="3" t="inlineStr">
        <is>
          <t>[Afinidad: 50/100 - Afinidad Moderada]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da82c6d3675ab421</t>
        </is>
      </c>
      <c r="B500" s="2" t="inlineStr">
        <is>
          <t>2026-10-07 17:47</t>
        </is>
      </c>
      <c r="C500" s="3" t="inlineStr">
        <is>
          <t>Analista HSEQ</t>
        </is>
      </c>
      <c r="D500" s="3" t="inlineStr">
        <is>
          <t>Importante empresa del sector</t>
        </is>
      </c>
      <c r="E500" s="7" t="n">
        <v>0.5</v>
      </c>
      <c r="F500" s="2" t="inlineStr">
        <is>
          <t>Remoto</t>
        </is>
      </c>
      <c r="G500" s="5">
        <f>HYPERLINK("https://co.computrabajo.com/ofertas-de-trabajo/oferta-de-trabajo-de-analista-hseq-medellin-en-medellin-BEE0CD9DECD7563861373E686DCF3405", "Ver Vacante")</f>
        <v/>
      </c>
      <c r="H500" s="6" t="inlineStr">
        <is>
          <t>$ 2.400.000,00 (Mensual)</t>
        </is>
      </c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6f6d591db18d8d01</t>
        </is>
      </c>
      <c r="B501" s="2" t="inlineStr">
        <is>
          <t>2026-10-07 17:47</t>
        </is>
      </c>
      <c r="C501" s="3" t="inlineStr">
        <is>
          <t>Analista HSEQ Sesquilé</t>
        </is>
      </c>
      <c r="D501" s="3" t="inlineStr">
        <is>
          <t>SULOGISTICS EXPRESS S.A.S.</t>
        </is>
      </c>
      <c r="E501" s="7" t="n">
        <v>0.5</v>
      </c>
      <c r="F501" s="2" t="inlineStr">
        <is>
          <t>Remoto</t>
        </is>
      </c>
      <c r="G501" s="5">
        <f>HYPERLINK("https://co.computrabajo.com/ofertas-de-trabajo/oferta-de-trabajo-de-analista-hseq-sesquile-cundinamarca-en-bogota-dc-393419ADE2616E1A61373E686DCF3405", "Ver Vacante")</f>
        <v/>
      </c>
      <c r="H501" s="6" t="inlineStr">
        <is>
          <t>$ 2.000.000,00 (Mensual)</t>
        </is>
      </c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0adbf82cde8dca1b</t>
        </is>
      </c>
      <c r="B502" s="2" t="inlineStr">
        <is>
          <t>2026-10-07 17:47</t>
        </is>
      </c>
      <c r="C502" s="3" t="inlineStr">
        <is>
          <t>Analista de Seguridad y Salud en el Trabajo</t>
        </is>
      </c>
      <c r="D502" s="3" t="inlineStr">
        <is>
          <t>Alianza Temporal S.A.S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HYPERLINK("https://co.computrabajo.com/ofertas-de-trabajo/oferta-de-trabajo-de-analista-de-seguridad-y-salud-en-el-trabajo-en-neiva-5E175FD6B7CEFE7A61373E686DCF3405", "Ver Vacante")</f>
        <v/>
      </c>
      <c r="H502" s="6" t="inlineStr">
        <is>
          <t>$ 1.750.905,00 (Mensual)</t>
        </is>
      </c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39f5e9edd1b373c0</t>
        </is>
      </c>
      <c r="B503" s="2" t="inlineStr">
        <is>
          <t>2026-10-07 17:47</t>
        </is>
      </c>
      <c r="C503" s="3" t="inlineStr">
        <is>
          <t>Analista de infraestructura ti</t>
        </is>
      </c>
      <c r="D503" s="3" t="inlineStr">
        <is>
          <t>Desarrollo de Sistemas y Servicios SAS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HYPERLINK("https://www.elempleo.com/co/ofertas-trabajo/analista-de-infraestructura-ti-1886556042", "Ver Vacante")</f>
        <v/>
      </c>
      <c r="H503" s="6" t="inlineStr"/>
      <c r="I503" s="3" t="inlineStr">
        <is>
          <t>[Afinidad: 50/100 - Afinidad Moderada] Afinidad parcial en infraestructura vial y transporte.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4384d47432e22ba6</t>
        </is>
      </c>
      <c r="B504" s="2" t="inlineStr">
        <is>
          <t>2026-10-07 17:47</t>
        </is>
      </c>
      <c r="C504" s="3" t="inlineStr">
        <is>
          <t>Director de proyectos barranquilla</t>
        </is>
      </c>
      <c r="D504" s="3" t="inlineStr">
        <is>
          <t>Confidencial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HYPERLINK("https://www.elempleo.com/co/ofertas-trabajo/director-de-proyectos-barranquilla-1886777483", "Ver Vacante")</f>
        <v/>
      </c>
      <c r="H504" s="6" t="inlineStr"/>
      <c r="I5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6fb9f8449cebc818</t>
        </is>
      </c>
      <c r="B505" s="2" t="inlineStr">
        <is>
          <t>2026-10-07 17:47</t>
        </is>
      </c>
      <c r="C505" s="3" t="inlineStr">
        <is>
          <t>Profesional en SST Coordinador Técnico</t>
        </is>
      </c>
      <c r="D505" s="3" t="inlineStr">
        <is>
          <t>Intersalud Ocupacional</t>
        </is>
      </c>
      <c r="E505" s="7" t="n">
        <v>0.5</v>
      </c>
      <c r="F505" s="2" t="inlineStr">
        <is>
          <t>Remoto</t>
        </is>
      </c>
      <c r="G505" s="5">
        <f>HYPERLINK("https://co.linkedin.com/jobs/view/profesional-en-sst-coordinador-t%C3%A9cnico-at-intersalud-ocupacional-4476716177",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fbc73765fc547e80</t>
        </is>
      </c>
      <c r="B506" s="2" t="inlineStr">
        <is>
          <t>2026-10-07 17:47</t>
        </is>
      </c>
      <c r="C506" s="3" t="inlineStr">
        <is>
          <t>Director de Proyectos Especiales - Indefinido - Medellín</t>
        </is>
      </c>
      <c r="D506" s="3" t="inlineStr">
        <is>
          <t>hábilo</t>
        </is>
      </c>
      <c r="E506" s="7" t="n">
        <v>0.5</v>
      </c>
      <c r="F506" s="2" t="inlineStr">
        <is>
          <t>Remoto</t>
        </is>
      </c>
      <c r="G506" s="5">
        <f>HYPERLINK("https://co.linkedin.com/jobs/view/director-de-proyectos-especiales-indefinido-medell%C3%ADn-at-h%C3%A1bilo-4474438571",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a59ad28d21f1661a</t>
        </is>
      </c>
      <c r="B507" s="2" t="inlineStr">
        <is>
          <t>2026-10-07 17:47</t>
        </is>
      </c>
      <c r="C507" s="3" t="inlineStr">
        <is>
          <t>DIRECTOR(A) / GERENTE DE PROYECTO – MOVILIDAD Y PLANIFICACIÓN TERRITORIAL</t>
        </is>
      </c>
      <c r="D507" s="3" t="inlineStr">
        <is>
          <t>JAHV McGregor SAS</t>
        </is>
      </c>
      <c r="E507" s="7" t="n">
        <v>0.5</v>
      </c>
      <c r="F507" s="2" t="inlineStr">
        <is>
          <t>Remoto</t>
        </is>
      </c>
      <c r="G507" s="5">
        <f>HYPERLINK("https://co.linkedin.com/jobs/view/director-a-gerente-de-proyecto-%E2%80%93-movilidad-y-planificaci%C3%B3n-territorial-at-jahv-mcgregor-sas-4473385595", "Ver Vacante")</f>
        <v/>
      </c>
      <c r="H507" s="6" t="inlineStr"/>
      <c r="I5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4a4bbcf4d2e591e6</t>
        </is>
      </c>
      <c r="B508" s="2" t="inlineStr">
        <is>
          <t>2026-10-08 17:49</t>
        </is>
      </c>
      <c r="C508" s="3" t="inlineStr">
        <is>
          <t>Analista de SST/ Gestión Integral / Cartagena</t>
        </is>
      </c>
      <c r="D508" s="3" t="inlineStr">
        <is>
          <t>Saitemp S.A</t>
        </is>
      </c>
      <c r="E508" s="7" t="n">
        <v>0.5</v>
      </c>
      <c r="F508" s="2" t="inlineStr">
        <is>
          <t>Remoto</t>
        </is>
      </c>
      <c r="G508" s="5">
        <f>HYPERLINK("https://co.computrabajo.com/ofertas-de-trabajo/oferta-de-trabajo-de-analista-de-sst-gestion-integral-cartagena-en-cartagena-de-indias-19B9D4BC6F27812361373E686DCF3405", "Ver Vacante")</f>
        <v/>
      </c>
      <c r="H508" s="6" t="inlineStr">
        <is>
          <t>$ 3.000.000,00 (Mensual)</t>
        </is>
      </c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599ca4fca958b480</t>
        </is>
      </c>
      <c r="B509" s="2" t="inlineStr">
        <is>
          <t>2026-10-08 17:49</t>
        </is>
      </c>
      <c r="C509" s="3" t="inlineStr">
        <is>
          <t>Analista del Sistema Gestión Integral y SST/ Licencia de Conducir B1Cartagena</t>
        </is>
      </c>
      <c r="D509" s="3" t="inlineStr">
        <is>
          <t>Saitemp S.A</t>
        </is>
      </c>
      <c r="E509" s="7" t="n">
        <v>0.5</v>
      </c>
      <c r="F509" s="2" t="inlineStr">
        <is>
          <t>Remoto</t>
        </is>
      </c>
      <c r="G509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09" s="6" t="inlineStr">
        <is>
          <t>$ 3.000.000,00 (Mensual)</t>
        </is>
      </c>
      <c r="I509" s="3" t="inlineStr">
        <is>
          <t>[Afinidad: 50/100 - Afinidad Moderada]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2f75775e4b61d612</t>
        </is>
      </c>
      <c r="B510" s="2" t="inlineStr">
        <is>
          <t>2026-10-08 17:49</t>
        </is>
      </c>
      <c r="C510" s="3" t="inlineStr">
        <is>
          <t>Analista SST Barranquilla</t>
        </is>
      </c>
      <c r="D510" s="3" t="inlineStr">
        <is>
          <t>Central de Soldaduras</t>
        </is>
      </c>
      <c r="E510" s="7" t="n">
        <v>0.5</v>
      </c>
      <c r="F510" s="2" t="inlineStr">
        <is>
          <t>Remoto</t>
        </is>
      </c>
      <c r="G510" s="5">
        <f>HYPERLINK("https://co.computrabajo.com/ofertas-de-trabajo/oferta-de-trabajo-de-analista-sst-barranquilla-barranquilla-en-barranquilla-3555C9664FCDDC7461373E686DCF3405", "Ver Vacante")</f>
        <v/>
      </c>
      <c r="H510" s="6" t="inlineStr">
        <is>
          <t>$ 2.500.000,00 (Mensual)</t>
        </is>
      </c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d6a083d792a58686</t>
        </is>
      </c>
      <c r="B511" s="2" t="inlineStr">
        <is>
          <t>2026-10-08 17:49</t>
        </is>
      </c>
      <c r="C511" s="3" t="inlineStr">
        <is>
          <t>Director de interventoría proyectos de tecnología</t>
        </is>
      </c>
      <c r="D511" s="3" t="inlineStr">
        <is>
          <t>Confidencial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HYPERLINK("https://www.elempleo.com/co/ofertas-trabajo/director-de-interventoria-proyectos-de-tecnologia-1886751674", "Ver Vacante")</f>
        <v/>
      </c>
      <c r="H511" s="6" t="inlineStr"/>
      <c r="I5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71fa4670d99b5f51</t>
        </is>
      </c>
      <c r="B512" s="2" t="inlineStr">
        <is>
          <t>2026-10-08 17:49</t>
        </is>
      </c>
      <c r="C512" s="3" t="inlineStr">
        <is>
          <t>Analista sst barranquilla</t>
        </is>
      </c>
      <c r="D512" s="3" t="inlineStr">
        <is>
          <t>CENTRAL DE SOLDADURAS Y PROTECCION INDUSTRIAL SA</t>
        </is>
      </c>
      <c r="E512" s="7" t="n">
        <v>0.5</v>
      </c>
      <c r="F512" s="2" t="inlineStr">
        <is>
          <t>Remoto</t>
        </is>
      </c>
      <c r="G512" s="5">
        <f>HYPERLINK("https://www.elempleo.com/co/ofertas-trabajo/analista-sst-barranquilla-1886777808",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aa81b6cc9d391416</t>
        </is>
      </c>
      <c r="B513" s="2" t="inlineStr">
        <is>
          <t>2026-10-08 17:49</t>
        </is>
      </c>
      <c r="C513" s="3" t="inlineStr">
        <is>
          <t>Analista de sst</t>
        </is>
      </c>
      <c r="D513" s="3" t="inlineStr">
        <is>
          <t>SDT INGENIERIA</t>
        </is>
      </c>
      <c r="E513" s="7" t="n">
        <v>0.5</v>
      </c>
      <c r="F513" s="2" t="inlineStr">
        <is>
          <t>Remoto</t>
        </is>
      </c>
      <c r="G513" s="5">
        <f>HYPERLINK("https://www.elempleo.com/co/ofertas-trabajo/analista-de-sst-1886766788", "Ver Vacante")</f>
        <v/>
      </c>
      <c r="H513" s="6" t="inlineStr"/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36f09f98081168b8</t>
        </is>
      </c>
      <c r="B514" s="2" t="inlineStr">
        <is>
          <t>2026-10-08 17:49</t>
        </is>
      </c>
      <c r="C514" s="3" t="inlineStr">
        <is>
          <t>Director de interventoría civil/ barranquilla</t>
        </is>
      </c>
      <c r="D514" s="3" t="inlineStr">
        <is>
          <t>INP PROYECTOS</t>
        </is>
      </c>
      <c r="E514" s="7" t="n">
        <v>0.5</v>
      </c>
      <c r="F514" s="2" t="inlineStr">
        <is>
          <t>Remoto</t>
        </is>
      </c>
      <c r="G514" s="5">
        <f>HYPERLINK("https://www.elempleo.com/co/ofertas-trabajo/director-de-interventoria-civil-barranquilla-1886778042", "Ver Vacante")</f>
        <v/>
      </c>
      <c r="H514" s="6" t="inlineStr"/>
      <c r="I5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8e266c5d7222e7b3</t>
        </is>
      </c>
      <c r="B515" s="2" t="inlineStr">
        <is>
          <t>2026-10-08 17:49</t>
        </is>
      </c>
      <c r="C515" s="3" t="inlineStr">
        <is>
          <t>ANALISTA DE PREVENCIÓN DE RIESGOS</t>
        </is>
      </c>
      <c r="D515" s="3" t="inlineStr">
        <is>
          <t>Softys</t>
        </is>
      </c>
      <c r="E515" s="7" t="n">
        <v>0.5</v>
      </c>
      <c r="F515" s="2" t="inlineStr">
        <is>
          <t>Remoto</t>
        </is>
      </c>
      <c r="G515" s="5">
        <f>HYPERLINK("https://co.linkedin.com/jobs/view/analista-de-prevenci%C3%B3n-de-riesgos-at-softys-4477414422",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dc956d32aa9a8b73</t>
        </is>
      </c>
      <c r="B516" s="2" t="inlineStr">
        <is>
          <t>2026-10-08 17:49</t>
        </is>
      </c>
      <c r="C516" s="3" t="inlineStr">
        <is>
          <t>Gerente HSEQ Colombia</t>
        </is>
      </c>
      <c r="D516" s="3" t="inlineStr">
        <is>
          <t>Confidential Global Company</t>
        </is>
      </c>
      <c r="E516" s="7" t="n">
        <v>0.5</v>
      </c>
      <c r="F516" s="2" t="inlineStr">
        <is>
          <t>Remoto</t>
        </is>
      </c>
      <c r="G516" s="5">
        <f>HYPERLINK("https://co.linkedin.com/jobs/view/gerente-hseq-colombia-at-confidential-global-company-4474848020",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3242aaf824bc3dda</t>
        </is>
      </c>
      <c r="B517" s="2" t="inlineStr">
        <is>
          <t>2026-10-09 17:24</t>
        </is>
      </c>
      <c r="C517" s="3" t="inlineStr">
        <is>
          <t>Analista de sst</t>
        </is>
      </c>
      <c r="D517" s="3" t="inlineStr">
        <is>
          <t>SDT INGENIERIA</t>
        </is>
      </c>
      <c r="E517" s="7" t="n">
        <v>0.5</v>
      </c>
      <c r="F517" s="2" t="inlineStr">
        <is>
          <t>Remoto</t>
        </is>
      </c>
      <c r="G517" s="5">
        <f>HYPERLINK("https://www.elempleo.com/co/ofertas-trabajo/analista-de-sst-1886767029",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499dfd3c3fe36759</t>
        </is>
      </c>
      <c r="B518" s="2" t="inlineStr">
        <is>
          <t>2026-10-09 17:24</t>
        </is>
      </c>
      <c r="C518" s="3" t="inlineStr">
        <is>
          <t>Coordinado/a de hseq tecnico / tecnologo</t>
        </is>
      </c>
      <c r="D518" s="3" t="inlineStr">
        <is>
          <t>GI GROUP STAFFING S.A.S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HYPERLINK("https://www.elempleo.com/co/ofertas-trabajo/coordinado-a-de-hseq-tecnico-tecnologo-licencia-de-maternidad-1886771543",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0109762cd9024f46</t>
        </is>
      </c>
      <c r="B519" s="2" t="inlineStr">
        <is>
          <t>2026-10-09 17:24</t>
        </is>
      </c>
      <c r="C519" s="3" t="inlineStr">
        <is>
          <t>Técnico electromecánico de construccion, infraestructura y mineria - bogotá</t>
        </is>
      </c>
      <c r="D519" s="3" t="inlineStr">
        <is>
          <t>IMOCOM S.A.</t>
        </is>
      </c>
      <c r="E519" s="7" t="n">
        <v>0.5</v>
      </c>
      <c r="F519" s="2" t="inlineStr">
        <is>
          <t>Remoto</t>
        </is>
      </c>
      <c r="G519" s="5">
        <f>HYPERLINK("https://www.elempleo.com/co/ofertas-trabajo/tecnico-electromecanico-de-construccion-infraestructura-y-mineria-bogota-1886778387", "Ver Vacante")</f>
        <v/>
      </c>
      <c r="H519" s="6" t="inlineStr"/>
      <c r="I519" s="3" t="inlineStr">
        <is>
          <t>[Afinidad: 50/100 - Afinidad Moderada] Afinidad parcial en infraestructura vial y transporte.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ebbafdcb037d5a8f</t>
        </is>
      </c>
      <c r="B520" s="2" t="inlineStr">
        <is>
          <t>2026-10-09 17:24</t>
        </is>
      </c>
      <c r="C520" s="3" t="inlineStr">
        <is>
          <t>Director de interventoría alianza público privada</t>
        </is>
      </c>
      <c r="D520" s="3" t="inlineStr">
        <is>
          <t>JAHV MC GREGOR S.A.S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HYPERLINK("https://www.elempleo.com/co/ofertas-trabajo/director-de-interventoria-alianza-publico-privada-1886778469", "Ver Vacante")</f>
        <v/>
      </c>
      <c r="H520" s="6" t="inlineStr"/>
      <c r="I5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32abefbaefd4cddd</t>
        </is>
      </c>
      <c r="B521" s="2" t="inlineStr">
        <is>
          <t>2026-10-09 17:24</t>
        </is>
      </c>
      <c r="C521" s="3" t="inlineStr">
        <is>
          <t>Analista EHS</t>
        </is>
      </c>
      <c r="D521" s="3" t="inlineStr">
        <is>
          <t>Lincoln Electric</t>
        </is>
      </c>
      <c r="E521" s="7" t="n">
        <v>0.5</v>
      </c>
      <c r="F521" s="2" t="inlineStr">
        <is>
          <t>Remoto</t>
        </is>
      </c>
      <c r="G521" s="5">
        <f>HYPERLINK("https://co.linkedin.com/jobs/view/analista-ehs-seguridad-y-salud-en-el-trabajo-at-lincoln-electric-4474840851", "Ver Vacante")</f>
        <v/>
      </c>
      <c r="H521" s="6" t="inlineStr"/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9f48cd60fe83e0b2</t>
        </is>
      </c>
      <c r="B522" s="2" t="inlineStr">
        <is>
          <t>2026-10-09 17:24</t>
        </is>
      </c>
      <c r="C522" s="3" t="inlineStr">
        <is>
          <t>Líder HSEQ</t>
        </is>
      </c>
      <c r="D522" s="3" t="inlineStr">
        <is>
          <t>Maper S.A.</t>
        </is>
      </c>
      <c r="E522" s="7" t="n">
        <v>0.5</v>
      </c>
      <c r="F522" s="2" t="inlineStr">
        <is>
          <t>Remoto</t>
        </is>
      </c>
      <c r="G522" s="5">
        <f>HYPERLINK("https://co.linkedin.com/jobs/view/l%C3%ADder-hseq-at-maper-s-a-4477497086", "Ver Vacante")</f>
        <v/>
      </c>
      <c r="H522" s="6" t="inlineStr"/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54509dab223406bc</t>
        </is>
      </c>
      <c r="B523" s="2" t="inlineStr">
        <is>
          <t>2026-10-09 17:24</t>
        </is>
      </c>
      <c r="C523" s="3" t="inlineStr">
        <is>
          <t>Ingeniero SST</t>
        </is>
      </c>
      <c r="D523" s="3" t="inlineStr">
        <is>
          <t>KMA Construcciones</t>
        </is>
      </c>
      <c r="E523" s="7" t="n">
        <v>0.5</v>
      </c>
      <c r="F523" s="2" t="inlineStr">
        <is>
          <t>Remoto</t>
        </is>
      </c>
      <c r="G523" s="5">
        <f>HYPERLINK("https://co.linkedin.com/jobs/view/ingeniero-sst-at-kma-construcciones-4477673383", "Ver Vacante")</f>
        <v/>
      </c>
      <c r="H523" s="6" t="inlineStr"/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f6d29e951e9ba5cd</t>
        </is>
      </c>
      <c r="B524" s="2" t="inlineStr">
        <is>
          <t>2026-10-10 16:13</t>
        </is>
      </c>
      <c r="C524" s="3" t="inlineStr">
        <is>
          <t>Analista de Seguridad y Salud en el Trabajo</t>
        </is>
      </c>
      <c r="D524" s="3" t="inlineStr">
        <is>
          <t>Importante empresa del sector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HYPERLINK("https://co.computrabajo.com/ofertas-de-trabajo/oferta-de-trabajo-de-analista-de-seguridad-y-salud-en-el-trabajo-en-medellin-FAEF3F867611F5DB61373E686DCF3405",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3a1177264c4af4b9</t>
        </is>
      </c>
      <c r="B525" s="2" t="inlineStr">
        <is>
          <t>2026-10-10 16:13</t>
        </is>
      </c>
      <c r="C525" s="3" t="inlineStr">
        <is>
          <t>Analista de SST</t>
        </is>
      </c>
      <c r="D525" s="3" t="inlineStr">
        <is>
          <t>FN Servicios</t>
        </is>
      </c>
      <c r="E525" s="7" t="n">
        <v>0.5</v>
      </c>
      <c r="F525" s="2" t="inlineStr">
        <is>
          <t>Remoto</t>
        </is>
      </c>
      <c r="G525" s="5">
        <f>HYPERLINK("https://co.computrabajo.com/ofertas-de-trabajo/oferta-de-trabajo-de-analista-de-sst-en-yumbo-49CDB83036A8FA1161373E686DCF3405", "Ver Vacante")</f>
        <v/>
      </c>
      <c r="H525" s="6" t="inlineStr">
        <is>
          <t>$ 3.023.502,00 (Mensual)</t>
        </is>
      </c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5bbb69ab2f057428</t>
        </is>
      </c>
      <c r="B526" s="2" t="inlineStr">
        <is>
          <t>2026-10-10 16:13</t>
        </is>
      </c>
      <c r="C526" s="3" t="inlineStr">
        <is>
          <t>Director de SST</t>
        </is>
      </c>
      <c r="D526" s="3" t="inlineStr">
        <is>
          <t>Importante empresa del sector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HYPERLINK("https://co.computrabajo.com/ofertas-de-trabajo/oferta-de-trabajo-de-director-de-sst-ingeniero-especialista-de-sst-en-barranquilla-D770A087992E5E8C61373E686DCF3405", "Ver Vacante")</f>
        <v/>
      </c>
      <c r="H526" s="6" t="inlineStr"/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d6570de98c9840c3</t>
        </is>
      </c>
      <c r="B527" s="2" t="inlineStr">
        <is>
          <t>2026-10-10 16:13</t>
        </is>
      </c>
      <c r="C527" s="3" t="inlineStr">
        <is>
          <t>Lider de seguridad y salud en el trabajo</t>
        </is>
      </c>
      <c r="D527" s="3" t="inlineStr">
        <is>
          <t>ORGANIZACION GEN</t>
        </is>
      </c>
      <c r="E527" s="7" t="n">
        <v>0.5</v>
      </c>
      <c r="F527" s="2" t="inlineStr">
        <is>
          <t>Remoto</t>
        </is>
      </c>
      <c r="G527" s="5">
        <f>HYPERLINK("https://www.elempleo.com/co/ofertas-trabajo/lider-de-seguridad-y-salud-en-el-trabajo-1886779163", "Ver Vacante")</f>
        <v/>
      </c>
      <c r="H527" s="6" t="inlineStr"/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788ad7d375adc1a0</t>
        </is>
      </c>
      <c r="B528" s="2" t="inlineStr">
        <is>
          <t>2026-10-10 16:13</t>
        </is>
      </c>
      <c r="C528" s="3" t="inlineStr">
        <is>
          <t>Inspector tecnico - idu</t>
        </is>
      </c>
      <c r="D528" s="3" t="inlineStr">
        <is>
          <t>MAB INGENIERIA DE VALOR SA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HYPERLINK("https://www.elempleo.com/co/ofertas-trabajo/inspector-tecnico-idu-suba-1886776756", "Ver Vacante")</f>
        <v/>
      </c>
      <c r="H528" s="6" t="inlineStr"/>
      <c r="I528" s="3" t="inlineStr">
        <is>
          <t>[Afinidad: 50/100 - Afinidad Moderada] Afinidad parcial en infraestructura vial y transporte.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b2163ba944ba067e</t>
        </is>
      </c>
      <c r="B529" s="2" t="inlineStr">
        <is>
          <t>2026-10-10 16:13</t>
        </is>
      </c>
      <c r="C529" s="3" t="inlineStr">
        <is>
          <t>Analista de sst</t>
        </is>
      </c>
      <c r="D529" s="3" t="inlineStr">
        <is>
          <t>Confidencial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HYPERLINK("https://www.elempleo.com/co/ofertas-trabajo/analista-de-sst-1886775924",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54f011a4bbc3566d</t>
        </is>
      </c>
      <c r="B530" s="2" t="inlineStr">
        <is>
          <t>2026-10-10 16:13</t>
        </is>
      </c>
      <c r="C530" s="3" t="inlineStr">
        <is>
          <t>Analista de seguridad y salud en el trabajo credibanco</t>
        </is>
      </c>
      <c r="D530" s="3" t="inlineStr">
        <is>
          <t>Confidencial</t>
        </is>
      </c>
      <c r="E530" s="7" t="n">
        <v>0.5</v>
      </c>
      <c r="F530" s="2" t="inlineStr">
        <is>
          <t>Remoto</t>
        </is>
      </c>
      <c r="G530" s="5">
        <f>HYPERLINK("https://www.elempleo.com/co/ofertas-trabajo/analista-de-seguridad-y-salud-en-el-trabajo-credibanco-1886774030", "Ver Vacante")</f>
        <v/>
      </c>
      <c r="H530" s="6" t="inlineStr"/>
      <c r="I530" s="3" t="inlineStr">
        <is>
          <t>[Afinidad: 50/100 - Afinidad Moderada]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10800df9ba1b3e4f</t>
        </is>
      </c>
      <c r="B531" s="2" t="inlineStr">
        <is>
          <t>2026-10-10 16:13</t>
        </is>
      </c>
      <c r="C531" s="3" t="inlineStr">
        <is>
          <t>INGENIERO RESIDENTE SST</t>
        </is>
      </c>
      <c r="D531" s="3" t="inlineStr">
        <is>
          <t>Grupo alc asociados sas</t>
        </is>
      </c>
      <c r="E531" s="7" t="n">
        <v>0.5</v>
      </c>
      <c r="F531" s="2" t="inlineStr">
        <is>
          <t>Remoto</t>
        </is>
      </c>
      <c r="G531" s="5">
        <f>HYPERLINK("https://co.linkedin.com/jobs/view/ingeniero-residente-sst-4477879083", "Ver Vacante")</f>
        <v/>
      </c>
      <c r="H531" s="6" t="inlineStr"/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a0f69722e6c11581</t>
        </is>
      </c>
      <c r="B532" s="2" t="inlineStr">
        <is>
          <t>2026-10-11 16:39</t>
        </is>
      </c>
      <c r="C532" s="3" t="inlineStr">
        <is>
          <t>Analista mantenimiento e infraestructura - fontibon</t>
        </is>
      </c>
      <c r="D532" s="3" t="inlineStr">
        <is>
          <t>ALFA TRADING S.A.S.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HYPERLINK("https://www.elempleo.com/co/ofertas-trabajo/analista-mantenimiento-e-infraestructura-fontibon-1886697592", "Ver Vacante")</f>
        <v/>
      </c>
      <c r="H532" s="6" t="inlineStr"/>
      <c r="I532" s="3" t="inlineStr">
        <is>
          <t>[Afinidad: 50/100 - Afinidad Moderada] Afinidad parcial en infraestructura vial y transporte.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377f186c3b4bebfb</t>
        </is>
      </c>
      <c r="B533" s="2" t="inlineStr">
        <is>
          <t>2026-10-11 16:39</t>
        </is>
      </c>
      <c r="C533" s="3" t="inlineStr">
        <is>
          <t>Gerente de proyectos</t>
        </is>
      </c>
      <c r="D533" s="3" t="inlineStr">
        <is>
          <t>ENTELGY COLOMBIA S.A.S</t>
        </is>
      </c>
      <c r="E533" s="7" t="n">
        <v>0.5</v>
      </c>
      <c r="F533" s="2" t="inlineStr">
        <is>
          <t>Remoto</t>
        </is>
      </c>
      <c r="G533" s="5">
        <f>HYPERLINK("https://www.elempleo.com/co/ofertas-trabajo/gerente-de-proyectos-erp-oracle-fusion-1886573332", "Ver Vacante")</f>
        <v/>
      </c>
      <c r="H533" s="6" t="inlineStr"/>
      <c r="I5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35986f89e972157a</t>
        </is>
      </c>
      <c r="B534" s="2" t="inlineStr">
        <is>
          <t>2026-10-11 16:39</t>
        </is>
      </c>
      <c r="C534" s="3" t="inlineStr">
        <is>
          <t>Gerente de proyectos</t>
        </is>
      </c>
      <c r="D534" s="3" t="inlineStr">
        <is>
          <t>Botánika Constructora SAS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HYPERLINK("https://www.elempleo.com/co/ofertas-trabajo/gerente-de-proyectos-1886753884",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d8d69ef60cc44b32</t>
        </is>
      </c>
      <c r="B535" s="2" t="inlineStr">
        <is>
          <t>2026-10-11 16:39</t>
        </is>
      </c>
      <c r="C535" s="3" t="inlineStr">
        <is>
          <t>Director de proyecto</t>
        </is>
      </c>
      <c r="D535" s="3" t="inlineStr">
        <is>
          <t>Energua, S.A</t>
        </is>
      </c>
      <c r="E535" s="7" t="n">
        <v>0.5</v>
      </c>
      <c r="F535" s="2" t="inlineStr">
        <is>
          <t>Remoto</t>
        </is>
      </c>
      <c r="G535" s="5">
        <f>HYPERLINK("https://co.linkedin.com/jobs/view/director-de-proyecto-at-energua-s-a-4478328729", "Ver Vacante")</f>
        <v/>
      </c>
      <c r="H535" s="6" t="inlineStr"/>
      <c r="I5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4d53f280e67a0067</t>
        </is>
      </c>
      <c r="B536" s="2" t="inlineStr">
        <is>
          <t>2026-10-12 20:14</t>
        </is>
      </c>
      <c r="C536" s="3" t="inlineStr">
        <is>
          <t>Líder de Seguridad y Salud en el Trabajo</t>
        </is>
      </c>
      <c r="D536" s="3" t="inlineStr">
        <is>
          <t>TEMPOTRABAJO S.A.S</t>
        </is>
      </c>
      <c r="E536" s="7" t="n">
        <v>0.5</v>
      </c>
      <c r="F536" s="2" t="inlineStr">
        <is>
          <t>Remoto</t>
        </is>
      </c>
      <c r="G536" s="5">
        <f>HYPERLINK("https://co.linkedin.com/jobs/view/l%C3%ADder-de-seguridad-y-salud-en-el-trabajo-at-tempotrabajo-s-a-s-4462188022", "Ver Vacante")</f>
        <v/>
      </c>
      <c r="H536" s="6" t="inlineStr"/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cf0519f123555c16</t>
        </is>
      </c>
      <c r="B537" s="2" t="inlineStr">
        <is>
          <t>2026-10-13 18:04</t>
        </is>
      </c>
      <c r="C537" s="3" t="inlineStr">
        <is>
          <t>Analista de SST</t>
        </is>
      </c>
      <c r="D537" s="3" t="inlineStr">
        <is>
          <t>EMPRESA DE SERVICIOS TEMPORALES MAXEMPLEOS S.A.S.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HYPERLINK("https://co.computrabajo.com/ofertas-de-trabajo/oferta-de-trabajo-de-analista-de-sst-medellin-en-medellin-E310C076E92B90B961373E686DCF3405", "Ver Vacante")</f>
        <v/>
      </c>
      <c r="H537" s="6" t="inlineStr">
        <is>
          <t>$ 2.175.000,00 (Mensual)</t>
        </is>
      </c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7dbcf3d6e7b2c967</t>
        </is>
      </c>
      <c r="B538" s="2" t="inlineStr">
        <is>
          <t>2026-10-13 18:04</t>
        </is>
      </c>
      <c r="C538" s="3" t="inlineStr">
        <is>
          <t>Técnico de Seguridad Vial</t>
        </is>
      </c>
      <c r="D538" s="3" t="inlineStr">
        <is>
          <t>Grupo emi S.A.S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HYPERLINK("https://co.computrabajo.com/ofertas-de-trabajo/oferta-de-trabajo-de-tecnico-de-seguridad-vial-motorizado-bogota-en-bogota-dc-5BA6FE9648DBC1D461373E686DCF3405", "Ver Vacante")</f>
        <v/>
      </c>
      <c r="H538" s="6" t="inlineStr">
        <is>
          <t>$ 2.300.000,00 (Mensual)</t>
        </is>
      </c>
      <c r="I538" s="3" t="inlineStr">
        <is>
          <t>[Afinidad: 50/100 - Afinidad Moderada] Afinidad parcial en infraestructura vial y transporte.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c008438982e4a9e8</t>
        </is>
      </c>
      <c r="B539" s="2" t="inlineStr">
        <is>
          <t>2026-10-13 18:04</t>
        </is>
      </c>
      <c r="C539" s="3" t="inlineStr">
        <is>
          <t>Líder hseq</t>
        </is>
      </c>
      <c r="D539" s="3" t="inlineStr">
        <is>
          <t>Fibra Redes Construcciones S.A.S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HYPERLINK("https://www.elempleo.com/co/ofertas-trabajo/lider-hseq-1886761814", "Ver Vacante")</f>
        <v/>
      </c>
      <c r="H539" s="6" t="inlineStr"/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6a55d4ab9069767f</t>
        </is>
      </c>
      <c r="B540" s="2" t="inlineStr">
        <is>
          <t>2026-10-13 18:04</t>
        </is>
      </c>
      <c r="C540" s="3" t="inlineStr">
        <is>
          <t>Consultor sst (prestación de servicios) - empresa de señalización / para norcasia caldas</t>
        </is>
      </c>
      <c r="D540" s="3" t="inlineStr">
        <is>
          <t>Listos S.A.S</t>
        </is>
      </c>
      <c r="E540" s="7" t="n">
        <v>0.5</v>
      </c>
      <c r="F540" s="2" t="inlineStr">
        <is>
          <t>Remoto</t>
        </is>
      </c>
      <c r="G540" s="5">
        <f>HYPERLINK("https://www.elempleo.com/co/ofertas-trabajo/consultor-sst-prestacion-de-servicios-empresa-de-senalizacion-para-norcasia-caldas-1886779482", "Ver Vacante")</f>
        <v/>
      </c>
      <c r="H540" s="6" t="inlineStr"/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c2205066f67950c1</t>
        </is>
      </c>
      <c r="B541" s="2" t="inlineStr">
        <is>
          <t>2026-10-13 18:04</t>
        </is>
      </c>
      <c r="C541" s="3" t="inlineStr">
        <is>
          <t>Senior Civil Engineer</t>
        </is>
      </c>
      <c r="D541" s="3" t="inlineStr">
        <is>
          <t>WSP en Colombia</t>
        </is>
      </c>
      <c r="E541" s="7" t="n">
        <v>0.5</v>
      </c>
      <c r="F541" s="2" t="inlineStr">
        <is>
          <t>Remoto</t>
        </is>
      </c>
      <c r="G541" s="5">
        <f>HYPERLINK("https://co.linkedin.com/jobs/view/senior-civil-engineer-at-wsp-en-colombia-4468596576", "Ver Vacante")</f>
        <v/>
      </c>
      <c r="H541" s="6" t="inlineStr"/>
      <c r="I5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8bfdcd2918428b27</t>
        </is>
      </c>
      <c r="B542" s="2" t="inlineStr">
        <is>
          <t>2026-10-13 18:04</t>
        </is>
      </c>
      <c r="C542" s="3" t="inlineStr">
        <is>
          <t>Senior Civil Engineer</t>
        </is>
      </c>
      <c r="D542" s="3" t="inlineStr">
        <is>
          <t>Worley</t>
        </is>
      </c>
      <c r="E542" s="7" t="n">
        <v>0.5</v>
      </c>
      <c r="F542" s="2" t="inlineStr">
        <is>
          <t>Remoto</t>
        </is>
      </c>
      <c r="G542" s="5">
        <f>HYPERLINK("https://co.linkedin.com/jobs/view/senior-civil-engineer-talent-pool-ecopetrol-at-worley-4474350208", "Ver Vacante")</f>
        <v/>
      </c>
      <c r="H542" s="6" t="inlineStr"/>
      <c r="I5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dcbfedd72ea315f3</t>
        </is>
      </c>
      <c r="B543" s="2" t="inlineStr">
        <is>
          <t>2026-10-14 15:48</t>
        </is>
      </c>
      <c r="C543" s="3" t="inlineStr">
        <is>
          <t>Líder Pesv y Ambiental</t>
        </is>
      </c>
      <c r="D543" s="3" t="inlineStr">
        <is>
          <t>Contratamos S.A.S.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HYPERLINK("https://co.computrabajo.com/ofertas-de-trabajo/oferta-de-trabajo-de-lider-pesv-y-ambiental-calle-80-en-bogota-dc-DDFFD7E60419DEAD61373E686DCF3405", "Ver Vacante")</f>
        <v/>
      </c>
      <c r="H543" s="6" t="inlineStr"/>
      <c r="I543" s="3" t="inlineStr">
        <is>
          <t>[Afinidad: 50/100 - Afinidad Moderada] Afinidad parcial en infraestructura vial y transporte.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a716d4100a0f8155</t>
        </is>
      </c>
      <c r="B544" s="2" t="inlineStr">
        <is>
          <t>2026-10-14 15:48</t>
        </is>
      </c>
      <c r="C544" s="3" t="inlineStr">
        <is>
          <t>Técnico de infraestructura y redes de telecomunicaciones - casanare</t>
        </is>
      </c>
      <c r="D544" s="3" t="inlineStr">
        <is>
          <t>SDT INGENIERIA</t>
        </is>
      </c>
      <c r="E544" s="7" t="n">
        <v>0.5</v>
      </c>
      <c r="F544" s="2" t="inlineStr">
        <is>
          <t>Remoto</t>
        </is>
      </c>
      <c r="G544" s="5">
        <f>HYPERLINK("https://www.elempleo.com/co/ofertas-trabajo/tecnico-de-infraestructura-y-redes-de-telecomunicaciones-casanare-1886779754", "Ver Vacante")</f>
        <v/>
      </c>
      <c r="H544" s="6" t="inlineStr"/>
      <c r="I544" s="3" t="inlineStr">
        <is>
          <t>[Afinidad: 50/100 - Afinidad Moderada] Afinidad parcial en infraestructura vial y transporte.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e16481764d9ac0be</t>
        </is>
      </c>
      <c r="B545" s="2" t="inlineStr">
        <is>
          <t>2026-10-14 15:48</t>
        </is>
      </c>
      <c r="C545" s="3" t="inlineStr">
        <is>
          <t>Analista de seguridad y salud en el trabajo</t>
        </is>
      </c>
      <c r="D545" s="3" t="inlineStr">
        <is>
          <t>KAESER Compresores de Colombia</t>
        </is>
      </c>
      <c r="E545" s="7" t="n">
        <v>0.5</v>
      </c>
      <c r="F545" s="2" t="inlineStr">
        <is>
          <t>Remoto</t>
        </is>
      </c>
      <c r="G545" s="5">
        <f>HYPERLINK("https://co.linkedin.com/jobs/view/analista-de-seguridad-y-salud-en-el-trabajo-pcd-at-kaeser-compresores-de-colombia-4479222663", "Ver Vacante")</f>
        <v/>
      </c>
      <c r="H545" s="6" t="inlineStr"/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dc4b0f214ffa8362</t>
        </is>
      </c>
      <c r="B546" s="2" t="inlineStr">
        <is>
          <t>2026-10-14 15:48</t>
        </is>
      </c>
      <c r="C546" s="3" t="inlineStr">
        <is>
          <t>Director de Proyectos y Construcción</t>
        </is>
      </c>
      <c r="D546" s="3" t="inlineStr">
        <is>
          <t>Michael Page</t>
        </is>
      </c>
      <c r="E546" s="7" t="n">
        <v>0.5</v>
      </c>
      <c r="F546" s="2" t="inlineStr">
        <is>
          <t>Remoto</t>
        </is>
      </c>
      <c r="G546" s="5">
        <f>HYPERLINK("https://co.linkedin.com/jobs/view/director-de-proyectos-y-construcci%C3%B3n-at-michael-page-4478188340", "Ver Vacante")</f>
        <v/>
      </c>
      <c r="H546" s="6" t="inlineStr"/>
      <c r="I5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788b9cdc48691333</t>
        </is>
      </c>
      <c r="B547" s="2" t="inlineStr">
        <is>
          <t>2026-10-14 15:48</t>
        </is>
      </c>
      <c r="C547" s="3" t="inlineStr">
        <is>
          <t>Director de proyectos ambientales</t>
        </is>
      </c>
      <c r="D547" s="3" t="inlineStr">
        <is>
          <t>Metro Quadrantte Construction</t>
        </is>
      </c>
      <c r="E547" s="7" t="n">
        <v>0.5</v>
      </c>
      <c r="F547" s="2" t="inlineStr">
        <is>
          <t>Remoto</t>
        </is>
      </c>
      <c r="G547" s="5">
        <f>HYPERLINK("https://co.linkedin.com/jobs/view/director-de-proyectos-ambientales-at-metro-quadrantte-construction-4479218980", "Ver Vacante")</f>
        <v/>
      </c>
      <c r="H547" s="6" t="inlineStr"/>
      <c r="I5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b16c711f00d91f2f</t>
        </is>
      </c>
      <c r="B548" s="2" t="inlineStr">
        <is>
          <t>2026-10-15 15:36</t>
        </is>
      </c>
      <c r="C548" s="3" t="inlineStr">
        <is>
          <t>Analista de Seguridad y Salud en el Trabajo / Bogota</t>
        </is>
      </c>
      <c r="D548" s="3" t="inlineStr">
        <is>
          <t>Gi Group Colombia</t>
        </is>
      </c>
      <c r="E548" s="7" t="n">
        <v>0.5</v>
      </c>
      <c r="F548" s="2" t="inlineStr">
        <is>
          <t>Remoto</t>
        </is>
      </c>
      <c r="G548" s="5">
        <f>HYPERLINK("https://co.computrabajo.com/ofertas-de-trabajo/oferta-de-trabajo-de-analista-de-seguridad-y-salud-en-el-trabajo-bogota-en-bogota-dc-6C52717166EEE4AD61373E686DCF3405", "Ver Vacante")</f>
        <v/>
      </c>
      <c r="H548" s="6" t="inlineStr">
        <is>
          <t>$ 4.000.000,00 (Mensual)</t>
        </is>
      </c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96a63ec87377dad7</t>
        </is>
      </c>
      <c r="B549" s="2" t="inlineStr">
        <is>
          <t>2026-10-15 15:36</t>
        </is>
      </c>
      <c r="C549" s="3" t="inlineStr">
        <is>
          <t>Analista de seguridad y salud en el trabajo en Medellín!</t>
        </is>
      </c>
      <c r="D549" s="3" t="inlineStr">
        <is>
          <t>Importante empresa del sector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49" s="6" t="inlineStr">
        <is>
          <t>$ 3.200.000,00 (Mensual)</t>
        </is>
      </c>
      <c r="I549" s="3" t="inlineStr">
        <is>
          <t>[Afinidad: 50/100 - Afinidad Moderada]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e0889a6fb5b8e45e</t>
        </is>
      </c>
      <c r="B550" s="2" t="inlineStr">
        <is>
          <t>2026-10-15 15:36</t>
        </is>
      </c>
      <c r="C550" s="3" t="inlineStr">
        <is>
          <t>Analista de HSEQ</t>
        </is>
      </c>
      <c r="D550" s="3" t="inlineStr">
        <is>
          <t>Importante empresa del sector</t>
        </is>
      </c>
      <c r="E550" s="7" t="n">
        <v>0.5</v>
      </c>
      <c r="F550" s="2" t="inlineStr">
        <is>
          <t>Remoto</t>
        </is>
      </c>
      <c r="G550" s="5">
        <f>HYPERLINK("https://co.computrabajo.com/ofertas-de-trabajo/oferta-de-trabajo-de-analista-de-hseq-contrato-directo-con-la-compania-en-funza-373FAD54294F90AC61373E686DCF3405", "Ver Vacante")</f>
        <v/>
      </c>
      <c r="H550" s="6" t="inlineStr"/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62e770ac2c7bb60b</t>
        </is>
      </c>
      <c r="B551" s="2" t="inlineStr">
        <is>
          <t>2026-10-15 15:36</t>
        </is>
      </c>
      <c r="C551" s="3" t="inlineStr">
        <is>
          <t>Ingeniero industrial con especializacion en SST</t>
        </is>
      </c>
      <c r="D551" s="3" t="inlineStr">
        <is>
          <t>ACTIVOS S A S</t>
        </is>
      </c>
      <c r="E551" s="7" t="n">
        <v>0.5</v>
      </c>
      <c r="F551" s="2" t="inlineStr">
        <is>
          <t>Remoto</t>
        </is>
      </c>
      <c r="G551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51" s="6" t="inlineStr">
        <is>
          <t>$ 4.536.000,00 (Mensual)</t>
        </is>
      </c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ce72b729e069fb6b</t>
        </is>
      </c>
      <c r="B552" s="2" t="inlineStr">
        <is>
          <t>2026-10-15 15:36</t>
        </is>
      </c>
      <c r="C552" s="3" t="inlineStr">
        <is>
          <t>director de proyectos</t>
        </is>
      </c>
      <c r="D552" s="3" t="inlineStr">
        <is>
          <t>NAVARRO E HIJOS CONSTRUCTORES SAS</t>
        </is>
      </c>
      <c r="E552" s="7" t="n">
        <v>0.5</v>
      </c>
      <c r="F552" s="2" t="inlineStr">
        <is>
          <t>Remoto</t>
        </is>
      </c>
      <c r="G552" s="5">
        <f>HYPERLINK("https://co.computrabajo.com/ofertas-de-trabajo/oferta-de-trabajo-de-director-de-proyectos-en-galapa-5C3721D21A631E4C61373E686DCF3405", "Ver Vacante")</f>
        <v/>
      </c>
      <c r="H552" s="6" t="inlineStr">
        <is>
          <t>$ 5.000.000,00 (Mensual) + Comisiones</t>
        </is>
      </c>
      <c r="I5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430d70533bacfcb6</t>
        </is>
      </c>
      <c r="B553" s="2" t="inlineStr">
        <is>
          <t>2026-10-15 15:36</t>
        </is>
      </c>
      <c r="C553" s="3" t="inlineStr">
        <is>
          <t>Director hseq barranquilla</t>
        </is>
      </c>
      <c r="D553" s="3" t="inlineStr">
        <is>
          <t>Aseocolba S. A.</t>
        </is>
      </c>
      <c r="E553" s="7" t="n">
        <v>0.5</v>
      </c>
      <c r="F553" s="2" t="inlineStr">
        <is>
          <t>Remoto</t>
        </is>
      </c>
      <c r="G553" s="5">
        <f>HYPERLINK("https://www.elempleo.com/co/ofertas-trabajo/director-hseq-barranquilla-1886780511", "Ver Vacante")</f>
        <v/>
      </c>
      <c r="H553" s="6" t="inlineStr"/>
      <c r="I553" s="3" t="inlineStr">
        <is>
          <t>[Afinidad: 50/100 - Afinidad Moderada]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ce75715ad483fb4f</t>
        </is>
      </c>
      <c r="B554" s="2" t="inlineStr">
        <is>
          <t>2026-10-16 15:18</t>
        </is>
      </c>
      <c r="C554" s="3" t="inlineStr">
        <is>
          <t>Analista SST / Empresa de Manofactura</t>
        </is>
      </c>
      <c r="D554" s="3" t="inlineStr">
        <is>
          <t>ladoinsa labores dotaciones industriales SAS</t>
        </is>
      </c>
      <c r="E554" s="7" t="n">
        <v>0.5</v>
      </c>
      <c r="F554" s="2" t="inlineStr">
        <is>
          <t>Remoto</t>
        </is>
      </c>
      <c r="G554" s="5">
        <f>HYPERLINK("https://co.computrabajo.com/ofertas-de-trabajo/oferta-de-trabajo-de-analista-sst-empresa-de-manofactura-contratacion-inmediata-en-bogota-dc-39A7E62920CA248061373E686DCF3405", "Ver Vacante")</f>
        <v/>
      </c>
      <c r="H554" s="6" t="inlineStr">
        <is>
          <t>$ 2.200.000,00 (Mensual)</t>
        </is>
      </c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dbc967ca8571788f</t>
        </is>
      </c>
      <c r="B555" s="2" t="inlineStr">
        <is>
          <t>2026-10-16 15:18</t>
        </is>
      </c>
      <c r="C555" s="3" t="inlineStr">
        <is>
          <t>Analista profesional para Seguridad Industrial</t>
        </is>
      </c>
      <c r="D555" s="3" t="inlineStr">
        <is>
          <t>Importante empresa del sector</t>
        </is>
      </c>
      <c r="E555" s="7" t="n">
        <v>0.5</v>
      </c>
      <c r="F555" s="2" t="inlineStr">
        <is>
          <t>Remoto</t>
        </is>
      </c>
      <c r="G555" s="5">
        <f>HYPERLINK("https://co.computrabajo.com/ofertas-de-trabajo/oferta-de-trabajo-de-analista-profesional-para-seguridad-industrial-en-funza-53DA060A99B3209661373E686DCF3405", "Ver Vacante")</f>
        <v/>
      </c>
      <c r="H555" s="6" t="inlineStr">
        <is>
          <t>$ 4.008.000,00 (Mensual)</t>
        </is>
      </c>
      <c r="I555" s="3" t="inlineStr">
        <is>
          <t>[Afinidad: 50/100 - Afinidad Moderada]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7f2e01f4d1639f31</t>
        </is>
      </c>
      <c r="B556" s="2" t="inlineStr">
        <is>
          <t>2026-10-16 15:18</t>
        </is>
      </c>
      <c r="C556" s="3" t="inlineStr">
        <is>
          <t>Consultor HSEQ Experiencia Multicuenta</t>
        </is>
      </c>
      <c r="D556" s="3" t="inlineStr">
        <is>
          <t>Adecco Colombia S.A.</t>
        </is>
      </c>
      <c r="E556" s="7" t="n">
        <v>0.5</v>
      </c>
      <c r="F556" s="2" t="inlineStr">
        <is>
          <t>Remoto</t>
        </is>
      </c>
      <c r="G556" s="5">
        <f>HYPERLINK("https://co.computrabajo.com/ofertas-de-trabajo/oferta-de-trabajo-de-consultor-hseq-experiencia-multicuenta-bogota-en-bogota-dc-9454B12A7EA365A461373E686DCF3405", "Ver Vacante")</f>
        <v/>
      </c>
      <c r="H556" s="6" t="inlineStr">
        <is>
          <t>$ 2.645.000,00 (Mensual)</t>
        </is>
      </c>
      <c r="I556" s="3" t="inlineStr">
        <is>
          <t>[Afinidad: 50/100 - Afinidad Moderada] Afinidad parcial en seguridad y salud ocupacional.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8102850221022b39</t>
        </is>
      </c>
      <c r="B557" s="2" t="inlineStr">
        <is>
          <t>2026-10-16 15:18</t>
        </is>
      </c>
      <c r="C557" s="3" t="inlineStr">
        <is>
          <t>Analista de Sst</t>
        </is>
      </c>
      <c r="D557" s="3" t="inlineStr">
        <is>
          <t>ACTIVOS S A S</t>
        </is>
      </c>
      <c r="E557" s="7" t="n">
        <v>0.5</v>
      </c>
      <c r="F557" s="2" t="inlineStr">
        <is>
          <t>Remoto</t>
        </is>
      </c>
      <c r="G557" s="5">
        <f>HYPERLINK("https://co.computrabajo.com/ofertas-de-trabajo/oferta-de-trabajo-de-analista-de-sst-barranquilla-en-barranquilla-6E5BEB34C1E736F061373E686DCF3405", "Ver Vacante")</f>
        <v/>
      </c>
      <c r="H557" s="6" t="inlineStr">
        <is>
          <t>$ 2.935.001,00 (Mensual)</t>
        </is>
      </c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ad07017441b62ec9</t>
        </is>
      </c>
      <c r="B558" s="2" t="inlineStr">
        <is>
          <t>2026-10-16 15:18</t>
        </is>
      </c>
      <c r="C558" s="3" t="inlineStr">
        <is>
          <t>Gerente de proyectos ti</t>
        </is>
      </c>
      <c r="D558" s="3" t="inlineStr">
        <is>
          <t>EyS IT SAS</t>
        </is>
      </c>
      <c r="E558" s="7" t="n">
        <v>0.5</v>
      </c>
      <c r="F558" s="2" t="inlineStr">
        <is>
          <t>Remoto</t>
        </is>
      </c>
      <c r="G558" s="5">
        <f>HYPERLINK("https://www.elempleo.com/co/ofertas-trabajo/gerente-de-proyectos-ti-1886776586", "Ver Vacante")</f>
        <v/>
      </c>
      <c r="H558" s="6" t="inlineStr"/>
      <c r="I5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fae7637fa5755261</t>
        </is>
      </c>
      <c r="B559" s="2" t="inlineStr">
        <is>
          <t>2026-10-17 14:12</t>
        </is>
      </c>
      <c r="C559" s="3" t="inlineStr">
        <is>
          <t>Consultor Seguridad y salud en el trabajo</t>
        </is>
      </c>
      <c r="D559" s="3" t="inlineStr">
        <is>
          <t>INDUSTRIAS ALIMENTICIAS R&amp;J S A S</t>
        </is>
      </c>
      <c r="E559" s="7" t="n">
        <v>0.5</v>
      </c>
      <c r="F559" s="2" t="inlineStr">
        <is>
          <t>Remoto</t>
        </is>
      </c>
      <c r="G559" s="5">
        <f>HYPERLINK("https://co.computrabajo.com/ofertas-de-trabajo/oferta-de-trabajo-de-consultor-seguridad-y-salud-en-el-trabajo-sg-sst-en-bogota-dc-898D867B20A5983E61373E686DCF3405", "Ver Vacante")</f>
        <v/>
      </c>
      <c r="H559" s="6" t="inlineStr">
        <is>
          <t>Presencial y remoto</t>
        </is>
      </c>
      <c r="I559" s="3" t="inlineStr">
        <is>
          <t>[Afinidad: 50/100 - Afinidad Moderada]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9715e95acac232b4</t>
        </is>
      </c>
      <c r="B560" s="2" t="inlineStr">
        <is>
          <t>2026-10-17 14:12</t>
        </is>
      </c>
      <c r="C560" s="3" t="inlineStr">
        <is>
          <t>Consultor HSEQ Manejo de Multicuenta</t>
        </is>
      </c>
      <c r="D560" s="3" t="inlineStr">
        <is>
          <t>Adecco Colombia S.A.</t>
        </is>
      </c>
      <c r="E560" s="7" t="n">
        <v>0.5</v>
      </c>
      <c r="F560" s="2" t="inlineStr">
        <is>
          <t>Remoto</t>
        </is>
      </c>
      <c r="G560" s="5">
        <f>HYPERLINK("https://co.computrabajo.com/ofertas-de-trabajo/oferta-de-trabajo-de-consultor-hseq-manejo-de-multicuenta-bogota-en-bogota-dc-9454B12A7EA365A461373E686DCF3405", "Ver Vacante")</f>
        <v/>
      </c>
      <c r="H560" s="6" t="inlineStr">
        <is>
          <t>$ 2.645.000,00 (Mensual)</t>
        </is>
      </c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68f703e57e2ad697</t>
        </is>
      </c>
      <c r="B561" s="2" t="inlineStr">
        <is>
          <t>2026-10-17 14:12</t>
        </is>
      </c>
      <c r="C561" s="3" t="inlineStr">
        <is>
          <t>Líder SST</t>
        </is>
      </c>
      <c r="D561" s="3" t="inlineStr">
        <is>
          <t>CAYENA AZUL CHC SAS</t>
        </is>
      </c>
      <c r="E561" s="7" t="n">
        <v>0.5</v>
      </c>
      <c r="F561" s="2" t="inlineStr">
        <is>
          <t>Remoto</t>
        </is>
      </c>
      <c r="G561" s="5">
        <f>HYPERLINK("https://co.computrabajo.com/ofertas-de-trabajo/oferta-de-trabajo-de-lider-sst-sector-salud-en-barranquilla-C655BE33F85673FF61373E686DCF3405", "Ver Vacante")</f>
        <v/>
      </c>
      <c r="H561" s="6" t="inlineStr">
        <is>
          <t>$ 2.500.000,00 (Mensual)</t>
        </is>
      </c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b7ca389abe215813</t>
        </is>
      </c>
      <c r="B562" s="2" t="inlineStr">
        <is>
          <t>2026-10-17 14:12</t>
        </is>
      </c>
      <c r="C562" s="3" t="inlineStr">
        <is>
          <t>Gerente HSE</t>
        </is>
      </c>
      <c r="D562" s="3" t="inlineStr">
        <is>
          <t>LHH</t>
        </is>
      </c>
      <c r="E562" s="7" t="n">
        <v>0.5</v>
      </c>
      <c r="F562" s="2" t="inlineStr">
        <is>
          <t>Remoto</t>
        </is>
      </c>
      <c r="G562" s="5">
        <f>HYPERLINK("https://co.linkedin.com/jobs/view/gerente-hse-at-lhh-4479630420", "Ver Vacante")</f>
        <v/>
      </c>
      <c r="H562" s="6" t="inlineStr"/>
      <c r="I562" s="3" t="inlineStr">
        <is>
          <t>[Afinidad: 50/100 - Afinidad Moderada]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b55954435d797fc0</t>
        </is>
      </c>
      <c r="B563" s="2" t="inlineStr">
        <is>
          <t>2026-10-18 14:24</t>
        </is>
      </c>
      <c r="C563" s="3" t="inlineStr">
        <is>
          <t>Proyectista civil - semi senior</t>
        </is>
      </c>
      <c r="D563" s="3" t="inlineStr">
        <is>
          <t>Confidencial</t>
        </is>
      </c>
      <c r="E563" s="7" t="n">
        <v>0.5</v>
      </c>
      <c r="F563" s="2" t="inlineStr">
        <is>
          <t>Remoto</t>
        </is>
      </c>
      <c r="G563" s="5">
        <f>HYPERLINK("https://www.elempleo.com/co/ofertas-trabajo/proyectista-civil-semi-senior-1886736963", "Ver Vacante")</f>
        <v/>
      </c>
      <c r="H563" s="6" t="inlineStr"/>
      <c r="I5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eaecdc7883c5c946</t>
        </is>
      </c>
      <c r="B564" s="2" t="inlineStr">
        <is>
          <t>2026-10-18 14:24</t>
        </is>
      </c>
      <c r="C564" s="3" t="inlineStr">
        <is>
          <t>Analista de aplicaciones e infraestructura ti</t>
        </is>
      </c>
      <c r="D564" s="3" t="inlineStr">
        <is>
          <t>Confidencial</t>
        </is>
      </c>
      <c r="E564" s="7" t="n">
        <v>0.5</v>
      </c>
      <c r="F564" s="2" t="inlineStr">
        <is>
          <t>Remoto</t>
        </is>
      </c>
      <c r="G564" s="5">
        <f>HYPERLINK("https://www.elempleo.com/co/ofertas-trabajo/analista-de-aplicaciones-e-infraestructura-ti-1886763122", "Ver Vacante")</f>
        <v/>
      </c>
      <c r="H564" s="6" t="inlineStr"/>
      <c r="I564" s="3" t="inlineStr">
        <is>
          <t>[Afinidad: 50/100 - Afinidad Moderada] Afinidad parcial en infraestructura vial y transporte.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94e5a72874057837</t>
        </is>
      </c>
      <c r="B565" s="2" t="inlineStr">
        <is>
          <t>2026-10-18 14:24</t>
        </is>
      </c>
      <c r="C565" s="3" t="inlineStr">
        <is>
          <t>Analista de seguridad y salud en el trabajo</t>
        </is>
      </c>
      <c r="D565" s="3" t="inlineStr">
        <is>
          <t>COMFACUNDI</t>
        </is>
      </c>
      <c r="E565" s="7" t="n">
        <v>0.5</v>
      </c>
      <c r="F565" s="2" t="inlineStr">
        <is>
          <t>Remoto</t>
        </is>
      </c>
      <c r="G565" s="5">
        <f>HYPERLINK("https://www.elempleo.com/co/ofertas-trabajo/analista-de-seguridad-y-salud-en-el-trabajo-1886762763", "Ver Vacante")</f>
        <v/>
      </c>
      <c r="H565" s="6" t="inlineStr"/>
      <c r="I565" s="3" t="inlineStr">
        <is>
          <t>[Afinidad: 50/100 - Afinidad Moderada]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f77356fba7f7ea68</t>
        </is>
      </c>
      <c r="B566" s="2" t="inlineStr">
        <is>
          <t>2026-10-19 17:27</t>
        </is>
      </c>
      <c r="C566" s="3" t="inlineStr">
        <is>
          <t>Analista de Seguridad y Salud en el Trabajo</t>
        </is>
      </c>
      <c r="D566" s="3" t="inlineStr">
        <is>
          <t>Takami S.A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HYPERLINK("https://co.computrabajo.com/ofertas-de-trabajo/oferta-de-trabajo-de-analista-de-seguridad-y-salud-en-el-trabajo-analista-sst-en-bogota-dc-0FC1FA07D486E6FB61373E686DCF3405", "Ver Vacante")</f>
        <v/>
      </c>
      <c r="H566" s="6" t="inlineStr"/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23251498ce710db0</t>
        </is>
      </c>
      <c r="B567" s="2" t="inlineStr">
        <is>
          <t>2026-10-19 17:27</t>
        </is>
      </c>
      <c r="C567" s="3" t="inlineStr">
        <is>
          <t>Director de Proyecto</t>
        </is>
      </c>
      <c r="D567" s="3" t="inlineStr">
        <is>
          <t>GESTION DE RECURSOS TEMPORALES S.A.S. "GR TEMPORALES S.A.S."</t>
        </is>
      </c>
      <c r="E567" s="7" t="n">
        <v>0.5</v>
      </c>
      <c r="F567" s="2" t="inlineStr">
        <is>
          <t>Remoto</t>
        </is>
      </c>
      <c r="G567" s="5">
        <f>HYPERLINK("https://co.computrabajo.com/ofertas-de-trabajo/oferta-de-trabajo-de-director-de-proyecto-obras-y-montajes-en-medellin-109E3C7C5CB623BA61373E686DCF3405", "Ver Vacante")</f>
        <v/>
      </c>
      <c r="H567" s="6" t="inlineStr">
        <is>
          <t>$ 5.000.000,00 (Mensual)</t>
        </is>
      </c>
      <c r="I5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c3249bf92df00c21</t>
        </is>
      </c>
      <c r="B568" s="2" t="inlineStr">
        <is>
          <t>2026-10-19 17:27</t>
        </is>
      </c>
      <c r="C568" s="3" t="inlineStr">
        <is>
          <t>Analista de seguridad y salud en el trabajo</t>
        </is>
      </c>
      <c r="D568" s="3" t="inlineStr">
        <is>
          <t>Confidencial</t>
        </is>
      </c>
      <c r="E568" s="7" t="n">
        <v>0.5</v>
      </c>
      <c r="F568" s="2" t="inlineStr">
        <is>
          <t>Remoto</t>
        </is>
      </c>
      <c r="G568" s="5">
        <f>HYPERLINK("https://www.elempleo.com/co/ofertas-trabajo/analista-de-seguridad-y-salud-en-el-trabajo-1886781980", "Ver Vacante")</f>
        <v/>
      </c>
      <c r="H568" s="6" t="inlineStr"/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172a040b143ea0cf</t>
        </is>
      </c>
      <c r="B569" s="2" t="inlineStr">
        <is>
          <t>2026-10-19 17:27</t>
        </is>
      </c>
      <c r="C569" s="3" t="inlineStr">
        <is>
          <t>Analista sst</t>
        </is>
      </c>
      <c r="D569" s="3" t="inlineStr">
        <is>
          <t>Diseños y Aplicaciones de Ingeniería civil sas</t>
        </is>
      </c>
      <c r="E569" s="7" t="n">
        <v>0.5</v>
      </c>
      <c r="F569" s="2" t="inlineStr">
        <is>
          <t>Remoto</t>
        </is>
      </c>
      <c r="G569" s="5">
        <f>HYPERLINK("https://www.elempleo.com/co/ofertas-trabajo/analista-sst-1886779165", "Ver Vacante")</f>
        <v/>
      </c>
      <c r="H569" s="6" t="inlineStr"/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718395b7e6fbf0fd</t>
        </is>
      </c>
      <c r="B570" s="2" t="inlineStr">
        <is>
          <t>2026-10-19 17:27</t>
        </is>
      </c>
      <c r="C570" s="3" t="inlineStr">
        <is>
          <t>Lider calidad y sst</t>
        </is>
      </c>
      <c r="D570" s="3" t="inlineStr">
        <is>
          <t>Confidencial</t>
        </is>
      </c>
      <c r="E570" s="7" t="n">
        <v>0.5</v>
      </c>
      <c r="F570" s="2" t="inlineStr">
        <is>
          <t>Remoto</t>
        </is>
      </c>
      <c r="G570" s="5">
        <f>HYPERLINK("https://www.elempleo.com/co/ofertas-trabajo/lider-calidad-y-sst-1886780115", "Ver Vacante")</f>
        <v/>
      </c>
      <c r="H570" s="6" t="inlineStr"/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c7d5298917a12bd3</t>
        </is>
      </c>
      <c r="B571" s="2" t="inlineStr">
        <is>
          <t>2026-10-19 17:27</t>
        </is>
      </c>
      <c r="C571" s="3" t="inlineStr">
        <is>
          <t>Analista SST</t>
        </is>
      </c>
      <c r="D571" s="3" t="inlineStr">
        <is>
          <t>Grupo Núcleos de Madera</t>
        </is>
      </c>
      <c r="E571" s="7" t="n">
        <v>0.5</v>
      </c>
      <c r="F571" s="2" t="inlineStr">
        <is>
          <t>Remoto</t>
        </is>
      </c>
      <c r="G571" s="5">
        <f>HYPERLINK("https://co.linkedin.com/jobs/view/analista-sst-at-grupo-n%C3%BAcleos-de-madera-4480993859", "Ver Vacante")</f>
        <v/>
      </c>
      <c r="H571" s="6" t="inlineStr"/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4a81f35509c76a9b</t>
        </is>
      </c>
      <c r="B572" s="2" t="inlineStr">
        <is>
          <t>2026-10-19 17:27</t>
        </is>
      </c>
      <c r="C572" s="3" t="inlineStr">
        <is>
          <t>LIDER HSE</t>
        </is>
      </c>
      <c r="D572" s="3" t="inlineStr">
        <is>
          <t>Atento</t>
        </is>
      </c>
      <c r="E572" s="7" t="n">
        <v>0.5</v>
      </c>
      <c r="F572" s="2" t="inlineStr">
        <is>
          <t>Remoto</t>
        </is>
      </c>
      <c r="G572" s="5">
        <f>HYPERLINK("https://co.linkedin.com/jobs/view/lider-hse-at-atento-4478228863", "Ver Vacante")</f>
        <v/>
      </c>
      <c r="H572" s="6" t="inlineStr"/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ee66cc010a275e08</t>
        </is>
      </c>
      <c r="B573" s="2" t="inlineStr">
        <is>
          <t>2026-10-19 17:27</t>
        </is>
      </c>
      <c r="C573" s="3" t="inlineStr">
        <is>
          <t>Senior Civil Engineer</t>
        </is>
      </c>
      <c r="D573" s="3" t="inlineStr">
        <is>
          <t>WSP Chile y Argentina</t>
        </is>
      </c>
      <c r="E573" s="7" t="n">
        <v>0.5</v>
      </c>
      <c r="F573" s="2" t="inlineStr">
        <is>
          <t>Remoto</t>
        </is>
      </c>
      <c r="G573" s="5">
        <f>HYPERLINK("https://co.linkedin.com/jobs/view/senior-civil-engineer-at-wsp-chile-y-argentina-4480250388", "Ver Vacante")</f>
        <v/>
      </c>
      <c r="H573" s="6" t="inlineStr"/>
      <c r="I5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412c1511796e0dac</t>
        </is>
      </c>
      <c r="B574" s="2" t="inlineStr">
        <is>
          <t>2026-10-20 15:40</t>
        </is>
      </c>
      <c r="C574" s="3" t="inlineStr">
        <is>
          <t>Ingeniero/a ambiental para corredor vial Titiribí/Armenia</t>
        </is>
      </c>
      <c r="D574" s="3" t="inlineStr">
        <is>
          <t>Importante empresa del sector</t>
        </is>
      </c>
      <c r="E574" s="7" t="n">
        <v>0.5</v>
      </c>
      <c r="F574" s="2" t="inlineStr">
        <is>
          <t>Remoto</t>
        </is>
      </c>
      <c r="G574" s="5">
        <f>HYPERLINK("https://co.computrabajo.com/ofertas-de-trabajo/oferta-de-trabajo-de-ingenieroa-ambiental-para-corredor-vial-titiribiarmenia-en-titiribi-91817830E7DB705061373E686DCF3405", "Ver Vacante")</f>
        <v/>
      </c>
      <c r="H574" s="6" t="inlineStr"/>
      <c r="I574" s="3" t="inlineStr">
        <is>
          <t>[Afinidad: 50/100 - Afinidad Moderada] Afinidad parcial en infraestructura vial y transporte.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b462e13e4ba0aab9</t>
        </is>
      </c>
      <c r="B575" s="2" t="inlineStr">
        <is>
          <t>2026-10-20 15:40</t>
        </is>
      </c>
      <c r="C575" s="3" t="inlineStr">
        <is>
          <t>Analista Hseq</t>
        </is>
      </c>
      <c r="D575" s="3" t="inlineStr">
        <is>
          <t>SU SERVICIO TEMPORAL S.A</t>
        </is>
      </c>
      <c r="E575" s="7" t="n">
        <v>0.5</v>
      </c>
      <c r="F575" s="2" t="inlineStr">
        <is>
          <t>Remoto</t>
        </is>
      </c>
      <c r="G575" s="5">
        <f>HYPERLINK("https://co.computrabajo.com/ofertas-de-trabajo/oferta-de-trabajo-de-analista-hseq-sector-facilitiesobraconstruccion-en-bogota-dc-8E123ADD442FF20B61373E686DCF3405", "Ver Vacante")</f>
        <v/>
      </c>
      <c r="H575" s="6" t="inlineStr">
        <is>
          <t>$ 2.700.000,00 (Mensual)</t>
        </is>
      </c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c92bcac8ae7c9efd</t>
        </is>
      </c>
      <c r="B576" s="2" t="inlineStr">
        <is>
          <t>2026-10-21 15:56</t>
        </is>
      </c>
      <c r="C576" s="3" t="inlineStr">
        <is>
          <t>Ingeniero en telecomunicaciones Director de proyectos</t>
        </is>
      </c>
      <c r="D576" s="3" t="inlineStr">
        <is>
          <t>RAYCO S.A</t>
        </is>
      </c>
      <c r="E576" s="7" t="n">
        <v>0.5</v>
      </c>
      <c r="F576" s="2" t="inlineStr">
        <is>
          <t>Remoto</t>
        </is>
      </c>
      <c r="G576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76" s="6" t="inlineStr">
        <is>
          <t>$ 5.700.000,00 (Mensual)</t>
        </is>
      </c>
      <c r="I5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e578ffd0fdc2a4b0</t>
        </is>
      </c>
      <c r="B577" s="2" t="inlineStr">
        <is>
          <t>2026-10-21 15:56</t>
        </is>
      </c>
      <c r="C577" s="3" t="inlineStr">
        <is>
          <t>Analista HSEQ</t>
        </is>
      </c>
      <c r="D577" s="3" t="inlineStr">
        <is>
          <t>SULOGISTICS EXPRESS S.A.S.</t>
        </is>
      </c>
      <c r="E577" s="7" t="n">
        <v>0.5</v>
      </c>
      <c r="F577" s="2" t="inlineStr">
        <is>
          <t>Remoto</t>
        </is>
      </c>
      <c r="G577" s="5">
        <f>HYPERLINK("https://co.computrabajo.com/ofertas-de-trabajo/oferta-de-trabajo-de-analista-hseq-sesquile-cundinamarca-en-sesquile-559597A754C07E8A61373E686DCF3405", "Ver Vacante")</f>
        <v/>
      </c>
      <c r="H577" s="6" t="inlineStr">
        <is>
          <t>$ 2.000.000,00 (Mensual)</t>
        </is>
      </c>
      <c r="I577" s="3" t="inlineStr">
        <is>
          <t>[Afinidad: 50/100 - Afinidad Moderada]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bf1aaea82a47f0a0</t>
        </is>
      </c>
      <c r="B578" s="2" t="inlineStr">
        <is>
          <t>2026-10-21 15:56</t>
        </is>
      </c>
      <c r="C578" s="3" t="inlineStr">
        <is>
          <t>Analista Calidad y SST</t>
        </is>
      </c>
      <c r="D578" s="3" t="inlineStr">
        <is>
          <t>Powest</t>
        </is>
      </c>
      <c r="E578" s="7" t="n">
        <v>0.5</v>
      </c>
      <c r="F578" s="2" t="inlineStr">
        <is>
          <t>Remoto</t>
        </is>
      </c>
      <c r="G578" s="5">
        <f>HYPERLINK("https://co.linkedin.com/jobs/view/analista-calidad-y-sst-at-powest-4480496991", "Ver Vacante")</f>
        <v/>
      </c>
      <c r="H578" s="6" t="inlineStr"/>
      <c r="I578" s="3" t="inlineStr">
        <is>
          <t>[Afinidad: 50/100 - Afinidad Moderada]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f98c93b175f28485</t>
        </is>
      </c>
      <c r="B579" s="2" t="inlineStr">
        <is>
          <t>2026-10-21 15:56</t>
        </is>
      </c>
      <c r="C579" s="3" t="inlineStr">
        <is>
          <t>Analista Seguridad y Salud en el Trabajo</t>
        </is>
      </c>
      <c r="D579" s="3" t="inlineStr">
        <is>
          <t>Empresa Transportadora San Gabriel S.A.S.</t>
        </is>
      </c>
      <c r="E579" s="7" t="n">
        <v>0.5</v>
      </c>
      <c r="F579" s="2" t="inlineStr">
        <is>
          <t>Remoto</t>
        </is>
      </c>
      <c r="G579" s="5">
        <f>HYPERLINK("https://co.linkedin.com/jobs/view/analista-seguridad-y-salud-en-el-trabajo-at-empresa-transportadora-san-gabriel-s-a-s-4482010233", "Ver Vacante")</f>
        <v/>
      </c>
      <c r="H579" s="6" t="inlineStr"/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64edb69b3074c169</t>
        </is>
      </c>
      <c r="B580" s="2" t="inlineStr">
        <is>
          <t>2026-10-22 15:54</t>
        </is>
      </c>
      <c r="C580" s="3" t="inlineStr">
        <is>
          <t>Analista de seguridad y salud en el trabajo en Medellín!</t>
        </is>
      </c>
      <c r="D580" s="3" t="inlineStr">
        <is>
          <t>Importante empresa del sector</t>
        </is>
      </c>
      <c r="E580" s="7" t="n">
        <v>0.5</v>
      </c>
      <c r="F580" s="2" t="inlineStr">
        <is>
          <t>Remoto</t>
        </is>
      </c>
      <c r="G580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80" s="6" t="inlineStr">
        <is>
          <t>$ 3.200.000,00 (Mensual)</t>
        </is>
      </c>
      <c r="I580" s="3" t="inlineStr">
        <is>
          <t>[Afinidad: 50/100 - Afinidad Moderada] Afinidad parcial en seguridad y salud ocupacional.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6c7930d595130edb</t>
        </is>
      </c>
      <c r="B581" s="2" t="inlineStr">
        <is>
          <t>2026-10-22 15:54</t>
        </is>
      </c>
      <c r="C581" s="3" t="inlineStr">
        <is>
          <t>Consultor HSEQ</t>
        </is>
      </c>
      <c r="D581" s="3" t="inlineStr">
        <is>
          <t>Importante empresa del sector</t>
        </is>
      </c>
      <c r="E581" s="7" t="n">
        <v>0.5</v>
      </c>
      <c r="F581" s="2" t="inlineStr">
        <is>
          <t>Remoto</t>
        </is>
      </c>
      <c r="G581" s="5">
        <f>HYPERLINK("https://co.computrabajo.com/ofertas-de-trabajo/oferta-de-trabajo-de-consultor-hseq-medellin-en-medellin-A2F9F8E7E4B3A83E61373E686DCF3405", "Ver Vacante")</f>
        <v/>
      </c>
      <c r="H581" s="6" t="inlineStr"/>
      <c r="I581" s="3" t="inlineStr">
        <is>
          <t>[Afinidad: 50/100 - Afinidad Moderada]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42353ff91d3f885a</t>
        </is>
      </c>
      <c r="B582" s="2" t="inlineStr">
        <is>
          <t>2026-10-22 15:54</t>
        </is>
      </c>
      <c r="C582" s="3" t="inlineStr">
        <is>
          <t>Analista Nomina / Auxiliar SST</t>
        </is>
      </c>
      <c r="D582" s="3" t="inlineStr">
        <is>
          <t>SOLUCIONES LOGISTICAS EFICACES SAS</t>
        </is>
      </c>
      <c r="E582" s="7" t="n">
        <v>0.5</v>
      </c>
      <c r="F582" s="2" t="inlineStr">
        <is>
          <t>Remoto</t>
        </is>
      </c>
      <c r="G582" s="5">
        <f>HYPERLINK("https://co.computrabajo.com/ofertas-de-trabajo/oferta-de-trabajo-de-analista-nomina-auxiliar-sst-cali-en-cali-620A45D87020535561373E686DCF3405", "Ver Vacante")</f>
        <v/>
      </c>
      <c r="H582" s="6" t="inlineStr">
        <is>
          <t>$ 2.000.000,00 (Mensual)</t>
        </is>
      </c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a6c25ef5d84874c2</t>
        </is>
      </c>
      <c r="B583" s="2" t="inlineStr">
        <is>
          <t>2026-10-22 15:54</t>
        </is>
      </c>
      <c r="C583" s="3" t="inlineStr">
        <is>
          <t>Analista/Profesional SST</t>
        </is>
      </c>
      <c r="D583" s="3" t="inlineStr">
        <is>
          <t>Importante empresa del sector</t>
        </is>
      </c>
      <c r="E583" s="7" t="n">
        <v>0.5</v>
      </c>
      <c r="F583" s="2" t="inlineStr">
        <is>
          <t>Remoto</t>
        </is>
      </c>
      <c r="G583" s="5">
        <f>HYPERLINK("https://co.computrabajo.com/ofertas-de-trabajo/oferta-de-trabajo-de-analistaprofesional-sst-barranquilla-en-barranquilla-5F7108D9ADC93B5B61373E686DCF3405", "Ver Vacante")</f>
        <v/>
      </c>
      <c r="H583" s="6" t="inlineStr">
        <is>
          <t>$ 2.389.998,00 (Mensual)</t>
        </is>
      </c>
      <c r="I583" s="3" t="inlineStr">
        <is>
          <t>[Afinidad: 50/100 - Afinidad Moderada]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fc3252316290f070</t>
        </is>
      </c>
      <c r="B584" s="2" t="inlineStr">
        <is>
          <t>2026-10-22 15:54</t>
        </is>
      </c>
      <c r="C584" s="3" t="inlineStr">
        <is>
          <t>Director de interventoría</t>
        </is>
      </c>
      <c r="D584" s="3" t="inlineStr">
        <is>
          <t>INGEPLAN.CO SAS EMPRESA DE BENEFICIO E INTERES COLECTIVO BIC</t>
        </is>
      </c>
      <c r="E584" s="7" t="n">
        <v>0.5</v>
      </c>
      <c r="F584" s="2" t="inlineStr">
        <is>
          <t>Remoto</t>
        </is>
      </c>
      <c r="G584" s="5">
        <f>HYPERLINK("https://www.elempleo.com/co/ofertas-trabajo/director-de-interventoria-1886783362", "Ver Vacante")</f>
        <v/>
      </c>
      <c r="H584" s="6" t="inlineStr"/>
      <c r="I5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dd37d78c9dad336c</t>
        </is>
      </c>
      <c r="B585" s="2" t="inlineStr">
        <is>
          <t>2026-10-22 15:54</t>
        </is>
      </c>
      <c r="C585" s="3" t="inlineStr">
        <is>
          <t>Ingeniero/a Civil Senior- Oil&amp;Gas</t>
        </is>
      </c>
      <c r="D585" s="3" t="inlineStr">
        <is>
          <t>IDOM Consulting, Engineering, Architecture</t>
        </is>
      </c>
      <c r="E585" s="7" t="n">
        <v>0.5</v>
      </c>
      <c r="F585" s="2" t="inlineStr">
        <is>
          <t>Remoto</t>
        </is>
      </c>
      <c r="G585" s="5">
        <f>HYPERLINK("https://co.linkedin.com/jobs/view/ingeniero-a-civil-senior-oil-gas-at-idom-consulting-engineering-architecture-4478611907", "Ver Vacante")</f>
        <v/>
      </c>
      <c r="H585" s="6" t="inlineStr"/>
      <c r="I5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498daee14c0b47e0</t>
        </is>
      </c>
      <c r="B586" s="2" t="inlineStr">
        <is>
          <t>2026-10-23 15:45</t>
        </is>
      </c>
      <c r="C586" s="3" t="inlineStr">
        <is>
          <t>Líder PESV y Ambiental</t>
        </is>
      </c>
      <c r="D586" s="3" t="inlineStr">
        <is>
          <t>SUMINISTRAMOS RECURSOS HUMANOS TEMPORALES SUMITEMP S.A.S</t>
        </is>
      </c>
      <c r="E586" s="7" t="n">
        <v>0.5</v>
      </c>
      <c r="F586" s="2" t="inlineStr">
        <is>
          <t>Remoto</t>
        </is>
      </c>
      <c r="G586" s="5">
        <f>HYPERLINK("https://co.computrabajo.com/ofertas-de-trabajo/oferta-de-trabajo-de-lider-pesv-y-ambiental-en-bogota-dc-7DDA8CFCCDC6E87F61373E686DCF3405", "Ver Vacante")</f>
        <v/>
      </c>
      <c r="H586" s="6" t="inlineStr"/>
      <c r="I586" s="3" t="inlineStr">
        <is>
          <t>[Afinidad: 50/100 - Afinidad Moderada] Afinidad parcial en infraestructura vial y transporte.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5b2066375c04dac6</t>
        </is>
      </c>
      <c r="B587" s="2" t="inlineStr">
        <is>
          <t>2026-10-23 15:45</t>
        </is>
      </c>
      <c r="C587" s="3" t="inlineStr">
        <is>
          <t>Analista de sst</t>
        </is>
      </c>
      <c r="D587" s="3" t="inlineStr">
        <is>
          <t>DHL SUPPLY CHAIN COLOMBIA</t>
        </is>
      </c>
      <c r="E587" s="7" t="n">
        <v>0.5</v>
      </c>
      <c r="F587" s="2" t="inlineStr">
        <is>
          <t>Remoto</t>
        </is>
      </c>
      <c r="G587" s="5">
        <f>HYPERLINK("https://www.elempleo.com/co/ofertas-trabajo/analista-de-sst-1886780995", "Ver Vacante")</f>
        <v/>
      </c>
      <c r="H587" s="6" t="inlineStr"/>
      <c r="I587" s="3" t="inlineStr">
        <is>
          <t>[Afinidad: 50/100 - Afinidad Moderada] Afinidad parcial en seguridad y salud ocupacional.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84b73e817805847a</t>
        </is>
      </c>
      <c r="B588" s="2" t="inlineStr">
        <is>
          <t>2026-10-23 15:45</t>
        </is>
      </c>
      <c r="C588" s="3" t="inlineStr">
        <is>
          <t>Director de proyecto</t>
        </is>
      </c>
      <c r="D588" s="3" t="inlineStr">
        <is>
          <t>Confidencial</t>
        </is>
      </c>
      <c r="E588" s="7" t="n">
        <v>0.5</v>
      </c>
      <c r="F588" s="2" t="inlineStr">
        <is>
          <t>Remoto</t>
        </is>
      </c>
      <c r="G588" s="5">
        <f>HYPERLINK("https://www.elempleo.com/co/ofertas-trabajo/director-de-proyecto-1886784100", "Ver Vacante")</f>
        <v/>
      </c>
      <c r="H588" s="6" t="inlineStr"/>
      <c r="I5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cbd15ba7d254d6b0</t>
        </is>
      </c>
      <c r="B589" s="2" t="inlineStr">
        <is>
          <t>2026-10-23 15:45</t>
        </is>
      </c>
      <c r="C589" s="3" t="inlineStr">
        <is>
          <t>Auxiliar SST/ Técnico o Tecnólogo</t>
        </is>
      </c>
      <c r="D589" s="3" t="inlineStr">
        <is>
          <t>Emselec</t>
        </is>
      </c>
      <c r="E589" s="7" t="n">
        <v>0.5</v>
      </c>
      <c r="F589" s="2" t="inlineStr">
        <is>
          <t>Remoto</t>
        </is>
      </c>
      <c r="G589" s="5">
        <f>HYPERLINK("https://co.linkedin.com/jobs/view/auxiliar-sst-t%C3%A9cnico-o-tecn%C3%B3logo-at-emselec-4481299416", "Ver Vacante")</f>
        <v/>
      </c>
      <c r="H589" s="6" t="inlineStr"/>
      <c r="I589" s="3" t="inlineStr">
        <is>
          <t>[Afinidad: 50/100 - Afinidad Moderada]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d5096c906407ba7b</t>
        </is>
      </c>
      <c r="B590" s="2" t="inlineStr">
        <is>
          <t>2026-10-24 14:22</t>
        </is>
      </c>
      <c r="C590" s="3" t="inlineStr">
        <is>
          <t>Analista HSEQ</t>
        </is>
      </c>
      <c r="D590" s="3" t="inlineStr">
        <is>
          <t>ANAVA LOGISTICS S.A.S</t>
        </is>
      </c>
      <c r="E590" s="7" t="n">
        <v>0.5</v>
      </c>
      <c r="F590" s="2" t="inlineStr">
        <is>
          <t>Remoto</t>
        </is>
      </c>
      <c r="G590" s="5">
        <f>HYPERLINK("https://co.computrabajo.com/ofertas-de-trabajo/oferta-de-trabajo-de-analista-hseq-medellin-en-medellin-BEE0CD9DECD7563861373E686DCF3405", "Ver Vacante")</f>
        <v/>
      </c>
      <c r="H590" s="6" t="inlineStr">
        <is>
          <t>$ 2.400.000,00 (Mensual)</t>
        </is>
      </c>
      <c r="I590" s="3" t="inlineStr">
        <is>
          <t>[Afinidad: 50/100 - Afinidad Moderada]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aa273ed3687dc1fa</t>
        </is>
      </c>
      <c r="B591" s="2" t="inlineStr">
        <is>
          <t>2026-10-24 14:22</t>
        </is>
      </c>
      <c r="C591" s="3" t="inlineStr">
        <is>
          <t>Analista de Seguridad y Salud en el Trabajo</t>
        </is>
      </c>
      <c r="D591" s="3" t="inlineStr">
        <is>
          <t>Alianza Temporal S.A.S</t>
        </is>
      </c>
      <c r="E591" s="7" t="n">
        <v>0.5</v>
      </c>
      <c r="F591" s="2" t="inlineStr">
        <is>
          <t>Remoto</t>
        </is>
      </c>
      <c r="G591" s="5">
        <f>HYPERLINK("https://co.computrabajo.com/ofertas-de-trabajo/oferta-de-trabajo-de-analista-de-seguridad-y-salud-en-el-trabajo-en-neiva-94FE62B16339F06D61373E686DCF3405", "Ver Vacante")</f>
        <v/>
      </c>
      <c r="H591" s="6" t="inlineStr">
        <is>
          <t>$ 1.750.905,00 (Mensual)</t>
        </is>
      </c>
      <c r="I591" s="3" t="inlineStr">
        <is>
          <t>[Afinidad: 50/100 - Afinidad Moderada]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fe19d1907c2b1023</t>
        </is>
      </c>
      <c r="B592" s="2" t="inlineStr">
        <is>
          <t>2026-10-24 14:22</t>
        </is>
      </c>
      <c r="C592" s="3" t="inlineStr">
        <is>
          <t>Director de proyecto</t>
        </is>
      </c>
      <c r="D592" s="3" t="inlineStr">
        <is>
          <t>Great team cloud</t>
        </is>
      </c>
      <c r="E592" s="7" t="n">
        <v>0.5</v>
      </c>
      <c r="F592" s="2" t="inlineStr">
        <is>
          <t>Remoto</t>
        </is>
      </c>
      <c r="G592" s="5">
        <f>HYPERLINK("https://co.linkedin.com/jobs/view/director-de-proyecto-4483147996", "Ver Vacante")</f>
        <v/>
      </c>
      <c r="H592" s="6" t="inlineStr"/>
      <c r="I5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a863b2732f0977b6</t>
        </is>
      </c>
      <c r="B593" s="2" t="inlineStr">
        <is>
          <t>2026-10-24 14:22</t>
        </is>
      </c>
      <c r="C593" s="3" t="inlineStr">
        <is>
          <t>PROFESIONAL DE SST CON 3 AÑOS DE EXPERIENCIA EN BETANIA HUILA, INGENIERO ELECTRICO CON 5 AÑOS DE EXPERIENCIA EN BETANIA HUILA</t>
        </is>
      </c>
      <c r="D593" s="3" t="inlineStr">
        <is>
          <t>SHINEMA SAS</t>
        </is>
      </c>
      <c r="E593" s="7" t="n">
        <v>0.5</v>
      </c>
      <c r="F593" s="2" t="inlineStr">
        <is>
          <t>Remoto</t>
        </is>
      </c>
      <c r="G593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593" s="6" t="inlineStr"/>
      <c r="I593" s="3" t="inlineStr">
        <is>
          <t>[Afinidad: 50/100 - Afinidad Moderada] Afinidad parcial en seguridad y salud ocupacional.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1fcb862425c75938</t>
        </is>
      </c>
      <c r="B594" s="2" t="inlineStr">
        <is>
          <t>2026-10-24 14:22</t>
        </is>
      </c>
      <c r="C594" s="3" t="inlineStr">
        <is>
          <t>Director de Interventoría</t>
        </is>
      </c>
      <c r="D594" s="3" t="inlineStr">
        <is>
          <t>Gavinco Ingenieros Consultores</t>
        </is>
      </c>
      <c r="E594" s="7" t="n">
        <v>0.5</v>
      </c>
      <c r="F594" s="2" t="inlineStr">
        <is>
          <t>Remoto</t>
        </is>
      </c>
      <c r="G594" s="5">
        <f>HYPERLINK("https://co.linkedin.com/jobs/view/director-de-interventor%C3%ADa-at-gavinco-ingenieros-consultores-4483323388", "Ver Vacante")</f>
        <v/>
      </c>
      <c r="H594" s="6" t="inlineStr"/>
      <c r="I5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f57f6d04805d4fe3</t>
        </is>
      </c>
      <c r="B595" s="2" t="inlineStr">
        <is>
          <t>2026-10-25 14:54</t>
        </is>
      </c>
      <c r="C595" s="3" t="inlineStr">
        <is>
          <t>Analista HSEQ</t>
        </is>
      </c>
      <c r="D595" s="3" t="inlineStr">
        <is>
          <t>Entrekarga S.A</t>
        </is>
      </c>
      <c r="E595" s="7" t="n">
        <v>0.5</v>
      </c>
      <c r="F595" s="2" t="inlineStr">
        <is>
          <t>Remoto</t>
        </is>
      </c>
      <c r="G595" s="5">
        <f>HYPERLINK("https://co.computrabajo.com/ofertas-de-trabajo/oferta-de-trabajo-de-analista-hseq-empresa-de-transporte-en-bogota-dc-14593B62B7DD922461373E686DCF3405", "Ver Vacante")</f>
        <v/>
      </c>
      <c r="H595" s="6" t="inlineStr">
        <is>
          <t>$ 2.627.500,00 (Mensual)</t>
        </is>
      </c>
      <c r="I595" s="3" t="inlineStr">
        <is>
          <t>[Afinidad: 50/100 - Afinidad Moderada] Afinidad parcial en seguridad y salud ocupacional.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3b4b09ac71123312</t>
        </is>
      </c>
      <c r="B596" s="2" t="inlineStr">
        <is>
          <t>2026-10-25 14:54</t>
        </is>
      </c>
      <c r="C596" s="3" t="inlineStr">
        <is>
          <t>Lider sst senior itagui 634967</t>
        </is>
      </c>
      <c r="D596" s="3" t="inlineStr">
        <is>
          <t>JOBANDTALENT CO SAS</t>
        </is>
      </c>
      <c r="E596" s="7" t="n">
        <v>0.5</v>
      </c>
      <c r="F596" s="2" t="inlineStr">
        <is>
          <t>Remoto</t>
        </is>
      </c>
      <c r="G596" s="5">
        <f>HYPERLINK("https://www.elempleo.com/co/ofertas-trabajo/lider-sst-senior-itagui-634967-1886773923", "Ver Vacante")</f>
        <v/>
      </c>
      <c r="H596" s="6" t="inlineStr"/>
      <c r="I596" s="3" t="inlineStr">
        <is>
          <t>[Afinidad: 50/100 - Afinidad Moderada] Afinidad parcial en seguridad y salud ocupacional.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ba1ecfd7c643f4c6</t>
        </is>
      </c>
      <c r="B597" s="2" t="inlineStr">
        <is>
          <t>2026-10-25 14:54</t>
        </is>
      </c>
      <c r="C597" s="3" t="inlineStr">
        <is>
          <t>Director de Proyectos y Operaciones</t>
        </is>
      </c>
      <c r="D597" s="3" t="inlineStr">
        <is>
          <t>Corredor Empresarial</t>
        </is>
      </c>
      <c r="E597" s="7" t="n">
        <v>0.5</v>
      </c>
      <c r="F597" s="2" t="inlineStr">
        <is>
          <t>Remoto</t>
        </is>
      </c>
      <c r="G597" s="5">
        <f>HYPERLINK("https://co.linkedin.com/jobs/view/director-de-proyectos-y-operaciones-at-corredor-empresarial-4483329263", "Ver Vacante")</f>
        <v/>
      </c>
      <c r="H597" s="6" t="inlineStr"/>
      <c r="I5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761845f8a952efed</t>
        </is>
      </c>
      <c r="B598" s="2" t="inlineStr">
        <is>
          <t>2026-10-27 16:18</t>
        </is>
      </c>
      <c r="C598" s="3" t="inlineStr">
        <is>
          <t>Gestor Líder HSEQ 62882</t>
        </is>
      </c>
      <c r="D598" s="3" t="inlineStr">
        <is>
          <t>PeakU</t>
        </is>
      </c>
      <c r="E598" s="7" t="n">
        <v>0.5</v>
      </c>
      <c r="F598" s="2" t="inlineStr">
        <is>
          <t>Remoto</t>
        </is>
      </c>
      <c r="G598" s="5">
        <f>HYPERLINK("https://co.computrabajo.com/ofertas-de-trabajo/oferta-de-trabajo-de-gestor-lider-hseq-62882-bogota-en-bogota-dc-D1EDCAAA15CC82BE61373E686DCF3405", "Ver Vacante")</f>
        <v/>
      </c>
      <c r="H598" s="6" t="inlineStr">
        <is>
          <t>$ 5.000.000,00 (Mensual)</t>
        </is>
      </c>
      <c r="I598" s="3" t="inlineStr">
        <is>
          <t>[Afinidad: 50/100 - Afinidad Moderada] Afinidad parcial en seguridad y salud ocupacional.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38a43667e573067e</t>
        </is>
      </c>
      <c r="B599" s="2" t="inlineStr">
        <is>
          <t>2026-10-27 16:18</t>
        </is>
      </c>
      <c r="C599" s="3" t="inlineStr">
        <is>
          <t>Analista infraestructura</t>
        </is>
      </c>
      <c r="D599" s="3" t="inlineStr">
        <is>
          <t>Universidad Cooperativa de Colombia</t>
        </is>
      </c>
      <c r="E599" s="7" t="n">
        <v>0.5</v>
      </c>
      <c r="F599" s="2" t="inlineStr">
        <is>
          <t>Remoto</t>
        </is>
      </c>
      <c r="G599" s="5">
        <f>HYPERLINK("https://www.elempleo.com/co/ofertas-trabajo/analista-infraestructura-1886777135", "Ver Vacante")</f>
        <v/>
      </c>
      <c r="H599" s="6" t="inlineStr"/>
      <c r="I599" s="3" t="inlineStr">
        <is>
          <t>[Afinidad: 50/100 - Afinidad Moderada] Afinidad parcial en infraestructura vial y transporte.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e85c35f0b6b181dd</t>
        </is>
      </c>
      <c r="B600" s="2" t="inlineStr">
        <is>
          <t>2026-10-27 16:18</t>
        </is>
      </c>
      <c r="C600" s="3" t="inlineStr">
        <is>
          <t>Analista de soporte de ti e infraestructura</t>
        </is>
      </c>
      <c r="D600" s="3" t="inlineStr">
        <is>
          <t>Confidencial</t>
        </is>
      </c>
      <c r="E600" s="7" t="n">
        <v>0.5</v>
      </c>
      <c r="F600" s="2" t="inlineStr">
        <is>
          <t>Remoto</t>
        </is>
      </c>
      <c r="G600" s="5">
        <f>HYPERLINK("https://www.elempleo.com/co/ofertas-trabajo/analista-de-soporte-de-ti-e-infraestructura-1886781909", "Ver Vacante")</f>
        <v/>
      </c>
      <c r="H600" s="6" t="inlineStr"/>
      <c r="I600" s="3" t="inlineStr">
        <is>
          <t>[Afinidad: 50/100 - Afinidad Moderada] Afinidad parcial en infraestructura vial y transporte.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553bacc541c40318</t>
        </is>
      </c>
      <c r="B601" s="2" t="inlineStr">
        <is>
          <t>2026-10-27 16:18</t>
        </is>
      </c>
      <c r="C601" s="3" t="inlineStr">
        <is>
          <t>Líder de seguridad y salud en el trabajo - sesquilé | ref. 1626485685-11</t>
        </is>
      </c>
      <c r="D601" s="3" t="inlineStr">
        <is>
          <t>AGENCIA DE EMPLEO Y FOMENTO EMPRESARIAL COMPENSAR</t>
        </is>
      </c>
      <c r="E601" s="7" t="n">
        <v>0.5</v>
      </c>
      <c r="F601" s="2" t="inlineStr">
        <is>
          <t>Remoto</t>
        </is>
      </c>
      <c r="G601" s="5">
        <f>HYPERLINK("https://www.elempleo.com/co/ofertas-trabajo/lider-de-seguridad-y-salud-en-el-trabajo-sesquile-ref-162648568511-1886785577", "Ver Vacante")</f>
        <v/>
      </c>
      <c r="H601" s="6" t="inlineStr"/>
      <c r="I601" s="3" t="inlineStr">
        <is>
          <t>[Afinidad: 50/100 - Afinidad Moderada] Afinidad parcial en seguridad y salud ocupacional.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43121e5452ed7d59</t>
        </is>
      </c>
      <c r="B602" s="2" t="inlineStr">
        <is>
          <t>2026-10-27 16:18</t>
        </is>
      </c>
      <c r="C602" s="3" t="inlineStr">
        <is>
          <t>Consultor sst - bogotá 1626508403-6</t>
        </is>
      </c>
      <c r="D602" s="3" t="inlineStr">
        <is>
          <t>AGENCIA DE EMPLEO Y FOMENTO EMPRESARIAL COMPENSAR</t>
        </is>
      </c>
      <c r="E602" s="7" t="n">
        <v>0.5</v>
      </c>
      <c r="F602" s="2" t="inlineStr">
        <is>
          <t>Remoto</t>
        </is>
      </c>
      <c r="G602" s="5">
        <f>HYPERLINK("https://www.elempleo.com/co/ofertas-trabajo/consultor-sst-bogota-16265084036-1886785641", "Ver Vacante")</f>
        <v/>
      </c>
      <c r="H602" s="6" t="inlineStr"/>
      <c r="I602" s="3" t="inlineStr">
        <is>
          <t>[Afinidad: 50/100 - Afinidad Moderada] Afinidad parcial en seguridad y salud ocupacional.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4426b2c17306f519</t>
        </is>
      </c>
      <c r="B603" s="2" t="inlineStr">
        <is>
          <t>2026-09-22 05:09</t>
        </is>
      </c>
      <c r="C603" s="3" t="inlineStr">
        <is>
          <t>Residente de Seguridad y Salud en el trabajo</t>
        </is>
      </c>
      <c r="D603" s="3" t="inlineStr">
        <is>
          <t>Cal y Mayor y Asociados S.C</t>
        </is>
      </c>
      <c r="E603" s="8" t="n">
        <v>0.48</v>
      </c>
      <c r="F603" s="2" t="inlineStr">
        <is>
          <t>Remoto</t>
        </is>
      </c>
      <c r="G603" s="5">
        <f>HYPERLINK("https://co.computrabajo.com/ofertas-de-trabajo/oferta-de-trabajo-de-residente-de-seguridad-y-salud-en-el-trabajo-sst-sst-en-bogota-dc-D67E64C3D53E0D6961373E686DCF3405", "Ver Vacante")</f>
        <v/>
      </c>
      <c r="H603" s="6" t="inlineStr">
        <is>
          <t>$ 4.200.000,00 (Mensual)</t>
        </is>
      </c>
      <c r="I603" s="3" t="inlineStr">
        <is>
          <t>[Afinidad: 48/100 - Baja Afinidad] Alta coincidencia en gestión de Seguridad y Salud en el Trabajo (SST).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83015d6afb890f1d</t>
        </is>
      </c>
      <c r="B604" s="2" t="inlineStr">
        <is>
          <t>2026-09-22 05:09</t>
        </is>
      </c>
      <c r="C604" s="3" t="inlineStr">
        <is>
          <t>Analista/profesional HSEQ / SST Sesquile o Alrededores</t>
        </is>
      </c>
      <c r="D604" s="3" t="inlineStr">
        <is>
          <t>ACTIVOS S A S</t>
        </is>
      </c>
      <c r="E604" s="8" t="n">
        <v>0.48</v>
      </c>
      <c r="F604" s="2" t="inlineStr">
        <is>
          <t>Remoto</t>
        </is>
      </c>
      <c r="G604" s="5">
        <f>HYPERLINK("https://co.computrabajo.com/ofertas-de-trabajo/oferta-de-trabajo-de-analistaprofesional-hseq-sst-sesquile-o-alrededores-sector-consumo-masivo-en-sesquile-632A9566338A59E361373E686DCF3405", "Ver Vacante")</f>
        <v/>
      </c>
      <c r="H604" s="6" t="inlineStr">
        <is>
          <t>$ 4.000.000,00 (Mensual)</t>
        </is>
      </c>
      <c r="I604" s="3" t="inlineStr">
        <is>
          <t>[Afinidad: 48/100 - Baja Afinidad] Alta coincidencia en gestión de Seguridad y Salud en el Trabajo (SST).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bc0b38b5129e0905</t>
        </is>
      </c>
      <c r="B605" s="2" t="inlineStr">
        <is>
          <t>2026-09-22 05:09</t>
        </is>
      </c>
      <c r="C605" s="3" t="inlineStr">
        <is>
          <t>Profesional en seguridad y salud en el trabajo SST</t>
        </is>
      </c>
      <c r="D605" s="3" t="inlineStr">
        <is>
          <t>Seguridad y Vigilancia Exito de Colombia</t>
        </is>
      </c>
      <c r="E605" s="8" t="n">
        <v>0.48</v>
      </c>
      <c r="F605" s="2" t="inlineStr">
        <is>
          <t>Remoto</t>
        </is>
      </c>
      <c r="G605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605" s="6" t="inlineStr">
        <is>
          <t>$ 3.200.000,00 (Mensual)</t>
        </is>
      </c>
      <c r="I605" s="3" t="inlineStr">
        <is>
          <t>[Afinidad: 48/100 - Baja Afinidad] Alta coincidencia en gestión de Seguridad y Salud en el Trabajo (SST).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e15ce00dbe5c21b5</t>
        </is>
      </c>
      <c r="B606" s="2" t="inlineStr">
        <is>
          <t>2026-09-22 05:09</t>
        </is>
      </c>
      <c r="C606" s="3" t="inlineStr">
        <is>
          <t>Tecnólogo HSEQ / Seguridad y Salud en el Trabajo</t>
        </is>
      </c>
      <c r="D606" s="3" t="inlineStr">
        <is>
          <t>Lighgen Ingeniería Ltda</t>
        </is>
      </c>
      <c r="E606" s="8" t="n">
        <v>0.48</v>
      </c>
      <c r="F606" s="2" t="inlineStr">
        <is>
          <t>Remoto</t>
        </is>
      </c>
      <c r="G606" s="5">
        <f>HYPERLINK("https://co.computrabajo.com/ofertas-de-trabajo/oferta-de-trabajo-de-tecnologo-hseq-seguridad-y-salud-en-el-trabajo-con-experiencia-2-anos-en-bogota-dc-87DB3FCAFEA8E12861373E686DCF3405", "Ver Vacante")</f>
        <v/>
      </c>
      <c r="H606" s="6" t="inlineStr"/>
      <c r="I606" s="3" t="inlineStr">
        <is>
          <t>[Afinidad: 48/100 - Baja Afinidad] Alta coincidencia en gestión de Seguridad y Salud en el Trabajo (SST).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1f3bf8b16a58f0b4</t>
        </is>
      </c>
      <c r="B607" s="2" t="inlineStr">
        <is>
          <t>2026-09-22 05:09</t>
        </is>
      </c>
      <c r="C607" s="3" t="inlineStr">
        <is>
          <t>Inspector (a) de vias y urbanismo</t>
        </is>
      </c>
      <c r="D607" s="3" t="inlineStr">
        <is>
          <t>METRO LINEA 1 S.A.S.</t>
        </is>
      </c>
      <c r="E607" s="8" t="n">
        <v>0.48</v>
      </c>
      <c r="F607" s="2" t="inlineStr">
        <is>
          <t>Remoto</t>
        </is>
      </c>
      <c r="G607" s="5">
        <f>HYPERLINK("https://www.elempleo.com/co/ofertas-trabajo/inspector-a-de-vias-y-urbanismo-1886728733", "Ver Vacante")</f>
        <v/>
      </c>
      <c r="H607" s="6" t="inlineStr"/>
      <c r="I607" s="3" t="inlineStr">
        <is>
          <t>[Afinidad: 48/100 - Baja Afinidad] Alta coincidencia técnica en infraestructura vial, diseño geométrico y pavimentos.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8fd843a922654d9e</t>
        </is>
      </c>
      <c r="B608" s="2" t="inlineStr">
        <is>
          <t>2026-09-22 05:09</t>
        </is>
      </c>
      <c r="C608" s="3" t="inlineStr">
        <is>
          <t>Oficial de obra</t>
        </is>
      </c>
      <c r="D608" s="3" t="inlineStr">
        <is>
          <t>TERMOTECNICA COINDUSTRIAL SAS</t>
        </is>
      </c>
      <c r="E608" s="8" t="n">
        <v>0.48</v>
      </c>
      <c r="F608" s="2" t="inlineStr">
        <is>
          <t>Remoto</t>
        </is>
      </c>
      <c r="G608" s="5">
        <f>HYPERLINK("https://www.elempleo.com/co/ofertas-trabajo/oficial-de-obra-puentevias-1886766237", "Ver Vacante")</f>
        <v/>
      </c>
      <c r="H608" s="6" t="inlineStr"/>
      <c r="I608" s="3" t="inlineStr">
        <is>
          <t>[Afinidad: 48/100 - Baja Afinidad] Alta coincidencia técnica en infraestructura vial, diseño geométrico y pavimentos.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03eab73111095faa</t>
        </is>
      </c>
      <c r="B609" s="2" t="inlineStr">
        <is>
          <t>2026-09-22 05:09</t>
        </is>
      </c>
      <c r="C609" s="3" t="inlineStr">
        <is>
          <t>Residente estructuras</t>
        </is>
      </c>
      <c r="D609" s="3" t="inlineStr">
        <is>
          <t>CONCONCRETO S.A.</t>
        </is>
      </c>
      <c r="E609" s="8" t="n">
        <v>0.48</v>
      </c>
      <c r="F609" s="2" t="inlineStr">
        <is>
          <t>Remoto</t>
        </is>
      </c>
      <c r="G609" s="5">
        <f>HYPERLINK("https://www.elempleo.com/co/ofertas-trabajo/residente-estructuras-experiencia-en-infraestructura-vial-y-talud-1886757305", "Ver Vacante")</f>
        <v/>
      </c>
      <c r="H609" s="6" t="inlineStr"/>
      <c r="I609" s="3" t="inlineStr">
        <is>
          <t>[Afinidad: 48/100 - Baja Afinidad] Alta coincidencia técnica en infraestructura vial, diseño geométrico y pavimentos.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c5911c7562546e3c</t>
        </is>
      </c>
      <c r="B610" s="2" t="inlineStr">
        <is>
          <t>2026-09-22 05:09</t>
        </is>
      </c>
      <c r="C610" s="3" t="inlineStr">
        <is>
          <t>Profesional con experiencia en el sector de transporte marítimo y/o por vías navegables</t>
        </is>
      </c>
      <c r="D610" s="3" t="inlineStr">
        <is>
          <t>ICONTEC</t>
        </is>
      </c>
      <c r="E610" s="8" t="n">
        <v>0.48</v>
      </c>
      <c r="F610" s="2" t="inlineStr">
        <is>
          <t>Remoto</t>
        </is>
      </c>
      <c r="G610" s="5">
        <f>HYPERLINK("https://www.elempleo.com/co/ofertas-trabajo/profesional-con-experiencia-en-el-sector-de-transporte-maritimo-y-o-por-vias-navegables-1886761682", "Ver Vacante")</f>
        <v/>
      </c>
      <c r="H610" s="6" t="inlineStr"/>
      <c r="I610" s="3" t="inlineStr">
        <is>
          <t>[Afinidad: 48/100 - Baja Afinidad] Alta coincidencia técnica en infraestructura vial, diseño geométrico y pavimentos.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c2903e245a44de39</t>
        </is>
      </c>
      <c r="B611" s="2" t="inlineStr">
        <is>
          <t>2026-09-22 05:09</t>
        </is>
      </c>
      <c r="C611" s="3" t="inlineStr">
        <is>
          <t>Encargado de obra</t>
        </is>
      </c>
      <c r="D611" s="3" t="inlineStr">
        <is>
          <t>TERMOTECNICA COINDUSTRIAL SAS</t>
        </is>
      </c>
      <c r="E611" s="8" t="n">
        <v>0.48</v>
      </c>
      <c r="F611" s="2" t="inlineStr">
        <is>
          <t>Remoto</t>
        </is>
      </c>
      <c r="G611" s="5">
        <f>HYPERLINK("https://www.elempleo.com/co/ofertas-trabajo/encargado-de-obra-puentes-vias-1886762620", "Ver Vacante")</f>
        <v/>
      </c>
      <c r="H611" s="6" t="inlineStr"/>
      <c r="I611" s="3" t="inlineStr">
        <is>
          <t>[Afinidad: 48/100 - Baja Afinidad] Alta coincidencia técnica en infraestructura vial, diseño geométrico y pavimentos.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a5bd833e8b837d34</t>
        </is>
      </c>
      <c r="B612" s="2" t="inlineStr">
        <is>
          <t>2026-09-22 05:09</t>
        </is>
      </c>
      <c r="C612" s="3" t="inlineStr">
        <is>
          <t>Residente en seguridad y salud en el trabajo</t>
        </is>
      </c>
      <c r="D612" s="3" t="inlineStr">
        <is>
          <t>Confidencial</t>
        </is>
      </c>
      <c r="E612" s="8" t="n">
        <v>0.48</v>
      </c>
      <c r="F612" s="2" t="inlineStr">
        <is>
          <t>Remoto</t>
        </is>
      </c>
      <c r="G612" s="5">
        <f>HYPERLINK("https://www.elempleo.com/co/ofertas-trabajo/residente-en-seguridad-y-salud-en-el-trabajo-sst-1886762728", "Ver Vacante")</f>
        <v/>
      </c>
      <c r="H612" s="6" t="inlineStr"/>
      <c r="I612" s="3" t="inlineStr">
        <is>
          <t>[Afinidad: 48/100 - Baja Afinidad] Alta coincidencia en gestión de Seguridad y Salud en el Trabajo (SST).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55e7967f3b4afa02</t>
        </is>
      </c>
      <c r="B613" s="2" t="inlineStr">
        <is>
          <t>2026-09-22 05:09</t>
        </is>
      </c>
      <c r="C613" s="3" t="inlineStr">
        <is>
          <t>Tecnólogo/a en Seguridad y Salud en el Trabajo</t>
        </is>
      </c>
      <c r="D613" s="3" t="inlineStr">
        <is>
          <t>EOSOL</t>
        </is>
      </c>
      <c r="E613" s="8" t="n">
        <v>0.48</v>
      </c>
      <c r="F613" s="2" t="inlineStr">
        <is>
          <t>Remoto</t>
        </is>
      </c>
      <c r="G613" s="5">
        <f>HYPERLINK("https://co.linkedin.com/jobs/view/tecn%C3%B3logo-a-en-seguridad-y-salud-en-el-trabajo-sst-at-eosol-4464868638", "Ver Vacante")</f>
        <v/>
      </c>
      <c r="H613" s="6" t="inlineStr"/>
      <c r="I613" s="3" t="inlineStr">
        <is>
          <t>[Afinidad: 48/100 - Baja Afinidad] Alta coincidencia en gestión de Seguridad y Salud en el Trabajo (SST).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6df905e482fe09b1</t>
        </is>
      </c>
      <c r="B614" s="2" t="inlineStr">
        <is>
          <t>2026-09-22 05:09</t>
        </is>
      </c>
      <c r="C614" s="3" t="inlineStr">
        <is>
          <t>Aprendiz SENA - Técnico(a) de Salud Ocupacional o Seguridad y Salud en el Trabajo - Ginebra</t>
        </is>
      </c>
      <c r="D614" s="3" t="inlineStr">
        <is>
          <t>Cargill</t>
        </is>
      </c>
      <c r="E614" s="8" t="n">
        <v>0.48</v>
      </c>
      <c r="F614" s="2" t="inlineStr">
        <is>
          <t>Remoto</t>
        </is>
      </c>
      <c r="G614" s="5">
        <f>HYPERLINK("https://co.linkedin.com/jobs/view/aprendiz-sena-t%C3%A9cnico-a-de-salud-ocupacional-o-seguridad-y-salud-en-el-trabajo-ginebra-at-cargill-4466994159", "Ver Vacante")</f>
        <v/>
      </c>
      <c r="H614" s="6" t="inlineStr"/>
      <c r="I614" s="3" t="inlineStr">
        <is>
          <t>[Afinidad: 48/100 - Baja Afinidad] Alta coincidencia en gestión de Seguridad y Salud en el Trabajo (SST).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06656fbb2d452086</t>
        </is>
      </c>
      <c r="B615" s="2" t="inlineStr">
        <is>
          <t>2026-09-22 05:09</t>
        </is>
      </c>
      <c r="C615" s="3" t="inlineStr">
        <is>
          <t>Residente de Seguridad y Salud en el trabajo</t>
        </is>
      </c>
      <c r="D615" s="3" t="inlineStr">
        <is>
          <t>Grupo Cal y Mayor</t>
        </is>
      </c>
      <c r="E615" s="8" t="n">
        <v>0.48</v>
      </c>
      <c r="F615" s="2" t="inlineStr">
        <is>
          <t>Remoto</t>
        </is>
      </c>
      <c r="G615" s="5">
        <f>HYPERLINK("https://co.linkedin.com/jobs/view/residente-de-seguridad-y-salud-en-el-trabajo-sst-at-cal-y-mayor-4468610572", "Ver Vacante")</f>
        <v/>
      </c>
      <c r="H615" s="6" t="inlineStr"/>
      <c r="I615" s="3" t="inlineStr">
        <is>
          <t>[Afinidad: 48/100 - Baja Afinidad] Alta coincidencia en gestión de Seguridad y Salud en el Trabajo (SST).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7796e088dce85b5a</t>
        </is>
      </c>
      <c r="B616" s="2" t="inlineStr">
        <is>
          <t>2026-09-22 05:09</t>
        </is>
      </c>
      <c r="C616" s="3" t="inlineStr">
        <is>
          <t>Civil Engineer (Fire Sprinkler Design))</t>
        </is>
      </c>
      <c r="D616" s="3" t="inlineStr">
        <is>
          <t>Hyremote</t>
        </is>
      </c>
      <c r="E616" s="8" t="n">
        <v>0.45</v>
      </c>
      <c r="F616" s="2" t="inlineStr">
        <is>
          <t>Remoto</t>
        </is>
      </c>
      <c r="G616" s="5">
        <f>HYPERLINK("https://co.computrabajo.com/ofertas-de-trabajo/oferta-de-trabajo-de-civil-engineer-fire-sprinkler-design-english-c1-remote-en-bogota-dc-A2EE61A321FC0D3361373E686DCF3405", "Ver Vacante")</f>
        <v/>
      </c>
      <c r="H616" s="6" t="inlineStr">
        <is>
          <t>$ 4.499.993,00 (Mensual)</t>
        </is>
      </c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48463526ca7c8ada</t>
        </is>
      </c>
      <c r="B617" s="2" t="inlineStr">
        <is>
          <t>2026-09-22 05:09</t>
        </is>
      </c>
      <c r="C617" s="3" t="inlineStr">
        <is>
          <t>Ingeniero Civil Especialista en Hidrología e Hidráulica</t>
        </is>
      </c>
      <c r="D617" s="3" t="inlineStr">
        <is>
          <t>ATLAS INFRASTRUCTURE DESIGN LIMITED</t>
        </is>
      </c>
      <c r="E617" s="8" t="n">
        <v>0.45</v>
      </c>
      <c r="F617" s="2" t="inlineStr">
        <is>
          <t>Remoto</t>
        </is>
      </c>
      <c r="G617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17" s="6" t="inlineStr">
        <is>
          <t>Remoto</t>
        </is>
      </c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2d406567ceb21bf8</t>
        </is>
      </c>
      <c r="B618" s="2" t="inlineStr">
        <is>
          <t>2026-09-22 05:09</t>
        </is>
      </c>
      <c r="C618" s="3" t="inlineStr">
        <is>
          <t>Ingeniero Civil de Diseño</t>
        </is>
      </c>
      <c r="D618" s="3" t="inlineStr">
        <is>
          <t>ATLAS INFRASTRUCTURE DESIGN LIMITED</t>
        </is>
      </c>
      <c r="E618" s="8" t="n">
        <v>0.45</v>
      </c>
      <c r="F618" s="2" t="inlineStr">
        <is>
          <t>Remoto</t>
        </is>
      </c>
      <c r="G618" s="5">
        <f>HYPERLINK("https://co.computrabajo.com/ofertas-de-trabajo/oferta-de-trabajo-de-ingeniero-civil-de-diseno-tiempo-completo-en-remoto-en-colombia-4CB8F30B6D8FBF7261373E686DCF3405", "Ver Vacante")</f>
        <v/>
      </c>
      <c r="H618" s="6" t="inlineStr">
        <is>
          <t>Remoto</t>
        </is>
      </c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4d4013d19591d2a5</t>
        </is>
      </c>
      <c r="B619" s="2" t="inlineStr">
        <is>
          <t>2026-09-22 05:09</t>
        </is>
      </c>
      <c r="C619" s="3" t="inlineStr">
        <is>
          <t>Especialista en Salud y Seguridad en el trabajo con especialización en medio Ambiente</t>
        </is>
      </c>
      <c r="D619" s="3" t="inlineStr">
        <is>
          <t>DEXTERA S.A.S</t>
        </is>
      </c>
      <c r="E619" s="8" t="n">
        <v>0.45</v>
      </c>
      <c r="F619" s="2" t="inlineStr">
        <is>
          <t>Remoto</t>
        </is>
      </c>
      <c r="G619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cf70d2ca6e5c25de</t>
        </is>
      </c>
      <c r="B620" s="2" t="inlineStr">
        <is>
          <t>2026-09-22 05:09</t>
        </is>
      </c>
      <c r="C620" s="3" t="inlineStr">
        <is>
          <t>Ingeniero civil</t>
        </is>
      </c>
      <c r="D620" s="3" t="inlineStr">
        <is>
          <t>Importante empresa del sector</t>
        </is>
      </c>
      <c r="E620" s="8" t="n">
        <v>0.45</v>
      </c>
      <c r="F620" s="2" t="inlineStr">
        <is>
          <t>Remoto</t>
        </is>
      </c>
      <c r="G620" s="5">
        <f>HYPERLINK("https://co.computrabajo.com/ofertas-de-trabajo/oferta-de-trabajo-de-ingeniero-civil-con-experiencia-en-sistemas-fotovoltaicos-en-bogota-dc-8BCBCD7DF8FE589C61373E686DCF3405", "Ver Vacante")</f>
        <v/>
      </c>
      <c r="H620" s="6" t="inlineStr">
        <is>
          <t>$ 3.300.000,00 (Mensual)</t>
        </is>
      </c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bb8237cc7ed8d56b</t>
        </is>
      </c>
      <c r="B621" s="2" t="inlineStr">
        <is>
          <t>2026-09-22 05:09</t>
        </is>
      </c>
      <c r="C621" s="3" t="inlineStr">
        <is>
          <t>Coordinador de Proyectos Mejoramientos de Vivienda</t>
        </is>
      </c>
      <c r="D621" s="3" t="inlineStr">
        <is>
          <t>Socya</t>
        </is>
      </c>
      <c r="E621" s="8" t="n">
        <v>0.45</v>
      </c>
      <c r="F621" s="2" t="inlineStr">
        <is>
          <t>Remoto</t>
        </is>
      </c>
      <c r="G621" s="5">
        <f>HYPERLINK("https://co.computrabajo.com/ofertas-de-trabajo/oferta-de-trabajo-de-coordinador-de-proyectos-mejoramientos-de-vivienda-medellin-antioquia-en-medellin-7E29781CFFD4058961373E686DCF3405",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c41dc091e876cb10</t>
        </is>
      </c>
      <c r="B622" s="2" t="inlineStr">
        <is>
          <t>2026-09-22 05:09</t>
        </is>
      </c>
      <c r="C622" s="3" t="inlineStr">
        <is>
          <t>Especialista de Milk Collection</t>
        </is>
      </c>
      <c r="D622" s="3" t="inlineStr">
        <is>
          <t>LACTALIS</t>
        </is>
      </c>
      <c r="E622" s="8" t="n">
        <v>0.45</v>
      </c>
      <c r="F622" s="2" t="inlineStr">
        <is>
          <t>Remoto</t>
        </is>
      </c>
      <c r="G622" s="5">
        <f>HYPERLINK("https://co.computrabajo.com/ofertas-de-trabajo/oferta-de-trabajo-de-especialista-de-milk-collection-optimizacion-y-analisis-de-datos-en-bogota-dc-B007F5172FEA6F6461373E686DCF3405", "Ver Vacante")</f>
        <v/>
      </c>
      <c r="H622" s="6" t="inlineStr">
        <is>
          <t>$ 6.000.000,00 (Mensual)</t>
        </is>
      </c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4f38d6c20430e4bb</t>
        </is>
      </c>
      <c r="B623" s="2" t="inlineStr">
        <is>
          <t>2026-09-22 05:09</t>
        </is>
      </c>
      <c r="C623" s="3" t="inlineStr">
        <is>
          <t>ingeniero civil</t>
        </is>
      </c>
      <c r="D623" s="3" t="inlineStr">
        <is>
          <t>EVALTEC S.A.S.</t>
        </is>
      </c>
      <c r="E623" s="8" t="n">
        <v>0.45</v>
      </c>
      <c r="F623" s="2" t="inlineStr">
        <is>
          <t>Remoto</t>
        </is>
      </c>
      <c r="G623" s="5">
        <f>HYPERLINK("https://co.computrabajo.com/ofertas-de-trabajo/oferta-de-trabajo-de-ingeniero-civil-o-areas-afines-en-medellin-0E02F682AB12631061373E686DCF3405",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af38dd28fbbad8f4</t>
        </is>
      </c>
      <c r="B624" s="2" t="inlineStr">
        <is>
          <t>2026-09-22 05:09</t>
        </is>
      </c>
      <c r="C624" s="3" t="inlineStr">
        <is>
          <t>Tecnólogo Auxiliar Civil</t>
        </is>
      </c>
      <c r="D624" s="3" t="inlineStr">
        <is>
          <t>Importante empresa del sector</t>
        </is>
      </c>
      <c r="E624" s="8" t="n">
        <v>0.45</v>
      </c>
      <c r="F624" s="2" t="inlineStr">
        <is>
          <t>Remoto</t>
        </is>
      </c>
      <c r="G624" s="5">
        <f>HYPERLINK("https://co.computrabajo.com/ofertas-de-trabajo/oferta-de-trabajo-de-tecnologo-auxiliar-civil-antioquia-en-liborina-B380460DDA9F98D061373E686DCF3405",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19e74768ce848880</t>
        </is>
      </c>
      <c r="B625" s="2" t="inlineStr">
        <is>
          <t>2026-09-22 05:09</t>
        </is>
      </c>
      <c r="C625" s="3" t="inlineStr">
        <is>
          <t>Coordinador HSEQ</t>
        </is>
      </c>
      <c r="D625" s="3" t="inlineStr">
        <is>
          <t>Agencia de empleo de Comfenalco Cartagena</t>
        </is>
      </c>
      <c r="E625" s="8" t="n">
        <v>0.45</v>
      </c>
      <c r="F625" s="2" t="inlineStr">
        <is>
          <t>Remoto</t>
        </is>
      </c>
      <c r="G625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25" s="6" t="inlineStr">
        <is>
          <t>$ 2.500.000,00 (Mensual)</t>
        </is>
      </c>
      <c r="I625" s="3" t="inlineStr">
        <is>
          <t>[Afinidad: 45/100 - Baja Afinidad] Afinidad parcial en seguridad y salud ocupacional.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38c9a9481706de58</t>
        </is>
      </c>
      <c r="B626" s="2" t="inlineStr">
        <is>
          <t>2026-09-22 05:09</t>
        </is>
      </c>
      <c r="C626" s="3" t="inlineStr">
        <is>
          <t>Coordinador de seguridad vial y monitoreo</t>
        </is>
      </c>
      <c r="D626" s="3" t="inlineStr">
        <is>
          <t>MEGACOMERCIAL S.A.S</t>
        </is>
      </c>
      <c r="E626" s="8" t="n">
        <v>0.45</v>
      </c>
      <c r="F626" s="2" t="inlineStr">
        <is>
          <t>Remoto</t>
        </is>
      </c>
      <c r="G626" s="5">
        <f>HYPERLINK("https://co.computrabajo.com/ofertas-de-trabajo/oferta-de-trabajo-de-coordinador-de-seguridad-vial-y-monitoreo-abierto-a-nivel-nacional-en-bogota-dc-B9B593A780889F2A61373E686DCF3405", "Ver Vacante")</f>
        <v/>
      </c>
      <c r="H626" s="6" t="inlineStr">
        <is>
          <t>$ 5.000.000,00 (Mensual)</t>
        </is>
      </c>
      <c r="I626" s="3" t="inlineStr">
        <is>
          <t>[Afinidad: 45/100 - Baja Afinidad] Afinidad parcial en infraestructura vial y transporte.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aecc6c18fdd71383</t>
        </is>
      </c>
      <c r="B627" s="2" t="inlineStr">
        <is>
          <t>2026-09-22 05:09</t>
        </is>
      </c>
      <c r="C627" s="3" t="inlineStr">
        <is>
          <t>Coordinador de PESV</t>
        </is>
      </c>
      <c r="D627" s="3" t="inlineStr">
        <is>
          <t>Agencia de Empleo de Comfenalco Antioquia</t>
        </is>
      </c>
      <c r="E627" s="8" t="n">
        <v>0.45</v>
      </c>
      <c r="F627" s="2" t="inlineStr">
        <is>
          <t>Remoto</t>
        </is>
      </c>
      <c r="G627" s="5">
        <f>HYPERLINK("https://co.computrabajo.com/ofertas-de-trabajo/oferta-de-trabajo-de-coordinador-de-pesv-en-medellin-67C3B78E9A85885161373E686DCF3405", "Ver Vacante")</f>
        <v/>
      </c>
      <c r="H627" s="6" t="inlineStr">
        <is>
          <t>$ 2.800.000,00 (Mensual)</t>
        </is>
      </c>
      <c r="I627" s="3" t="inlineStr">
        <is>
          <t>[Afinidad: 45/100 - Baja Afinidad] Afinidad parcial en infraestructura vial y transporte.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1558fc20863bdd35</t>
        </is>
      </c>
      <c r="B628" s="2" t="inlineStr">
        <is>
          <t>2026-09-22 05:09</t>
        </is>
      </c>
      <c r="C628" s="3" t="inlineStr">
        <is>
          <t>Coordinador HSEQ</t>
        </is>
      </c>
      <c r="D628" s="3" t="inlineStr">
        <is>
          <t>COMPAÑIA DE INGENIEROS CONSTRUCTORES S.A.S.</t>
        </is>
      </c>
      <c r="E628" s="8" t="n">
        <v>0.45</v>
      </c>
      <c r="F628" s="2" t="inlineStr">
        <is>
          <t>Remoto</t>
        </is>
      </c>
      <c r="G628" s="5">
        <f>HYPERLINK("https://co.computrabajo.com/ofertas-de-trabajo/oferta-de-trabajo-de-coordinador-hseq-en-barranquilla-F4898EBB71CAF3ED61373E686DCF3405", "Ver Vacante")</f>
        <v/>
      </c>
      <c r="H628" s="6" t="inlineStr"/>
      <c r="I628" s="3" t="inlineStr">
        <is>
          <t>[Afinidad: 45/100 - Baja Afinidad] Afinidad parcial en seguridad y salud ocupacional.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0bf63022dc93885b</t>
        </is>
      </c>
      <c r="B629" s="2" t="inlineStr">
        <is>
          <t>2026-09-22 05:09</t>
        </is>
      </c>
      <c r="C629" s="3" t="inlineStr">
        <is>
          <t>ingeniero civil</t>
        </is>
      </c>
      <c r="D629" s="3" t="inlineStr">
        <is>
          <t>FRANCISCO ANGULO M INGENIEROS S.A.S.</t>
        </is>
      </c>
      <c r="E629" s="8" t="n">
        <v>0.45</v>
      </c>
      <c r="F629" s="2" t="inlineStr">
        <is>
          <t>Remoto</t>
        </is>
      </c>
      <c r="G629" s="5">
        <f>HYPERLINK("https://co.computrabajo.com/ofertas-de-trabajo/oferta-de-trabajo-de-ingeniero-civil-residente-de-interventoria-yo-supervision-tecnica-en-cali-D2AE78FA9B23778161373E686DCF3405",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baa61a6e15a2de77</t>
        </is>
      </c>
      <c r="B630" s="2" t="inlineStr">
        <is>
          <t>2026-09-22 05:09</t>
        </is>
      </c>
      <c r="C630" s="3" t="inlineStr">
        <is>
          <t>Arquitecto(a) / Ingeniero(a) Civil</t>
        </is>
      </c>
      <c r="D630" s="3" t="inlineStr">
        <is>
          <t>Importante empresa del sector</t>
        </is>
      </c>
      <c r="E630" s="8" t="n">
        <v>0.45</v>
      </c>
      <c r="F630" s="2" t="inlineStr">
        <is>
          <t>Remoto</t>
        </is>
      </c>
      <c r="G630" s="5">
        <f>HYPERLINK("https://co.computrabajo.com/ofertas-de-trabajo/oferta-de-trabajo-de-arquitectoa-ingenieroa-civil-en-bucaramanga-8D15AF34F304555F61373E686DCF3405",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448d93b15d9b7dec</t>
        </is>
      </c>
      <c r="B631" s="2" t="inlineStr">
        <is>
          <t>2026-09-22 05:09</t>
        </is>
      </c>
      <c r="C631" s="3" t="inlineStr">
        <is>
          <t>Ingeniero especialista fortinet</t>
        </is>
      </c>
      <c r="D631" s="3" t="inlineStr">
        <is>
          <t>ATCG DE COLOMBIA S.A.S</t>
        </is>
      </c>
      <c r="E631" s="8" t="n">
        <v>0.45</v>
      </c>
      <c r="F631" s="2" t="inlineStr">
        <is>
          <t>Remoto</t>
        </is>
      </c>
      <c r="G631" s="5">
        <f>HYPERLINK("https://www.elempleo.com/co/ofertas-trabajo/ingeniero-especialista-fortinet-1886742914",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f2fc6f9471f81665</t>
        </is>
      </c>
      <c r="B632" s="2" t="inlineStr">
        <is>
          <t>2026-09-22 05:09</t>
        </is>
      </c>
      <c r="C632" s="3" t="inlineStr">
        <is>
          <t>Coordinador/a nacional de redes e infraestructura de ti - presencial bucaramanga</t>
        </is>
      </c>
      <c r="D632" s="3" t="inlineStr">
        <is>
          <t>Confidencial</t>
        </is>
      </c>
      <c r="E632" s="8" t="n">
        <v>0.45</v>
      </c>
      <c r="F632" s="2" t="inlineStr">
        <is>
          <t>Remoto</t>
        </is>
      </c>
      <c r="G632" s="5">
        <f>HYPERLINK("https://www.elempleo.com/co/ofertas-trabajo/coordinador-a-nacional-de-redes-e-infraestructura-de-ti-presencial-bucaramanga-1886769481", "Ver Vacante")</f>
        <v/>
      </c>
      <c r="H632" s="6" t="inlineStr"/>
      <c r="I632" s="3" t="inlineStr">
        <is>
          <t>[Afinidad: 45/100 - Baja Afinidad] Afinidad parcial en infraestructura vial y transporte.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53e1a775996a36c5</t>
        </is>
      </c>
      <c r="B633" s="2" t="inlineStr">
        <is>
          <t>2026-09-22 05:09</t>
        </is>
      </c>
      <c r="C633" s="3" t="inlineStr">
        <is>
          <t>Ingeniero civil</t>
        </is>
      </c>
      <c r="D633" s="3" t="inlineStr">
        <is>
          <t>Proyectos de Diseño y Construccion sas</t>
        </is>
      </c>
      <c r="E633" s="8" t="n">
        <v>0.45</v>
      </c>
      <c r="F633" s="2" t="inlineStr">
        <is>
          <t>Remoto</t>
        </is>
      </c>
      <c r="G633" s="5">
        <f>HYPERLINK("https://www.elempleo.com/co/ofertas-trabajo/ingeniero-civil-1886757049",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1072d76e2f18ea50</t>
        </is>
      </c>
      <c r="B634" s="2" t="inlineStr">
        <is>
          <t>2026-09-22 05:09</t>
        </is>
      </c>
      <c r="C634" s="3" t="inlineStr">
        <is>
          <t>Ingeniero civil</t>
        </is>
      </c>
      <c r="D634" s="3" t="inlineStr">
        <is>
          <t>R2P SOLUCIONES Y CONSTRUCCIONES SAS</t>
        </is>
      </c>
      <c r="E634" s="8" t="n">
        <v>0.45</v>
      </c>
      <c r="F634" s="2" t="inlineStr">
        <is>
          <t>Remoto</t>
        </is>
      </c>
      <c r="G634" s="5">
        <f>HYPERLINK("https://www.elempleo.com/co/ofertas-trabajo/ingeniero-civil-1886758475",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2c943591cc334f5a</t>
        </is>
      </c>
      <c r="B635" s="2" t="inlineStr">
        <is>
          <t>2026-09-22 05:09</t>
        </is>
      </c>
      <c r="C635" s="3" t="inlineStr">
        <is>
          <t>Ejecutivo/ade ingeniera</t>
        </is>
      </c>
      <c r="D635" s="3" t="inlineStr">
        <is>
          <t>Confidencial</t>
        </is>
      </c>
      <c r="E635" s="8" t="n">
        <v>0.45</v>
      </c>
      <c r="F635" s="2" t="inlineStr">
        <is>
          <t>Remoto</t>
        </is>
      </c>
      <c r="G635" s="5">
        <f>HYPERLINK("https://www.elempleo.com/co/ofertas-trabajo/ejecutivo-ade-ingeniera-1886752134",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7d4067502e572780</t>
        </is>
      </c>
      <c r="B636" s="2" t="inlineStr">
        <is>
          <t>2026-09-22 05:09</t>
        </is>
      </c>
      <c r="C636" s="3" t="inlineStr">
        <is>
          <t>Ingeniera de ventas - cali</t>
        </is>
      </c>
      <c r="D636" s="3" t="inlineStr">
        <is>
          <t>PIPOL EXPERT SAS</t>
        </is>
      </c>
      <c r="E636" s="8" t="n">
        <v>0.45</v>
      </c>
      <c r="F636" s="2" t="inlineStr">
        <is>
          <t>Remoto</t>
        </is>
      </c>
      <c r="G636" s="5">
        <f>HYPERLINK("https://www.elempleo.com/co/ofertas-trabajo/ingeniera-de-ventas-cali-1886754430",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a3a688084650de1c</t>
        </is>
      </c>
      <c r="B637" s="2" t="inlineStr">
        <is>
          <t>2026-09-22 05:09</t>
        </is>
      </c>
      <c r="C637" s="3" t="inlineStr">
        <is>
          <t>Ingeniera comercial electrica - cali</t>
        </is>
      </c>
      <c r="D637" s="3" t="inlineStr">
        <is>
          <t>PIPOL EXPERT SAS</t>
        </is>
      </c>
      <c r="E637" s="8" t="n">
        <v>0.45</v>
      </c>
      <c r="F637" s="2" t="inlineStr">
        <is>
          <t>Remoto</t>
        </is>
      </c>
      <c r="G637" s="5">
        <f>HYPERLINK("https://www.elempleo.com/co/ofertas-trabajo/ingeniera-comercial-electrica-cali-1886752104",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359d47915a2e74e6</t>
        </is>
      </c>
      <c r="B638" s="2" t="inlineStr">
        <is>
          <t>2026-09-22 05:09</t>
        </is>
      </c>
      <c r="C638" s="3" t="inlineStr">
        <is>
          <t>Supervisor civil - obra</t>
        </is>
      </c>
      <c r="D638" s="3" t="inlineStr">
        <is>
          <t>CONCONCRETO S.A.</t>
        </is>
      </c>
      <c r="E638" s="8" t="n">
        <v>0.45</v>
      </c>
      <c r="F638" s="2" t="inlineStr">
        <is>
          <t>Remoto</t>
        </is>
      </c>
      <c r="G638" s="5">
        <f>HYPERLINK("https://www.elempleo.com/co/ofertas-trabajo/supervisor-civil-obra-1886750435",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78244d2897084f6a</t>
        </is>
      </c>
      <c r="B639" s="2" t="inlineStr">
        <is>
          <t>2026-09-22 05:09</t>
        </is>
      </c>
      <c r="C639" s="3" t="inlineStr">
        <is>
          <t>Ingeniera comercial sector industrial - cali</t>
        </is>
      </c>
      <c r="D639" s="3" t="inlineStr">
        <is>
          <t>PIPOL EXPERT SAS</t>
        </is>
      </c>
      <c r="E639" s="8" t="n">
        <v>0.45</v>
      </c>
      <c r="F639" s="2" t="inlineStr">
        <is>
          <t>Remoto</t>
        </is>
      </c>
      <c r="G639" s="5">
        <f>HYPERLINK("https://www.elempleo.com/co/ofertas-trabajo/ingeniera-comercial-sector-industrial-cali-1886753949",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a4d1239b8910f7cf</t>
        </is>
      </c>
      <c r="B640" s="2" t="inlineStr">
        <is>
          <t>2026-09-22 05:09</t>
        </is>
      </c>
      <c r="C640" s="3" t="inlineStr">
        <is>
          <t>Ingeniera electrica comercial - bogotá</t>
        </is>
      </c>
      <c r="D640" s="3" t="inlineStr">
        <is>
          <t>PIPOL EXPERT SAS</t>
        </is>
      </c>
      <c r="E640" s="8" t="n">
        <v>0.45</v>
      </c>
      <c r="F640" s="2" t="inlineStr">
        <is>
          <t>Remoto</t>
        </is>
      </c>
      <c r="G640" s="5">
        <f>HYPERLINK("https://www.elempleo.com/co/ofertas-trabajo/ingeniera-electrica-comercial-bogota-1886756984",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366f049dd1eaf173</t>
        </is>
      </c>
      <c r="B641" s="2" t="inlineStr">
        <is>
          <t>2026-09-22 05:09</t>
        </is>
      </c>
      <c r="C641" s="3" t="inlineStr">
        <is>
          <t>Civil engineering-in-training</t>
        </is>
      </c>
      <c r="D641" s="3" t="inlineStr">
        <is>
          <t>WSP COLOMBIA SAS</t>
        </is>
      </c>
      <c r="E641" s="8" t="n">
        <v>0.45</v>
      </c>
      <c r="F641" s="2" t="inlineStr">
        <is>
          <t>Remoto</t>
        </is>
      </c>
      <c r="G641" s="5">
        <f>HYPERLINK("https://www.elempleo.com/co/ofertas-trabajo/civil-engineeringintraining-1886759044",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555a755e56fc6a80</t>
        </is>
      </c>
      <c r="B642" s="2" t="inlineStr">
        <is>
          <t>2026-09-22 05:09</t>
        </is>
      </c>
      <c r="C642" s="3" t="inlineStr">
        <is>
          <t>Civil engineering-in-training</t>
        </is>
      </c>
      <c r="D642" s="3" t="inlineStr">
        <is>
          <t>WSP COLOMBIA SAS</t>
        </is>
      </c>
      <c r="E642" s="8" t="n">
        <v>0.45</v>
      </c>
      <c r="F642" s="2" t="inlineStr">
        <is>
          <t>Remoto</t>
        </is>
      </c>
      <c r="G642" s="5">
        <f>HYPERLINK("https://www.elempleo.com/co/ofertas-trabajo/civil-engineeringintraining-1886758755",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776483d4ec602e40</t>
        </is>
      </c>
      <c r="B643" s="2" t="inlineStr">
        <is>
          <t>2026-09-22 05:09</t>
        </is>
      </c>
      <c r="C643" s="3" t="inlineStr">
        <is>
          <t>Consultor senior sap pm - remoto colombia</t>
        </is>
      </c>
      <c r="D643" s="3" t="inlineStr">
        <is>
          <t>TALYCAP GLOBAL SAS</t>
        </is>
      </c>
      <c r="E643" s="8" t="n">
        <v>0.45</v>
      </c>
      <c r="F643" s="2" t="inlineStr">
        <is>
          <t>Remoto</t>
        </is>
      </c>
      <c r="G643" s="5">
        <f>HYPERLINK("https://www.elempleo.com/co/ofertas-trabajo/consultor-senior-sap-pm-remoto-colombia-1886747903",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b1cfe269bbc00011</t>
        </is>
      </c>
      <c r="B644" s="2" t="inlineStr">
        <is>
          <t>2026-09-22 05:09</t>
        </is>
      </c>
      <c r="C644" s="3" t="inlineStr">
        <is>
          <t>Coordinador de interventoría</t>
        </is>
      </c>
      <c r="D644" s="3" t="inlineStr">
        <is>
          <t>Confidencial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HYPERLINK("https://www.elempleo.com/co/ofertas-trabajo/coordinador-de-interventoria-1886751671",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b7a3423e1ee1e624</t>
        </is>
      </c>
      <c r="B645" s="2" t="inlineStr">
        <is>
          <t>2026-09-22 05:09</t>
        </is>
      </c>
      <c r="C645" s="3" t="inlineStr">
        <is>
          <t>Especialista en urbanismo - proyecto vial</t>
        </is>
      </c>
      <c r="D645" s="3" t="inlineStr">
        <is>
          <t>INGEPLAN.CO SAS EMPRESA DE BENEFICIO E INTERES COLECTIVO BIC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HYPERLINK("https://www.elempleo.com/co/ofertas-trabajo/especialista-en-urbanismo-proyecto-vial-1886755827",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fcb39d755657052e</t>
        </is>
      </c>
      <c r="B646" s="2" t="inlineStr">
        <is>
          <t>2026-09-22 05:09</t>
        </is>
      </c>
      <c r="C646" s="3" t="inlineStr">
        <is>
          <t>Coordinador hseq</t>
        </is>
      </c>
      <c r="D646" s="3" t="inlineStr">
        <is>
          <t>Confidencial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HYPERLINK("https://www.elempleo.com/co/ofertas-trabajo/coordinador-hseq-1886747304", "Ver Vacante")</f>
        <v/>
      </c>
      <c r="H646" s="6" t="inlineStr"/>
      <c r="I646" s="3" t="inlineStr">
        <is>
          <t>[Afinidad: 45/100 - Baja Afinidad] Afinidad parcial en seguridad y salud ocupacional.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9e2f0c16f1a50983</t>
        </is>
      </c>
      <c r="B647" s="2" t="inlineStr">
        <is>
          <t>2026-09-22 05:09</t>
        </is>
      </c>
      <c r="C647" s="3" t="inlineStr">
        <is>
          <t>Coordinador hseq</t>
        </is>
      </c>
      <c r="D647" s="3" t="inlineStr">
        <is>
          <t>Confidencial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HYPERLINK("https://www.elempleo.com/co/ofertas-trabajo/coordinador-hseq-1886764155", "Ver Vacante")</f>
        <v/>
      </c>
      <c r="H647" s="6" t="inlineStr"/>
      <c r="I647" s="3" t="inlineStr">
        <is>
          <t>[Afinidad: 45/100 - Baja Afinidad] Afinidad parcial en seguridad y salud ocupacional.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9d4d87a631d5e8b8</t>
        </is>
      </c>
      <c r="B648" s="2" t="inlineStr">
        <is>
          <t>2026-09-22 05:09</t>
        </is>
      </c>
      <c r="C648" s="3" t="inlineStr">
        <is>
          <t>Coordinador hseq</t>
        </is>
      </c>
      <c r="D648" s="3" t="inlineStr">
        <is>
          <t>Confidencial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HYPERLINK("https://www.elempleo.com/co/ofertas-trabajo/coordinador-hseq-1886760733", "Ver Vacante")</f>
        <v/>
      </c>
      <c r="H648" s="6" t="inlineStr"/>
      <c r="I648" s="3" t="inlineStr">
        <is>
          <t>[Afinidad: 45/100 - Baja Afinidad] Afinidad parcial en seguridad y salud ocupacional.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62d6690ef260f268</t>
        </is>
      </c>
      <c r="B649" s="2" t="inlineStr">
        <is>
          <t>2026-09-22 05:09</t>
        </is>
      </c>
      <c r="C649" s="3" t="inlineStr">
        <is>
          <t>Coordinador hseq cartagena</t>
        </is>
      </c>
      <c r="D649" s="3" t="inlineStr">
        <is>
          <t>APPLUS NORCONTROL COLOMBIA LTDA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HYPERLINK("https://www.elempleo.com/co/ofertas-trabajo/coordinador-hseq-cartagena-1886754661", "Ver Vacante")</f>
        <v/>
      </c>
      <c r="H649" s="6" t="inlineStr"/>
      <c r="I649" s="3" t="inlineStr">
        <is>
          <t>[Afinidad: 45/100 - Baja Afinidad] Afinidad parcial en seguridad y salud ocupacional.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6e57e2acbfc11d12</t>
        </is>
      </c>
      <c r="B650" s="2" t="inlineStr">
        <is>
          <t>2026-09-22 05:09</t>
        </is>
      </c>
      <c r="C650" s="3" t="inlineStr">
        <is>
          <t>Especialista sig</t>
        </is>
      </c>
      <c r="D650" s="3" t="inlineStr">
        <is>
          <t>Confidencial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HYPERLINK("https://www.elempleo.com/co/ofertas-trabajo/especialista-sig-1886757094",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11494a184e6f9290</t>
        </is>
      </c>
      <c r="B651" s="2" t="inlineStr">
        <is>
          <t>2026-09-22 05:09</t>
        </is>
      </c>
      <c r="C651" s="3" t="inlineStr">
        <is>
          <t>Especialista en ingeniería civil - coordinador técnico</t>
        </is>
      </c>
      <c r="D651" s="3" t="inlineStr">
        <is>
          <t>Confidencial</t>
        </is>
      </c>
      <c r="E651" s="8" t="n">
        <v>0.45</v>
      </c>
      <c r="F651" s="2" t="inlineStr">
        <is>
          <t>Remoto</t>
        </is>
      </c>
      <c r="G651" s="5">
        <f>HYPERLINK("https://www.elempleo.com/co/ofertas-trabajo/especialista-en-ingenieria-civil-coordinador-tecnico-honduras-1886745304",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327c6d2b54619849</t>
        </is>
      </c>
      <c r="B652" s="2" t="inlineStr">
        <is>
          <t>2026-09-22 05:09</t>
        </is>
      </c>
      <c r="C652" s="3" t="inlineStr">
        <is>
          <t>Especialista en psiquiatría</t>
        </is>
      </c>
      <c r="D652" s="3" t="inlineStr">
        <is>
          <t>Confidencial</t>
        </is>
      </c>
      <c r="E652" s="8" t="n">
        <v>0.45</v>
      </c>
      <c r="F652" s="2" t="inlineStr">
        <is>
          <t>Remoto</t>
        </is>
      </c>
      <c r="G652" s="5">
        <f>HYPERLINK("https://www.elempleo.com/co/ofertas-trabajo/especialista-en-psiquiatria-1886757353",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b637f33f588eb5ae</t>
        </is>
      </c>
      <c r="B653" s="2" t="inlineStr">
        <is>
          <t>2026-09-22 05:09</t>
        </is>
      </c>
      <c r="C653" s="3" t="inlineStr">
        <is>
          <t>Especialista en diseño hospitalario</t>
        </is>
      </c>
      <c r="D653" s="3" t="inlineStr">
        <is>
          <t>Confidencial</t>
        </is>
      </c>
      <c r="E653" s="8" t="n">
        <v>0.45</v>
      </c>
      <c r="F653" s="2" t="inlineStr">
        <is>
          <t>Remoto</t>
        </is>
      </c>
      <c r="G653" s="5">
        <f>HYPERLINK("https://www.elempleo.com/co/ofertas-trabajo/especialista-en-diseno-hospitalario-disponibilidad-viajar-a-peru-1886747220",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adcc2b47284b5d4d</t>
        </is>
      </c>
      <c r="B654" s="2" t="inlineStr">
        <is>
          <t>2026-09-22 05:09</t>
        </is>
      </c>
      <c r="C654" s="3" t="inlineStr">
        <is>
          <t>Analista de diseño e ingeniería de empaque - sector farmaceutico</t>
        </is>
      </c>
      <c r="D654" s="3" t="inlineStr">
        <is>
          <t>LABORATORIOS BUSSIE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HYPERLINK("https://www.elempleo.com/co/ofertas-trabajo/analista-de-diseno-e-ingenieria-de-empaque-sector-farmaceutico-1886755492",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3ec3d2d34753ff04</t>
        </is>
      </c>
      <c r="B655" s="2" t="inlineStr">
        <is>
          <t>2026-09-22 05:09</t>
        </is>
      </c>
      <c r="C655" s="3" t="inlineStr">
        <is>
          <t>Especialista de diseño y arquitectura</t>
        </is>
      </c>
      <c r="D655" s="3" t="inlineStr">
        <is>
          <t>INTER RAPIDISIMO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HYPERLINK("https://www.elempleo.com/co/ofertas-trabajo/especialista-de-diseno-y-arquitectura-1886761909", "Ver Vacante")</f>
        <v/>
      </c>
      <c r="H655" s="6" t="inlineStr"/>
      <c r="I6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4e917305e90b3efa</t>
        </is>
      </c>
      <c r="B656" s="2" t="inlineStr">
        <is>
          <t>2026-09-22 05:09</t>
        </is>
      </c>
      <c r="C656" s="3" t="inlineStr">
        <is>
          <t>Especialista en geología</t>
        </is>
      </c>
      <c r="D656" s="3" t="inlineStr">
        <is>
          <t>INGEPLAN.CO SAS EMPRESA DE BENEFICIO E INTERES COLECTIVO BIC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HYPERLINK("https://www.elempleo.com/co/ofertas-trabajo/especialista-en-geologia-1886761263",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1aef5476d70bbe42</t>
        </is>
      </c>
      <c r="B657" s="2" t="inlineStr">
        <is>
          <t>2026-09-22 05:09</t>
        </is>
      </c>
      <c r="C657" s="3" t="inlineStr">
        <is>
          <t>Especialista en geología</t>
        </is>
      </c>
      <c r="D657" s="3" t="inlineStr">
        <is>
          <t>INGEPLAN.CO SAS EMPRESA DE BENEFICIO E INTERES COLECTIVO BIC</t>
        </is>
      </c>
      <c r="E657" s="8" t="n">
        <v>0.45</v>
      </c>
      <c r="F657" s="2" t="inlineStr">
        <is>
          <t>Remoto</t>
        </is>
      </c>
      <c r="G657" s="5">
        <f>HYPERLINK("https://www.elempleo.com/co/ofertas-trabajo/especialista-en-geologia-1886755729",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b46df3b678599255</t>
        </is>
      </c>
      <c r="B658" s="2" t="inlineStr">
        <is>
          <t>2026-09-22 05:09</t>
        </is>
      </c>
      <c r="C658" s="3" t="inlineStr">
        <is>
          <t>Especialista en estructuras</t>
        </is>
      </c>
      <c r="D658" s="3" t="inlineStr">
        <is>
          <t>Confidencial</t>
        </is>
      </c>
      <c r="E658" s="8" t="n">
        <v>0.45</v>
      </c>
      <c r="F658" s="2" t="inlineStr">
        <is>
          <t>Remoto</t>
        </is>
      </c>
      <c r="G658" s="5">
        <f>HYPERLINK("https://www.elempleo.com/co/ofertas-trabajo/especialista-en-estructuras-1886757080",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935035bdfa2ae0b7</t>
        </is>
      </c>
      <c r="B659" s="2" t="inlineStr">
        <is>
          <t>2026-09-22 05:09</t>
        </is>
      </c>
      <c r="C659" s="3" t="inlineStr">
        <is>
          <t>Especialista en gestión del riesgo</t>
        </is>
      </c>
      <c r="D659" s="3" t="inlineStr">
        <is>
          <t>INGEPLAN.CO SAS EMPRESA DE BENEFICIO E INTERES COLECTIVO BIC</t>
        </is>
      </c>
      <c r="E659" s="8" t="n">
        <v>0.45</v>
      </c>
      <c r="F659" s="2" t="inlineStr">
        <is>
          <t>Remoto</t>
        </is>
      </c>
      <c r="G659" s="5">
        <f>HYPERLINK("https://www.elempleo.com/co/ofertas-trabajo/especialista-en-gestion-del-riesgo-1886755709",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14a1c964238340ba</t>
        </is>
      </c>
      <c r="B660" s="2" t="inlineStr">
        <is>
          <t>2026-09-22 05:09</t>
        </is>
      </c>
      <c r="C660" s="3" t="inlineStr">
        <is>
          <t>Ingeniero civil nivel v</t>
        </is>
      </c>
      <c r="D660" s="3" t="inlineStr">
        <is>
          <t>Confidencial</t>
        </is>
      </c>
      <c r="E660" s="8" t="n">
        <v>0.45</v>
      </c>
      <c r="F660" s="2" t="inlineStr">
        <is>
          <t>Remoto</t>
        </is>
      </c>
      <c r="G660" s="5">
        <f>HYPERLINK("https://www.elempleo.com/co/ofertas-trabajo/ingeniero-civil-nivel-v-1886758046",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740f61bdbaa69d0e</t>
        </is>
      </c>
      <c r="B661" s="2" t="inlineStr">
        <is>
          <t>2026-09-22 05:09</t>
        </is>
      </c>
      <c r="C661" s="3" t="inlineStr">
        <is>
          <t>Coordinador de proyectos bilingüe</t>
        </is>
      </c>
      <c r="D661" s="3" t="inlineStr">
        <is>
          <t>EyS IT SAS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HYPERLINK("https://www.elempleo.com/co/ofertas-trabajo/coordinador-de-proyectos-bilingue-1886749343",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63ef229552018ccd</t>
        </is>
      </c>
      <c r="B662" s="2" t="inlineStr">
        <is>
          <t>2026-09-22 05:09</t>
        </is>
      </c>
      <c r="C662" s="3" t="inlineStr">
        <is>
          <t>Coordinador de proyectos</t>
        </is>
      </c>
      <c r="D662" s="3" t="inlineStr">
        <is>
          <t>Confidencial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HYPERLINK("https://www.elempleo.com/co/ofertas-trabajo/coordinador-de-proyectos-1886748647",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03750e25a7e1c016</t>
        </is>
      </c>
      <c r="B663" s="2" t="inlineStr">
        <is>
          <t>2026-09-22 05:09</t>
        </is>
      </c>
      <c r="C663" s="3" t="inlineStr">
        <is>
          <t>Coordinador de proyectos inmobiliarios</t>
        </is>
      </c>
      <c r="D663" s="3" t="inlineStr">
        <is>
          <t>GRUPO AR S.A.</t>
        </is>
      </c>
      <c r="E663" s="8" t="n">
        <v>0.45</v>
      </c>
      <c r="F663" s="2" t="inlineStr">
        <is>
          <t>Remoto</t>
        </is>
      </c>
      <c r="G663" s="5">
        <f>HYPERLINK("https://www.elempleo.com/co/ofertas-trabajo/coordinador-de-proyectos-inmobiliarios-1886745877",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5627e52731a73f27</t>
        </is>
      </c>
      <c r="B664" s="2" t="inlineStr">
        <is>
          <t>2026-09-22 05:09</t>
        </is>
      </c>
      <c r="C664" s="3" t="inlineStr">
        <is>
          <t>Coordinador de proyectos inmobiliarios</t>
        </is>
      </c>
      <c r="D664" s="3" t="inlineStr">
        <is>
          <t>GRUPO AR S.A.</t>
        </is>
      </c>
      <c r="E664" s="8" t="n">
        <v>0.45</v>
      </c>
      <c r="F664" s="2" t="inlineStr">
        <is>
          <t>Remoto</t>
        </is>
      </c>
      <c r="G664" s="5">
        <f>HYPERLINK("https://www.elempleo.com/co/ofertas-trabajo/coordinador-de-proyectos-inmobiliarios-1886704948",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b6af0024900baff6</t>
        </is>
      </c>
      <c r="B665" s="2" t="inlineStr">
        <is>
          <t>2026-09-22 05:09</t>
        </is>
      </c>
      <c r="C665" s="3" t="inlineStr">
        <is>
          <t>Ingeniero residente - ingeniero civil-cordoba</t>
        </is>
      </c>
      <c r="D665" s="3" t="inlineStr">
        <is>
          <t>OBCIPOL SAS</t>
        </is>
      </c>
      <c r="E665" s="8" t="n">
        <v>0.45</v>
      </c>
      <c r="F665" s="2" t="inlineStr">
        <is>
          <t>Remoto</t>
        </is>
      </c>
      <c r="G665" s="5">
        <f>HYPERLINK("https://www.elempleo.com/co/ofertas-trabajo/ingeniero-residente-ingeniero-civilcordoba-1886763488",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2a0453695fa88728</t>
        </is>
      </c>
      <c r="B666" s="2" t="inlineStr">
        <is>
          <t>2026-09-22 05:09</t>
        </is>
      </c>
      <c r="C666" s="3" t="inlineStr">
        <is>
          <t>Profesional ingenieria mecanica</t>
        </is>
      </c>
      <c r="D666" s="3" t="inlineStr">
        <is>
          <t>INZIGNIA CONSTRUCTION S.A</t>
        </is>
      </c>
      <c r="E666" s="8" t="n">
        <v>0.45</v>
      </c>
      <c r="F666" s="2" t="inlineStr">
        <is>
          <t>Remoto</t>
        </is>
      </c>
      <c r="G666" s="5">
        <f>HYPERLINK("https://www.elempleo.com/co/ofertas-trabajo/profesional-ingenieria-mecanica-1886767282",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edfe98c543194667</t>
        </is>
      </c>
      <c r="B667" s="2" t="inlineStr">
        <is>
          <t>2026-09-22 05:09</t>
        </is>
      </c>
      <c r="C667" s="3" t="inlineStr">
        <is>
          <t>Jefe de sst - nemocón - 1625991634-135</t>
        </is>
      </c>
      <c r="D667" s="3" t="inlineStr">
        <is>
          <t>AGENCIA DE EMPLEO Y FOMENTO EMPRESARIAL COMPENSAR</t>
        </is>
      </c>
      <c r="E667" s="8" t="n">
        <v>0.45</v>
      </c>
      <c r="F667" s="2" t="inlineStr">
        <is>
          <t>Remoto</t>
        </is>
      </c>
      <c r="G667" s="5">
        <f>HYPERLINK("https://www.elempleo.com/co/ofertas-trabajo/jefe-de-sst-nemocon-1625991634135-1886754873", "Ver Vacante")</f>
        <v/>
      </c>
      <c r="H667" s="6" t="inlineStr"/>
      <c r="I667" s="3" t="inlineStr">
        <is>
          <t>[Afinidad: 45/100 - Baja Afinidad] Afinidad parcial en seguridad y salud ocupacional.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6233e93ceb1dbeed</t>
        </is>
      </c>
      <c r="B668" s="2" t="inlineStr">
        <is>
          <t>2026-09-22 05:09</t>
        </is>
      </c>
      <c r="C668" s="3" t="inlineStr">
        <is>
          <t>Jefe de sst- nemocón</t>
        </is>
      </c>
      <c r="D668" s="3" t="inlineStr">
        <is>
          <t>Confidencial</t>
        </is>
      </c>
      <c r="E668" s="8" t="n">
        <v>0.45</v>
      </c>
      <c r="F668" s="2" t="inlineStr">
        <is>
          <t>Remoto</t>
        </is>
      </c>
      <c r="G668" s="5">
        <f>HYPERLINK("https://www.elempleo.com/co/ofertas-trabajo/jefe-de-sst-nemocon-1886757757", "Ver Vacante")</f>
        <v/>
      </c>
      <c r="H668" s="6" t="inlineStr"/>
      <c r="I668" s="3" t="inlineStr">
        <is>
          <t>[Afinidad: 45/100 - Baja Afinidad] Afinidad parcial en seguridad y salud ocupacional.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ce75aab7a32f36a3</t>
        </is>
      </c>
      <c r="B669" s="2" t="inlineStr">
        <is>
          <t>2026-09-22 05:09</t>
        </is>
      </c>
      <c r="C669" s="3" t="inlineStr">
        <is>
          <t>Coordinador talento humano y sst - bogota- 1626427532-7</t>
        </is>
      </c>
      <c r="D669" s="3" t="inlineStr">
        <is>
          <t>AGENCIA DE EMPLEO Y FOMENTO EMPRESARIAL COMPENSAR</t>
        </is>
      </c>
      <c r="E669" s="8" t="n">
        <v>0.45</v>
      </c>
      <c r="F669" s="2" t="inlineStr">
        <is>
          <t>Remoto</t>
        </is>
      </c>
      <c r="G669" s="5">
        <f>HYPERLINK("https://www.elempleo.com/co/ofertas-trabajo/coordinador-talento-humano-y-sst-bogota-16264275327-1886753531", "Ver Vacante")</f>
        <v/>
      </c>
      <c r="H669" s="6" t="inlineStr"/>
      <c r="I669" s="3" t="inlineStr">
        <is>
          <t>[Afinidad: 45/100 - Baja Afinidad] Afinidad parcial en seguridad y salud ocupacional.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850731f7bb6cd73f</t>
        </is>
      </c>
      <c r="B670" s="2" t="inlineStr">
        <is>
          <t>2026-09-22 05:09</t>
        </is>
      </c>
      <c r="C670" s="3" t="inlineStr">
        <is>
          <t>Coordinador(a) de sst y medio ambiente</t>
        </is>
      </c>
      <c r="D670" s="3" t="inlineStr">
        <is>
          <t>ATIEMPO S.A.S</t>
        </is>
      </c>
      <c r="E670" s="8" t="n">
        <v>0.45</v>
      </c>
      <c r="F670" s="2" t="inlineStr">
        <is>
          <t>Remoto</t>
        </is>
      </c>
      <c r="G670" s="5">
        <f>HYPERLINK("https://www.elempleo.com/co/ofertas-trabajo/coordinadora-de-sst-y-medio-ambiente-1886759848", "Ver Vacante")</f>
        <v/>
      </c>
      <c r="H670" s="6" t="inlineStr"/>
      <c r="I670" s="3" t="inlineStr">
        <is>
          <t>[Afinidad: 45/100 - Baja Afinidad] Afinidad parcial en seguridad y salud ocupacional.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abaf8e513787b3f3</t>
        </is>
      </c>
      <c r="B671" s="2" t="inlineStr">
        <is>
          <t>2026-09-22 05:09</t>
        </is>
      </c>
      <c r="C671" s="3" t="inlineStr">
        <is>
          <t>Coordinador pesv</t>
        </is>
      </c>
      <c r="D671" s="3" t="inlineStr">
        <is>
          <t>Confidencial</t>
        </is>
      </c>
      <c r="E671" s="8" t="n">
        <v>0.45</v>
      </c>
      <c r="F671" s="2" t="inlineStr">
        <is>
          <t>Remoto</t>
        </is>
      </c>
      <c r="G671" s="5">
        <f>HYPERLINK("https://www.elempleo.com/co/ofertas-trabajo/coordinador-pesv-1886769643", "Ver Vacante")</f>
        <v/>
      </c>
      <c r="H671" s="6" t="inlineStr"/>
      <c r="I671" s="3" t="inlineStr">
        <is>
          <t>[Afinidad: 45/100 - Baja Afinidad] Afinidad parcial en infraestructura vial y transporte.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9dcdf501e5912b88</t>
        </is>
      </c>
      <c r="B672" s="2" t="inlineStr">
        <is>
          <t>2026-09-22 05:09</t>
        </is>
      </c>
      <c r="C672" s="3" t="inlineStr">
        <is>
          <t>Tecnico de obras civiles /girardot ref. 339166-82241</t>
        </is>
      </c>
      <c r="D672" s="3" t="inlineStr">
        <is>
          <t>AGENCIA DE EMPLEO Y FOMENTO EMPRESARIAL COMPENSAR</t>
        </is>
      </c>
      <c r="E672" s="8" t="n">
        <v>0.45</v>
      </c>
      <c r="F672" s="2" t="inlineStr">
        <is>
          <t>Remoto</t>
        </is>
      </c>
      <c r="G672" s="5">
        <f>HYPERLINK("https://www.elempleo.com/co/ofertas-trabajo/tecnico-de-obras-civiles-girardot-ref-33916682241-1886747302",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693b8a076a888f67</t>
        </is>
      </c>
      <c r="B673" s="2" t="inlineStr">
        <is>
          <t>2026-09-22 05:09</t>
        </is>
      </c>
      <c r="C673" s="3" t="inlineStr">
        <is>
          <t>Ingeniero civil - especializacion en estructuras</t>
        </is>
      </c>
      <c r="D673" s="3" t="inlineStr">
        <is>
          <t>Confidencial</t>
        </is>
      </c>
      <c r="E673" s="8" t="n">
        <v>0.45</v>
      </c>
      <c r="F673" s="2" t="inlineStr">
        <is>
          <t>Remoto</t>
        </is>
      </c>
      <c r="G673" s="5">
        <f>HYPERLINK("https://www.elempleo.com/co/ofertas-trabajo/ingeniero-civil-especializacion-en-estructuras-1886766956",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13bc527565632878</t>
        </is>
      </c>
      <c r="B674" s="2" t="inlineStr">
        <is>
          <t>2026-09-22 05:09</t>
        </is>
      </c>
      <c r="C674" s="3" t="inlineStr">
        <is>
          <t>Tecnico en contratacion de obra civil bogota</t>
        </is>
      </c>
      <c r="D674" s="3" t="inlineStr">
        <is>
          <t>Confidencial</t>
        </is>
      </c>
      <c r="E674" s="8" t="n">
        <v>0.45</v>
      </c>
      <c r="F674" s="2" t="inlineStr">
        <is>
          <t>Remoto</t>
        </is>
      </c>
      <c r="G674" s="5">
        <f>HYPERLINK("https://www.elempleo.com/co/ofertas-trabajo/tecnico-en-contratacion-de-obra-civil-bogota-1886759693",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6ccccd3a1ba05f7f</t>
        </is>
      </c>
      <c r="B675" s="2" t="inlineStr">
        <is>
          <t>2026-09-22 05:09</t>
        </is>
      </c>
      <c r="C675" s="3" t="inlineStr">
        <is>
          <t>14561-especialista interventoria-bogota</t>
        </is>
      </c>
      <c r="D675" s="3" t="inlineStr">
        <is>
          <t>APPLUS NORCONTROL COLOMBIA LTDA</t>
        </is>
      </c>
      <c r="E675" s="8" t="n">
        <v>0.45</v>
      </c>
      <c r="F675" s="2" t="inlineStr">
        <is>
          <t>Remoto</t>
        </is>
      </c>
      <c r="G675" s="5">
        <f>HYPERLINK("https://www.elempleo.com/co/ofertas-trabajo/14561especialista-interventoriabogota-1886768886",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8ad0c11c4f07472e</t>
        </is>
      </c>
      <c r="B676" s="2" t="inlineStr">
        <is>
          <t>2026-09-22 05:09</t>
        </is>
      </c>
      <c r="C676" s="3" t="inlineStr">
        <is>
          <t>Ingeniero Civil / Terracerías</t>
        </is>
      </c>
      <c r="D676" s="3" t="inlineStr">
        <is>
          <t>EOSOL</t>
        </is>
      </c>
      <c r="E676" s="8" t="n">
        <v>0.45</v>
      </c>
      <c r="F676" s="2" t="inlineStr">
        <is>
          <t>Remoto</t>
        </is>
      </c>
      <c r="G676" s="5">
        <f>HYPERLINK("https://co.linkedin.com/jobs/view/ingeniero-civil-terracer%C3%ADas-at-eosol-4445793534",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ed46085f88d06bf5</t>
        </is>
      </c>
      <c r="B677" s="2" t="inlineStr">
        <is>
          <t>2026-09-22 05:09</t>
        </is>
      </c>
      <c r="C677" s="3" t="inlineStr">
        <is>
          <t>Supervisor Civil</t>
        </is>
      </c>
      <c r="D677" s="3" t="inlineStr">
        <is>
          <t>EOSOL</t>
        </is>
      </c>
      <c r="E677" s="8" t="n">
        <v>0.45</v>
      </c>
      <c r="F677" s="2" t="inlineStr">
        <is>
          <t>Remoto</t>
        </is>
      </c>
      <c r="G677" s="5">
        <f>HYPERLINK("https://co.linkedin.com/jobs/view/supervisor-civil-at-eosol-4442238964", "Ver Vacante")</f>
        <v/>
      </c>
      <c r="H677" s="6" t="inlineStr"/>
      <c r="I6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dc949850c44ae2c9</t>
        </is>
      </c>
      <c r="B678" s="2" t="inlineStr">
        <is>
          <t>2026-09-22 05:09</t>
        </is>
      </c>
      <c r="C678" s="3" t="inlineStr">
        <is>
          <t>Civil Engineer</t>
        </is>
      </c>
      <c r="D678" s="3" t="inlineStr">
        <is>
          <t>Cresta</t>
        </is>
      </c>
      <c r="E678" s="8" t="n">
        <v>0.45</v>
      </c>
      <c r="F678" s="2" t="inlineStr">
        <is>
          <t>Remoto</t>
        </is>
      </c>
      <c r="G678" s="5">
        <f>HYPERLINK("https://co.linkedin.com/jobs/view/civil-engineer-at-cresta-4465582487", "Ver Vacante")</f>
        <v/>
      </c>
      <c r="H678" s="6" t="inlineStr"/>
      <c r="I6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4ad1a5acabdb8ad3</t>
        </is>
      </c>
      <c r="B679" s="2" t="inlineStr">
        <is>
          <t>2026-09-22 05:09</t>
        </is>
      </c>
      <c r="C679" s="3" t="inlineStr">
        <is>
          <t>Civil BIM Specialist</t>
        </is>
      </c>
      <c r="D679" s="3" t="inlineStr">
        <is>
          <t>ENG</t>
        </is>
      </c>
      <c r="E679" s="8" t="n">
        <v>0.45</v>
      </c>
      <c r="F679" s="2" t="inlineStr">
        <is>
          <t>Remoto</t>
        </is>
      </c>
      <c r="G679" s="5">
        <f>HYPERLINK("https://co.linkedin.com/jobs/view/civil-bim-specialist-at-eng-4469886677",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5ebaba0a0c9927fb</t>
        </is>
      </c>
      <c r="B680" s="2" t="inlineStr">
        <is>
          <t>2026-09-22 05:09</t>
        </is>
      </c>
      <c r="C680" s="3" t="inlineStr">
        <is>
          <t>Ingeniero/a Civil-Estructuras Hormigón/Acero</t>
        </is>
      </c>
      <c r="D680" s="3" t="inlineStr">
        <is>
          <t>IDOM Consulting, Engineering, Architecture</t>
        </is>
      </c>
      <c r="E680" s="8" t="n">
        <v>0.45</v>
      </c>
      <c r="F680" s="2" t="inlineStr">
        <is>
          <t>Remoto</t>
        </is>
      </c>
      <c r="G680" s="5">
        <f>HYPERLINK("https://co.linkedin.com/jobs/view/ingeniero-a-civil-estructuras-hormig%C3%B3n-acero-at-idom-consulting-engineering-architecture-4462998187", "Ver Vacante")</f>
        <v/>
      </c>
      <c r="H680" s="6" t="inlineStr"/>
      <c r="I6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5c954c66c2c9d655</t>
        </is>
      </c>
      <c r="B681" s="2" t="inlineStr">
        <is>
          <t>2026-09-22 05:09</t>
        </is>
      </c>
      <c r="C681" s="3" t="inlineStr">
        <is>
          <t>Civil Engineering-in-Training</t>
        </is>
      </c>
      <c r="D681" s="3" t="inlineStr">
        <is>
          <t>WSP en Colombia</t>
        </is>
      </c>
      <c r="E681" s="8" t="n">
        <v>0.45</v>
      </c>
      <c r="F681" s="2" t="inlineStr">
        <is>
          <t>Remoto</t>
        </is>
      </c>
      <c r="G681" s="5">
        <f>HYPERLINK("https://co.linkedin.com/jobs/view/civil-engineering-in-training-french-at-wsp-en-colombia-4458430104", "Ver Vacante")</f>
        <v/>
      </c>
      <c r="H681" s="6" t="inlineStr"/>
      <c r="I6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571ae2aa81fa07b5</t>
        </is>
      </c>
      <c r="B682" s="2" t="inlineStr">
        <is>
          <t>2026-09-22 05:09</t>
        </is>
      </c>
      <c r="C682" s="3" t="inlineStr">
        <is>
          <t>Civil Engineering-in-Training</t>
        </is>
      </c>
      <c r="D682" s="3" t="inlineStr">
        <is>
          <t>WSP en Colombia</t>
        </is>
      </c>
      <c r="E682" s="8" t="n">
        <v>0.45</v>
      </c>
      <c r="F682" s="2" t="inlineStr">
        <is>
          <t>Remoto</t>
        </is>
      </c>
      <c r="G682" s="5">
        <f>HYPERLINK("https://co.linkedin.com/jobs/view/civil-engineering-in-training-at-wsp-en-colombia-4458027784",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d94bcf92627b7b99</t>
        </is>
      </c>
      <c r="B683" s="2" t="inlineStr">
        <is>
          <t>2026-09-22 05:09</t>
        </is>
      </c>
      <c r="C683" s="3" t="inlineStr">
        <is>
          <t>Ingeniero civil</t>
        </is>
      </c>
      <c r="D683" s="3" t="inlineStr">
        <is>
          <t>HMV Ingenieros</t>
        </is>
      </c>
      <c r="E683" s="8" t="n">
        <v>0.45</v>
      </c>
      <c r="F683" s="2" t="inlineStr">
        <is>
          <t>Remoto</t>
        </is>
      </c>
      <c r="G683" s="5">
        <f>HYPERLINK("https://co.linkedin.com/jobs/view/ingeniero-civil-at-hmv-ingenieros-4461715824",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1be0a8e56fa4736b</t>
        </is>
      </c>
      <c r="B684" s="2" t="inlineStr">
        <is>
          <t>2026-09-22 05:09</t>
        </is>
      </c>
      <c r="C684" s="3" t="inlineStr">
        <is>
          <t>Civil Engineer</t>
        </is>
      </c>
      <c r="D684" s="3" t="inlineStr">
        <is>
          <t>Wood</t>
        </is>
      </c>
      <c r="E684" s="8" t="n">
        <v>0.45</v>
      </c>
      <c r="F684" s="2" t="inlineStr">
        <is>
          <t>Remoto</t>
        </is>
      </c>
      <c r="G684" s="5">
        <f>HYPERLINK("https://co.linkedin.com/jobs/view/civil-engineer-at-wood-4418961778",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825c4e246cbd6b6b</t>
        </is>
      </c>
      <c r="B685" s="2" t="inlineStr">
        <is>
          <t>2026-09-22 05:09</t>
        </is>
      </c>
      <c r="C685" s="3" t="inlineStr">
        <is>
          <t>Civil Engineering Expert</t>
        </is>
      </c>
      <c r="D685" s="3" t="inlineStr">
        <is>
          <t>Anyone AI</t>
        </is>
      </c>
      <c r="E685" s="8" t="n">
        <v>0.45</v>
      </c>
      <c r="F685" s="2" t="inlineStr">
        <is>
          <t>Remoto</t>
        </is>
      </c>
      <c r="G685" s="5">
        <f>HYPERLINK("https://co.linkedin.com/jobs/view/civil-engineering-expert-at-anyone-ai-4462461832",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76740179a82340ae</t>
        </is>
      </c>
      <c r="B686" s="2" t="inlineStr">
        <is>
          <t>2026-09-22 05:09</t>
        </is>
      </c>
      <c r="C686" s="3" t="inlineStr">
        <is>
          <t>Profesional en Ingeniería Civil</t>
        </is>
      </c>
      <c r="D686" s="3" t="inlineStr">
        <is>
          <t>CMH Colombia</t>
        </is>
      </c>
      <c r="E686" s="8" t="n">
        <v>0.45</v>
      </c>
      <c r="F686" s="2" t="inlineStr">
        <is>
          <t>Remoto</t>
        </is>
      </c>
      <c r="G686" s="5">
        <f>HYPERLINK("https://co.linkedin.com/jobs/view/profesional-en-ingenier%C3%ADa-civil-at-minerales-c%C3%B3rdoba-4450022471",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5bea04b9e734c2fc</t>
        </is>
      </c>
      <c r="B687" s="2" t="inlineStr">
        <is>
          <t>2026-09-22 05:09</t>
        </is>
      </c>
      <c r="C687" s="3" t="inlineStr">
        <is>
          <t>Coordinador HSEQ</t>
        </is>
      </c>
      <c r="D687" s="3" t="inlineStr">
        <is>
          <t>ASSEMTEC</t>
        </is>
      </c>
      <c r="E687" s="8" t="n">
        <v>0.45</v>
      </c>
      <c r="F687" s="2" t="inlineStr">
        <is>
          <t>Remoto</t>
        </is>
      </c>
      <c r="G687" s="5">
        <f>HYPERLINK("https://co.linkedin.com/jobs/view/coordinador-hseq-at-assemtec-4457664932", "Ver Vacante")</f>
        <v/>
      </c>
      <c r="H687" s="6" t="inlineStr"/>
      <c r="I687" s="3" t="inlineStr">
        <is>
          <t>[Afinidad: 45/100 - Baja Afinidad] Afinidad parcial en seguridad y salud ocupacional.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6ba6bae2d7bfb226</t>
        </is>
      </c>
      <c r="B688" s="2" t="inlineStr">
        <is>
          <t>2026-09-22 05:09</t>
        </is>
      </c>
      <c r="C688" s="3" t="inlineStr">
        <is>
          <t>Inspector SST con Licencia, Coordinador de Alturas</t>
        </is>
      </c>
      <c r="D688" s="3" t="inlineStr">
        <is>
          <t>Asertempo Colombia S.A.S</t>
        </is>
      </c>
      <c r="E688" s="8" t="n">
        <v>0.45</v>
      </c>
      <c r="F688" s="2" t="inlineStr">
        <is>
          <t>Remoto</t>
        </is>
      </c>
      <c r="G688" s="5">
        <f>HYPERLINK("https://co.linkedin.com/jobs/view/inspector-sst-con-licencia-coordinador-de-alturas-at-asertempo-colombia-s-a-s-4464408367", "Ver Vacante")</f>
        <v/>
      </c>
      <c r="H688" s="6" t="inlineStr"/>
      <c r="I688" s="3" t="inlineStr">
        <is>
          <t>[Afinidad: 45/100 - Baja Afinidad] Afinidad parcial en seguridad y salud ocupacional.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0df4a63a82189896</t>
        </is>
      </c>
      <c r="B689" s="2" t="inlineStr">
        <is>
          <t>2026-09-22 05:09</t>
        </is>
      </c>
      <c r="C689" s="3" t="inlineStr">
        <is>
          <t>Especialista en Salud y Seguridad en el trabajo con especialización en medio Ambiente</t>
        </is>
      </c>
      <c r="D689" s="3" t="inlineStr">
        <is>
          <t>Dextera IT Services</t>
        </is>
      </c>
      <c r="E689" s="8" t="n">
        <v>0.45</v>
      </c>
      <c r="F689" s="2" t="inlineStr">
        <is>
          <t>Remoto</t>
        </is>
      </c>
      <c r="G689" s="5">
        <f>HYPERLINK("https://co.linkedin.com/jobs/view/especialista-en-salud-y-seguridad-en-el-trabajo-con-especializaci%C3%B3n-en-medio-ambiente-at-dextera-it-services-4464024362", "Ver Vacante")</f>
        <v/>
      </c>
      <c r="H689" s="6" t="inlineStr"/>
      <c r="I6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e8e3c75915d1945c</t>
        </is>
      </c>
      <c r="B690" s="2" t="inlineStr">
        <is>
          <t>2026-09-22 05:09</t>
        </is>
      </c>
      <c r="C690" s="3" t="inlineStr">
        <is>
          <t>Coordinador (a) profesional HSEQ</t>
        </is>
      </c>
      <c r="D690" s="3" t="inlineStr">
        <is>
          <t>SD SAS</t>
        </is>
      </c>
      <c r="E690" s="8" t="n">
        <v>0.45</v>
      </c>
      <c r="F690" s="2" t="inlineStr">
        <is>
          <t>Remoto</t>
        </is>
      </c>
      <c r="G690" s="5">
        <f>HYPERLINK("https://co.linkedin.com/jobs/view/coordinador-a-profesional-hseq-at-sd-sas-4444939872", "Ver Vacante")</f>
        <v/>
      </c>
      <c r="H690" s="6" t="inlineStr"/>
      <c r="I690" s="3" t="inlineStr">
        <is>
          <t>[Afinidad: 45/100 - Baja Afinidad] Afinidad parcial en seguridad y salud ocupacional.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fb37fc1bf485e650</t>
        </is>
      </c>
      <c r="B691" s="2" t="inlineStr">
        <is>
          <t>2026-09-22 05:09</t>
        </is>
      </c>
      <c r="C691" s="3" t="inlineStr">
        <is>
          <t>Técnico de trazado especialista en ISTRAM</t>
        </is>
      </c>
      <c r="D691" s="3" t="inlineStr">
        <is>
          <t>EADIC</t>
        </is>
      </c>
      <c r="E691" s="8" t="n">
        <v>0.45</v>
      </c>
      <c r="F691" s="2" t="inlineStr">
        <is>
          <t>Remoto</t>
        </is>
      </c>
      <c r="G691" s="5">
        <f>HYPERLINK("https://co.linkedin.com/jobs/view/t%C3%A9cnico-de-trazado-especialista-en-istram-at-eadic-4468780158", "Ver Vacante")</f>
        <v/>
      </c>
      <c r="H691" s="6" t="inlineStr"/>
      <c r="I6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0f01a66eb85a1ffd</t>
        </is>
      </c>
      <c r="B692" s="2" t="inlineStr">
        <is>
          <t>2026-09-22 05:09</t>
        </is>
      </c>
      <c r="C692" s="3" t="inlineStr">
        <is>
          <t>AUXILIAR MODELADOR BIM Y DIBUJANTE EN INGENIERÍA CIVIL</t>
        </is>
      </c>
      <c r="D692" s="3" t="inlineStr">
        <is>
          <t>Antea Group España y Latinoamérica</t>
        </is>
      </c>
      <c r="E692" s="8" t="n">
        <v>0.45</v>
      </c>
      <c r="F692" s="2" t="inlineStr">
        <is>
          <t>Remoto</t>
        </is>
      </c>
      <c r="G692" s="5">
        <f>HYPERLINK("https://co.linkedin.com/jobs/view/auxiliar-modelador-bim-y-dibujante-en-ingenier%C3%ADa-civil-at-antea-group-espa%C3%B1a-y-latinoam%C3%A9rica-4467605615", "Ver Vacante")</f>
        <v/>
      </c>
      <c r="H692" s="6" t="inlineStr"/>
      <c r="I6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cba614af5ce1fc3a</t>
        </is>
      </c>
      <c r="B693" s="2" t="inlineStr">
        <is>
          <t>2026-09-22 05:09</t>
        </is>
      </c>
      <c r="C693" s="3" t="inlineStr">
        <is>
          <t>Principal Pavement Engineer - Linear Infrastructure &amp; Site Civils</t>
        </is>
      </c>
      <c r="D693" s="3" t="inlineStr">
        <is>
          <t>AECOM</t>
        </is>
      </c>
      <c r="E693" s="8" t="n">
        <v>0.45</v>
      </c>
      <c r="F693" s="2" t="inlineStr">
        <is>
          <t>Remoto</t>
        </is>
      </c>
      <c r="G693" s="5">
        <f>HYPERLINK("https://co.linkedin.com/jobs/view/principal-pavement-engineer-linear-infrastructure-site-civils-at-aecom-4403657428", "Ver Vacante")</f>
        <v/>
      </c>
      <c r="H693" s="6" t="inlineStr"/>
      <c r="I6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2bafc4e5eb29746b</t>
        </is>
      </c>
      <c r="B694" s="2" t="inlineStr">
        <is>
          <t>2026-09-22 05:09</t>
        </is>
      </c>
      <c r="C694" s="3" t="inlineStr">
        <is>
          <t>Ingeniero/a Geotécnico/a Senior</t>
        </is>
      </c>
      <c r="D694" s="3" t="inlineStr">
        <is>
          <t>IDOM Consulting, Engineering, Architecture</t>
        </is>
      </c>
      <c r="E694" s="8" t="n">
        <v>0.45</v>
      </c>
      <c r="F694" s="2" t="inlineStr">
        <is>
          <t>Remoto</t>
        </is>
      </c>
      <c r="G694" s="5">
        <f>HYPERLINK("https://co.linkedin.com/jobs/view/ingeniero-a-geot%C3%A9cnico-a-senior-at-idom-consulting-engineering-architecture-4467729578", "Ver Vacante")</f>
        <v/>
      </c>
      <c r="H694" s="6" t="inlineStr"/>
      <c r="I6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f3290f3c2a2d0061</t>
        </is>
      </c>
      <c r="B695" s="2" t="inlineStr">
        <is>
          <t>2026-09-22 05:09</t>
        </is>
      </c>
      <c r="C695" s="3" t="inlineStr">
        <is>
          <t>Engenheiro Civil - Lisboa</t>
        </is>
      </c>
      <c r="D695" s="3" t="inlineStr">
        <is>
          <t>DDN GERENCIAMENTO</t>
        </is>
      </c>
      <c r="E695" s="8" t="n">
        <v>0.45</v>
      </c>
      <c r="F695" s="2" t="inlineStr">
        <is>
          <t>Remoto</t>
        </is>
      </c>
      <c r="G695" s="5">
        <f>HYPERLINK("https://co.linkedin.com/jobs/view/engenheiro-civil-lisboa-at-ddn-gerenciamento-4468408791",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d2feccf91b9b1f0b</t>
        </is>
      </c>
      <c r="B696" s="2" t="inlineStr">
        <is>
          <t>2026-09-22 05:09</t>
        </is>
      </c>
      <c r="C696" s="3" t="inlineStr">
        <is>
          <t>Ingeniero/a Civil especialista en Talleres y Patios Ferroviarios</t>
        </is>
      </c>
      <c r="D696" s="3" t="inlineStr">
        <is>
          <t>IDOM Consulting, Engineering, Architecture</t>
        </is>
      </c>
      <c r="E696" s="8" t="n">
        <v>0.45</v>
      </c>
      <c r="F696" s="2" t="inlineStr">
        <is>
          <t>Remoto</t>
        </is>
      </c>
      <c r="G696" s="5">
        <f>HYPERLINK("https://co.linkedin.com/jobs/view/ingeniero-a-civil-especialista-en-talleres-y-patios-ferroviarios-at-idom-consulting-engineering-architecture-4443713908", "Ver Vacante")</f>
        <v/>
      </c>
      <c r="H696" s="6" t="inlineStr"/>
      <c r="I6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152ea7f07f195fc8</t>
        </is>
      </c>
      <c r="B697" s="2" t="inlineStr">
        <is>
          <t>2026-09-22 05:09</t>
        </is>
      </c>
      <c r="C697" s="3" t="inlineStr">
        <is>
          <t>COORDINADOR DE INTERVENTORÍA-NIVEL 1 SECTOR HIDROCARBUROS</t>
        </is>
      </c>
      <c r="D697" s="3" t="inlineStr">
        <is>
          <t>Centro de Empleo y Talento</t>
        </is>
      </c>
      <c r="E697" s="8" t="n">
        <v>0.45</v>
      </c>
      <c r="F697" s="2" t="inlineStr">
        <is>
          <t>Remoto</t>
        </is>
      </c>
      <c r="G697" s="5">
        <f>HYPERLINK("https://co.linkedin.com/jobs/view/coordinador-de-interventor%C3%ADa-nivel-1-sector-hidrocarburos-at-centro-de-empleo-y-talento-4468030406", "Ver Vacante")</f>
        <v/>
      </c>
      <c r="H697" s="6" t="inlineStr"/>
      <c r="I6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7" s="2" t="inlineStr">
        <is>
          <t>Nueva</t>
        </is>
      </c>
      <c r="K697" s="3" t="inlineStr"/>
    </row>
    <row r="698" ht="22" customHeight="1">
      <c r="A698" s="2" t="inlineStr">
        <is>
          <t>b3dd7e9d8f53fb27</t>
        </is>
      </c>
      <c r="B698" s="2" t="inlineStr">
        <is>
          <t>2026-09-22 05:09</t>
        </is>
      </c>
      <c r="C698" s="3" t="inlineStr">
        <is>
          <t>Consultor (Desarrollador) Senior Appian</t>
        </is>
      </c>
      <c r="D698" s="3" t="inlineStr">
        <is>
          <t>VASS LATAM</t>
        </is>
      </c>
      <c r="E698" s="8" t="n">
        <v>0.45</v>
      </c>
      <c r="F698" s="2" t="inlineStr">
        <is>
          <t>Remoto</t>
        </is>
      </c>
      <c r="G698" s="5">
        <f>HYPERLINK("https://co.linkedin.com/jobs/view/consultor-desarrollador-senior-appian-at-vass-latam-4458249659", "Ver Vacante")</f>
        <v/>
      </c>
      <c r="H698" s="6" t="inlineStr"/>
      <c r="I6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8" s="2" t="inlineStr">
        <is>
          <t>Nueva</t>
        </is>
      </c>
      <c r="K698" s="3" t="inlineStr"/>
    </row>
    <row r="699" ht="22" customHeight="1">
      <c r="A699" s="2" t="inlineStr">
        <is>
          <t>0f895f69320d7d8d</t>
        </is>
      </c>
      <c r="B699" s="2" t="inlineStr">
        <is>
          <t>2026-09-22 05:09</t>
        </is>
      </c>
      <c r="C699" s="3" t="inlineStr">
        <is>
          <t>Coordinador hse Cartagena</t>
        </is>
      </c>
      <c r="D699" s="3" t="inlineStr">
        <is>
          <t>TRANSPORTES MONTEJO SAS</t>
        </is>
      </c>
      <c r="E699" s="8" t="n">
        <v>0.45</v>
      </c>
      <c r="F699" s="2" t="inlineStr">
        <is>
          <t>Remoto</t>
        </is>
      </c>
      <c r="G699" s="5">
        <f>HYPERLINK("https://co.linkedin.com/jobs/view/coordinador-hse-cartagena-at-transportes-montejo-sas-4458746462", "Ver Vacante")</f>
        <v/>
      </c>
      <c r="H699" s="6" t="inlineStr"/>
      <c r="I699" s="3" t="inlineStr">
        <is>
          <t>[Afinidad: 45/100 - Baja Afinidad] Afinidad parcial en seguridad y salud ocupacional. Modalidad: 100% Remoto en Colombia confirmado.</t>
        </is>
      </c>
      <c r="J699" s="2" t="inlineStr">
        <is>
          <t>Nueva</t>
        </is>
      </c>
      <c r="K699" s="3" t="inlineStr"/>
    </row>
    <row r="700" ht="22" customHeight="1">
      <c r="A700" s="2" t="inlineStr">
        <is>
          <t>b86d50ad2dd5f642</t>
        </is>
      </c>
      <c r="B700" s="2" t="inlineStr">
        <is>
          <t>2026-09-22 05:09</t>
        </is>
      </c>
      <c r="C700" s="3" t="inlineStr">
        <is>
          <t>Coordinador Regional SIG/ SST</t>
        </is>
      </c>
      <c r="D700" s="3" t="inlineStr">
        <is>
          <t>Interaseo S.A.S. E.S.P.</t>
        </is>
      </c>
      <c r="E700" s="8" t="n">
        <v>0.45</v>
      </c>
      <c r="F700" s="2" t="inlineStr">
        <is>
          <t>Remoto</t>
        </is>
      </c>
      <c r="G700" s="5">
        <f>HYPERLINK("https://co.linkedin.com/jobs/view/coordinador-regional-sig-sst-at-interaseo-s-a-s-e-s-p-4459088040", "Ver Vacante")</f>
        <v/>
      </c>
      <c r="H700" s="6" t="inlineStr"/>
      <c r="I700" s="3" t="inlineStr">
        <is>
          <t>[Afinidad: 45/100 - Baja Afinidad] Afinidad parcial en seguridad y salud ocupacional. Modalidad: 100% Remoto en Colombia confirmado.</t>
        </is>
      </c>
      <c r="J700" s="2" t="inlineStr">
        <is>
          <t>Nueva</t>
        </is>
      </c>
      <c r="K700" s="3" t="inlineStr"/>
    </row>
    <row r="701" ht="22" customHeight="1">
      <c r="A701" s="2" t="inlineStr">
        <is>
          <t>506296811a5a9cbb</t>
        </is>
      </c>
      <c r="B701" s="2" t="inlineStr">
        <is>
          <t>2026-09-22 05:09</t>
        </is>
      </c>
      <c r="C701" s="3" t="inlineStr">
        <is>
          <t>Coordinador/a de SST</t>
        </is>
      </c>
      <c r="D701" s="3" t="inlineStr">
        <is>
          <t>Estelar Food S.A.S</t>
        </is>
      </c>
      <c r="E701" s="8" t="n">
        <v>0.45</v>
      </c>
      <c r="F701" s="2" t="inlineStr">
        <is>
          <t>Remoto</t>
        </is>
      </c>
      <c r="G701" s="5">
        <f>HYPERLINK("https://co.linkedin.com/jobs/view/coordinador-a-de-sst-at-estelar-food-s-a-s-4462115593", "Ver Vacante")</f>
        <v/>
      </c>
      <c r="H701" s="6" t="inlineStr"/>
      <c r="I701" s="3" t="inlineStr">
        <is>
          <t>[Afinidad: 45/100 - Baja Afinidad] Afinidad parcial en seguridad y salud ocupacional. Modalidad: 100% Remoto en Colombia confirmado.</t>
        </is>
      </c>
      <c r="J701" s="2" t="inlineStr">
        <is>
          <t>Nueva</t>
        </is>
      </c>
      <c r="K701" s="3" t="inlineStr"/>
    </row>
    <row r="702" ht="22" customHeight="1">
      <c r="A702" s="2" t="inlineStr">
        <is>
          <t>0e4b8eed7f32714e</t>
        </is>
      </c>
      <c r="B702" s="2" t="inlineStr">
        <is>
          <t>2026-09-22 05:09</t>
        </is>
      </c>
      <c r="C702" s="3" t="inlineStr">
        <is>
          <t>coordinador de Seguridad y Salud en el Trabajo</t>
        </is>
      </c>
      <c r="D702" s="3" t="inlineStr">
        <is>
          <t>Asertempo Colombia S.A.S</t>
        </is>
      </c>
      <c r="E702" s="8" t="n">
        <v>0.45</v>
      </c>
      <c r="F702" s="2" t="inlineStr">
        <is>
          <t>Remoto</t>
        </is>
      </c>
      <c r="G702" s="5">
        <f>HYPERLINK("https://co.linkedin.com/jobs/view/coordinador-de-seguridad-y-salud-en-el-trabajo-at-asertempo-colombia-s-a-s-4461723686", "Ver Vacante")</f>
        <v/>
      </c>
      <c r="H702" s="6" t="inlineStr"/>
      <c r="I702" s="3" t="inlineStr">
        <is>
          <t>[Afinidad: 45/100 - Baja Afinidad] Afinidad parcial en seguridad y salud ocupacional. Modalidad: 100% Remoto en Colombia confirmado.</t>
        </is>
      </c>
      <c r="J702" s="2" t="inlineStr">
        <is>
          <t>Nueva</t>
        </is>
      </c>
      <c r="K702" s="3" t="inlineStr"/>
    </row>
    <row r="703" ht="22" customHeight="1">
      <c r="A703" s="2" t="inlineStr">
        <is>
          <t>aa2882af3c61095b</t>
        </is>
      </c>
      <c r="B703" s="2" t="inlineStr">
        <is>
          <t>2026-09-22 05:09</t>
        </is>
      </c>
      <c r="C703" s="3" t="inlineStr">
        <is>
          <t>Coordinador (a) SST / APH - Marmato</t>
        </is>
      </c>
      <c r="D703" s="3" t="inlineStr">
        <is>
          <t>Aris Mining Colombia</t>
        </is>
      </c>
      <c r="E703" s="8" t="n">
        <v>0.45</v>
      </c>
      <c r="F703" s="2" t="inlineStr">
        <is>
          <t>Remoto</t>
        </is>
      </c>
      <c r="G703" s="5">
        <f>HYPERLINK("https://co.linkedin.com/jobs/view/coordinador-a-sst-aph-marmato-at-aris-mining-colombia-4448929810", "Ver Vacante")</f>
        <v/>
      </c>
      <c r="H703" s="6" t="inlineStr"/>
      <c r="I703" s="3" t="inlineStr">
        <is>
          <t>[Afinidad: 45/100 - Baja Afinidad] Afinidad parcial en seguridad y salud ocupacional. Modalidad: 100% Remoto en Colombia confirmado.</t>
        </is>
      </c>
      <c r="J703" s="2" t="inlineStr">
        <is>
          <t>Nueva</t>
        </is>
      </c>
      <c r="K703" s="3" t="inlineStr"/>
    </row>
    <row r="704" ht="22" customHeight="1">
      <c r="A704" s="2" t="inlineStr">
        <is>
          <t>26cff43f13982962</t>
        </is>
      </c>
      <c r="B704" s="2" t="inlineStr">
        <is>
          <t>2026-09-22 05:09</t>
        </is>
      </c>
      <c r="C704" s="3" t="inlineStr">
        <is>
          <t>Consultor(a) Senior SOX TI</t>
        </is>
      </c>
      <c r="D704" s="3" t="inlineStr">
        <is>
          <t>Hitss Colombia</t>
        </is>
      </c>
      <c r="E704" s="8" t="n">
        <v>0.45</v>
      </c>
      <c r="F704" s="2" t="inlineStr">
        <is>
          <t>Remoto</t>
        </is>
      </c>
      <c r="G704" s="5">
        <f>HYPERLINK("https://co.linkedin.com/jobs/view/consultor-a-senior-sox-ti-at-hitss-colombia-4460766744", "Ver Vacante")</f>
        <v/>
      </c>
      <c r="H704" s="6" t="inlineStr"/>
      <c r="I7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4" s="2" t="inlineStr">
        <is>
          <t>Nueva</t>
        </is>
      </c>
      <c r="K704" s="3" t="inlineStr"/>
    </row>
    <row r="705" ht="22" customHeight="1">
      <c r="A705" s="2" t="inlineStr">
        <is>
          <t>87e367215ed55502</t>
        </is>
      </c>
      <c r="B705" s="2" t="inlineStr">
        <is>
          <t>2026-09-22 05:09</t>
        </is>
      </c>
      <c r="C705" s="3" t="inlineStr">
        <is>
          <t>Consultor(a) Senior Auditoría Interna</t>
        </is>
      </c>
      <c r="D705" s="3" t="inlineStr">
        <is>
          <t>Deloitte</t>
        </is>
      </c>
      <c r="E705" s="8" t="n">
        <v>0.45</v>
      </c>
      <c r="F705" s="2" t="inlineStr">
        <is>
          <t>Remoto</t>
        </is>
      </c>
      <c r="G705" s="5">
        <f>HYPERLINK("https://co.linkedin.com/jobs/view/consultor-a-senior-auditor%C3%ADa-interna-at-deloitte-4462090075", "Ver Vacante")</f>
        <v/>
      </c>
      <c r="H705" s="6" t="inlineStr"/>
      <c r="I7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5" s="2" t="inlineStr">
        <is>
          <t>Nueva</t>
        </is>
      </c>
      <c r="K705" s="3" t="inlineStr"/>
    </row>
    <row r="706" ht="22" customHeight="1">
      <c r="A706" s="2" t="inlineStr">
        <is>
          <t>e2e525b51bbd0e5e</t>
        </is>
      </c>
      <c r="B706" s="2" t="inlineStr">
        <is>
          <t>2026-09-22 05:09</t>
        </is>
      </c>
      <c r="C706" s="3" t="inlineStr">
        <is>
          <t>Coordinador/a de Salud y Bienestar (HSE) Latam</t>
        </is>
      </c>
      <c r="D706" s="3" t="inlineStr">
        <is>
          <t>Aqualia</t>
        </is>
      </c>
      <c r="E706" s="8" t="n">
        <v>0.45</v>
      </c>
      <c r="F706" s="2" t="inlineStr">
        <is>
          <t>Remoto</t>
        </is>
      </c>
      <c r="G706" s="5">
        <f>HYPERLINK("https://co.linkedin.com/jobs/view/coordinador-a-de-salud-y-bienestar-hse-latam-at-aqualia-4463977352", "Ver Vacante")</f>
        <v/>
      </c>
      <c r="H706" s="6" t="inlineStr"/>
      <c r="I706" s="3" t="inlineStr">
        <is>
          <t>[Afinidad: 45/100 - Baja Afinidad] Afinidad parcial en seguridad y salud ocupacional. Modalidad: 100% Remoto en Colombia confirmado.</t>
        </is>
      </c>
      <c r="J706" s="2" t="inlineStr">
        <is>
          <t>Nueva</t>
        </is>
      </c>
      <c r="K706" s="3" t="inlineStr"/>
    </row>
    <row r="707" ht="22" customHeight="1">
      <c r="A707" s="2" t="inlineStr">
        <is>
          <t>8ef614b651dfe9d9</t>
        </is>
      </c>
      <c r="B707" s="2" t="inlineStr">
        <is>
          <t>2026-09-22 05:09</t>
        </is>
      </c>
      <c r="C707" s="3" t="inlineStr">
        <is>
          <t>Lead Civil Site Engineer</t>
        </is>
      </c>
      <c r="D707" s="3" t="inlineStr">
        <is>
          <t>AECOM</t>
        </is>
      </c>
      <c r="E707" s="8" t="n">
        <v>0.45</v>
      </c>
      <c r="F707" s="2" t="inlineStr">
        <is>
          <t>Remoto</t>
        </is>
      </c>
      <c r="G707" s="5">
        <f>HYPERLINK("https://co.linkedin.com/jobs/view/lead-civil-site-engineer-at-aecom-4468059409", "Ver Vacante")</f>
        <v/>
      </c>
      <c r="H707" s="6" t="inlineStr"/>
      <c r="I7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7" s="2" t="inlineStr">
        <is>
          <t>Nueva</t>
        </is>
      </c>
      <c r="K707" s="3" t="inlineStr"/>
    </row>
    <row r="708" ht="22" customHeight="1">
      <c r="A708" s="2" t="inlineStr">
        <is>
          <t>b339389a0d32a94f</t>
        </is>
      </c>
      <c r="B708" s="2" t="inlineStr">
        <is>
          <t>2026-09-22 05:09</t>
        </is>
      </c>
      <c r="C708" s="3" t="inlineStr">
        <is>
          <t>Ingeniero civil</t>
        </is>
      </c>
      <c r="D708" s="3" t="inlineStr">
        <is>
          <t>constructora cumbrera</t>
        </is>
      </c>
      <c r="E708" s="8" t="n">
        <v>0.45</v>
      </c>
      <c r="F708" s="2" t="inlineStr">
        <is>
          <t>Remoto</t>
        </is>
      </c>
      <c r="G708" s="5">
        <f>HYPERLINK("https://co.linkedin.com/jobs/view/ingeniero-civil-4463108593", "Ver Vacante")</f>
        <v/>
      </c>
      <c r="H708" s="6" t="inlineStr"/>
      <c r="I7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8" s="2" t="inlineStr">
        <is>
          <t>Nueva</t>
        </is>
      </c>
      <c r="K708" s="3" t="inlineStr"/>
    </row>
    <row r="709" ht="22" customHeight="1">
      <c r="A709" s="2" t="inlineStr">
        <is>
          <t>93623c0212e39cb9</t>
        </is>
      </c>
      <c r="B709" s="2" t="inlineStr">
        <is>
          <t>2026-09-22 05:09</t>
        </is>
      </c>
      <c r="C709" s="3" t="inlineStr">
        <is>
          <t>Ingeniero(a) Civil</t>
        </is>
      </c>
      <c r="D709" s="3" t="inlineStr">
        <is>
          <t>CMH Colombia</t>
        </is>
      </c>
      <c r="E709" s="8" t="n">
        <v>0.45</v>
      </c>
      <c r="F709" s="2" t="inlineStr">
        <is>
          <t>Remoto</t>
        </is>
      </c>
      <c r="G709" s="5">
        <f>HYPERLINK("https://co.linkedin.com/jobs/view/ingeniero-a-civil-at-minerales-c%C3%B3rdoba-4417533007", "Ver Vacante")</f>
        <v/>
      </c>
      <c r="H709" s="6" t="inlineStr"/>
      <c r="I7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9" s="2" t="inlineStr">
        <is>
          <t>Nueva</t>
        </is>
      </c>
      <c r="K709" s="3" t="inlineStr"/>
    </row>
    <row r="710" ht="22" customHeight="1">
      <c r="A710" s="2" t="inlineStr">
        <is>
          <t>cd06fbe3d5b74888</t>
        </is>
      </c>
      <c r="B710" s="2" t="inlineStr">
        <is>
          <t>2026-09-22 05:09</t>
        </is>
      </c>
      <c r="C710" s="3" t="inlineStr">
        <is>
          <t>Oficial Obra Civil</t>
        </is>
      </c>
      <c r="D710" s="3" t="inlineStr">
        <is>
          <t>Equans Colombia</t>
        </is>
      </c>
      <c r="E710" s="8" t="n">
        <v>0.45</v>
      </c>
      <c r="F710" s="2" t="inlineStr">
        <is>
          <t>Remoto</t>
        </is>
      </c>
      <c r="G710" s="5">
        <f>HYPERLINK("https://co.linkedin.com/jobs/view/oficial-obra-civil-bogota-y-cundinamarca-at-equans-colombia-4470218146", "Ver Vacante")</f>
        <v/>
      </c>
      <c r="H710" s="6" t="inlineStr"/>
      <c r="I7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0" s="2" t="inlineStr">
        <is>
          <t>Nueva</t>
        </is>
      </c>
      <c r="K710" s="3" t="inlineStr"/>
    </row>
  </sheetData>
  <dataValidations count="1">
    <dataValidation sqref="J2:J909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2026-10-27T16:18:34Z</dcterms:created>
  <dcterms:modified xmlns:dcterms="http://purl.org/dc/terms/" xmlns:xsi="http://www.w3.org/2001/XMLSchema-instance" xsi:type="dcterms:W3CDTF">2026-10-27T16:18:35Z</dcterms:modified>
</cp:coreProperties>
</file>