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cantes_Vias_S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74E13"/>
      <sz val="10"/>
    </font>
    <font>
      <name val="Calibri"/>
      <color rgb="000563C1"/>
      <sz val="10"/>
      <u val="single"/>
    </font>
    <font>
      <name val="Calibri"/>
      <b val="1"/>
      <color rgb="007F6000"/>
      <sz val="10"/>
    </font>
    <font>
      <name val="Calibri"/>
      <b val="1"/>
      <color rgb="00783F04"/>
      <sz val="10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164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65" customWidth="1" min="3" max="3"/>
    <col width="35" customWidth="1" min="4" max="4"/>
    <col width="12" customWidth="1" min="5" max="5"/>
    <col width="18" customWidth="1" min="6" max="6"/>
    <col width="18" customWidth="1" min="7" max="7"/>
    <col width="35" customWidth="1" min="8" max="8"/>
    <col width="65" customWidth="1" min="9" max="9"/>
    <col width="16" customWidth="1" min="10" max="10"/>
    <col width="32" customWidth="1" min="11" max="11"/>
  </cols>
  <sheetData>
    <row r="1" ht="28" customHeight="1">
      <c r="A1" s="1" t="inlineStr">
        <is>
          <t>ID/Hash</t>
        </is>
      </c>
      <c r="B1" s="1" t="inlineStr">
        <is>
          <t>Fecha Detección</t>
        </is>
      </c>
      <c r="C1" s="1" t="inlineStr">
        <is>
          <t>Título</t>
        </is>
      </c>
      <c r="D1" s="1" t="inlineStr">
        <is>
          <t>Empresa</t>
        </is>
      </c>
      <c r="E1" s="1" t="inlineStr">
        <is>
          <t>Score %</t>
        </is>
      </c>
      <c r="F1" s="1" t="inlineStr">
        <is>
          <t>Modalidad</t>
        </is>
      </c>
      <c r="G1" s="1" t="inlineStr">
        <is>
          <t>Enlace Directo</t>
        </is>
      </c>
      <c r="H1" s="1" t="inlineStr">
        <is>
          <t>Salario</t>
        </is>
      </c>
      <c r="I1" s="1" t="inlineStr">
        <is>
          <t>Resumen de Afinidad</t>
        </is>
      </c>
      <c r="J1" s="1" t="inlineStr">
        <is>
          <t>Estado</t>
        </is>
      </c>
      <c r="K1" s="1" t="inlineStr">
        <is>
          <t>Notas Usuario</t>
        </is>
      </c>
    </row>
    <row r="2" ht="22" customHeight="1">
      <c r="A2" s="2" t="inlineStr">
        <is>
          <t>mock_ideal_001</t>
        </is>
      </c>
      <c r="B2" s="2" t="inlineStr">
        <is>
          <t>2026-09-23 09:45</t>
        </is>
      </c>
      <c r="C2" s="3" t="inlineStr">
        <is>
          <t>Directora Técnica de Consultoría e Interventoría Vial y SST</t>
        </is>
      </c>
      <c r="D2" s="3" t="inlineStr">
        <is>
          <t>Vías Andinas Consultores &amp; Asociados S.A.S.</t>
        </is>
      </c>
      <c r="E2" s="4" t="n">
        <v>1</v>
      </c>
      <c r="F2" s="2" t="inlineStr">
        <is>
          <t>Remoto</t>
        </is>
      </c>
      <c r="G2" s="5">
        <f>HYPERLINK("https://co.computrabajo.com/ofertas-de-trabajo/mock-ideal-001", "Ver Vacante")</f>
        <v/>
      </c>
      <c r="H2" s="6" t="inlineStr">
        <is>
          <t>$ 12.000.000 - $ 15.000.000 COP</t>
        </is>
      </c>
      <c r="I2" s="3" t="inlineStr">
        <is>
          <t>[Afinidad: 100/100 - Alta Afinidad] Coincide plenamente con el perfil Ingeniera Civil Senior - Especialista en Vías &amp; SST, integrando infraestructura vial y SG-SST (Sinergia dual). Modalidad: 100% Remoto en Colombia confirmado. Observación: Requiere tarjeta profesional COPNIA, Licencia en Seguridad y Salud en el Trabajo (SST) vigente, curso SG-SST (Res. 0312).</t>
        </is>
      </c>
      <c r="J2" s="2" t="inlineStr">
        <is>
          <t>Nueva</t>
        </is>
      </c>
      <c r="K2" s="3" t="inlineStr"/>
    </row>
    <row r="3" ht="22" customHeight="1">
      <c r="A3" s="2" t="inlineStr">
        <is>
          <t>mock_ideal_002</t>
        </is>
      </c>
      <c r="B3" s="2" t="inlineStr">
        <is>
          <t>2026-09-23 09:45</t>
        </is>
      </c>
      <c r="C3" s="3" t="inlineStr">
        <is>
          <t>Consultor/a Senior de Infraestructura Vial y Seguridad Laboral - Teletrabajo</t>
        </is>
      </c>
      <c r="D3" s="3" t="inlineStr">
        <is>
          <t>Infraservicios Colombia Tech</t>
        </is>
      </c>
      <c r="E3" s="4" t="n">
        <v>1</v>
      </c>
      <c r="F3" s="2" t="inlineStr">
        <is>
          <t>Remoto</t>
        </is>
      </c>
      <c r="G3" s="5">
        <f>HYPERLINK("https://www.elempleo.com/co/ofertas-trabajo/mock-ideal-002", "Ver Vacante")</f>
        <v/>
      </c>
      <c r="H3" s="6" t="inlineStr">
        <is>
          <t>$ 10.500.000 - $ 13.000.000 COP</t>
        </is>
      </c>
      <c r="I3" s="3" t="inlineStr">
        <is>
          <t>[Afinidad: 100/100 - Alta Afinidad] Coincide plenamente con el perfil Ingeniera Civil Senior - Especialista en Vías &amp; SST, integrando infraestructura vial y SG-SST (Sinergia dual). Modalidad: 100% Remoto en Colombia confirmado. Observación: Requiere tarjeta profesional COPNIA, Licencia en Seguridad y Salud en el Trabajo (SST) vigente.</t>
        </is>
      </c>
      <c r="J3" s="2" t="inlineStr">
        <is>
          <t>Nueva</t>
        </is>
      </c>
      <c r="K3" s="3" t="inlineStr"/>
    </row>
    <row r="4" ht="22" customHeight="1">
      <c r="A4" s="2" t="inlineStr">
        <is>
          <t>mock_ideal_003</t>
        </is>
      </c>
      <c r="B4" s="2" t="inlineStr">
        <is>
          <t>2026-09-23 09:45</t>
        </is>
      </c>
      <c r="C4" s="3" t="inlineStr">
        <is>
          <t>Coordinador Nacional de Seguridad y Salud en el Trabajo (SST) e Interventoría Vial</t>
        </is>
      </c>
      <c r="D4" s="3" t="inlineStr">
        <is>
          <t>Consorcio Vías Concesionadas</t>
        </is>
      </c>
      <c r="E4" s="4" t="n">
        <v>1</v>
      </c>
      <c r="F4" s="2" t="inlineStr">
        <is>
          <t>Remoto</t>
        </is>
      </c>
      <c r="G4" s="5">
        <f>HYPERLINK("https://co.linkedin.com/jobs/view/mock-ideal-003", "Ver Vacante")</f>
        <v/>
      </c>
      <c r="H4" s="6" t="inlineStr">
        <is>
          <t>$ 9.500.000 - $ 12.000.000 COP</t>
        </is>
      </c>
      <c r="I4" s="3" t="inlineStr">
        <is>
          <t>[Afinidad: 100/100 - Alta Afinidad] Coincide plenamente con el perfil Ingeniera Civil Senior - Especialista en Vías &amp; SST, integrando infraestructura vial y SG-SST (Sinergia dual). Modalidad: 100% Remoto en Colombia confirmado. Observación: Requiere tarjeta profesional COPNIA, Licencia en Seguridad y Salud en el Trabajo (SST) vigente.</t>
        </is>
      </c>
      <c r="J4" s="2" t="inlineStr">
        <is>
          <t>Nueva</t>
        </is>
      </c>
      <c r="K4" s="3" t="inlineStr"/>
    </row>
    <row r="5" ht="22" customHeight="1">
      <c r="A5" s="2" t="inlineStr">
        <is>
          <t>d3c1233836489c95</t>
        </is>
      </c>
      <c r="B5" s="2" t="inlineStr">
        <is>
          <t>2026-09-22 05:09</t>
        </is>
      </c>
      <c r="C5" s="3" t="inlineStr">
        <is>
          <t>Ejecutivo, facility, director operación, construccion, infraestructura con licencia sst en yopal</t>
        </is>
      </c>
      <c r="D5" s="3" t="inlineStr">
        <is>
          <t>MANPOWER</t>
        </is>
      </c>
      <c r="E5" s="4" t="n">
        <v>0.85</v>
      </c>
      <c r="F5" s="2" t="inlineStr">
        <is>
          <t>Remoto</t>
        </is>
      </c>
      <c r="G5" s="5">
        <f>HYPERLINK("https://www.elempleo.com/co/ofertas-trabajo/ejecutivo-facility-director-operacion-construccion-infraestructura-con-licencia-sst-en-yopal-1886765439", "Ver Vacante")</f>
        <v/>
      </c>
      <c r="H5" s="6" t="inlineStr"/>
      <c r="I5" s="3" t="inlineStr">
        <is>
          <t>[Afinidad: 85/100 - Alta Afinidad] Alta coincidencia en gestión de Seguridad y Salud en el Trabajo (SST). Modalidad: 100% Remoto en Colombia confirmado. Observación: Requiere Licencia en Seguridad y Salud en el Trabajo (SST) vigente.</t>
        </is>
      </c>
      <c r="J5" s="2" t="inlineStr">
        <is>
          <t>Nueva</t>
        </is>
      </c>
      <c r="K5" s="3" t="inlineStr"/>
    </row>
    <row r="6" ht="22" customHeight="1">
      <c r="A6" s="2" t="inlineStr">
        <is>
          <t>cfd7ea99c8576f7d</t>
        </is>
      </c>
      <c r="B6" s="2" t="inlineStr">
        <is>
          <t>2026-09-22 05:09</t>
        </is>
      </c>
      <c r="C6" s="3" t="inlineStr">
        <is>
          <t>Profesional sst (sg-sst y pesv) - bogotá y cota</t>
        </is>
      </c>
      <c r="D6" s="3" t="inlineStr">
        <is>
          <t>AGENCIA DE EMPLEO CAFAM</t>
        </is>
      </c>
      <c r="E6" s="4" t="n">
        <v>0.75</v>
      </c>
      <c r="F6" s="2" t="inlineStr">
        <is>
          <t>Remoto</t>
        </is>
      </c>
      <c r="G6" s="5">
        <f>HYPERLINK("https://www.elempleo.com/co/ofertas-trabajo/profesional-sst-sgsst-y-pesv-bogota-y-cota-1886755656", "Ver Vacante")</f>
        <v/>
      </c>
      <c r="H6" s="6" t="inlineStr"/>
      <c r="I6" s="3" t="inlineStr">
        <is>
          <t>[Afinidad: 75/100 - Alta Afinidad] Alta coincidencia en gestión de Seguridad y Salud en el Trabajo (SST). Modalidad: 100% Remoto en Colombia confirmado.</t>
        </is>
      </c>
      <c r="J6" s="2" t="inlineStr">
        <is>
          <t>Nueva</t>
        </is>
      </c>
      <c r="K6" s="3" t="inlineStr"/>
    </row>
    <row r="7" ht="22" customHeight="1">
      <c r="A7" s="2" t="inlineStr">
        <is>
          <t>477df9f583e4cb1d</t>
        </is>
      </c>
      <c r="B7" s="2" t="inlineStr">
        <is>
          <t>2026-09-22 05:09</t>
        </is>
      </c>
      <c r="C7" s="3" t="inlineStr">
        <is>
          <t>Especialista en seguridad vial con licencia en sst - bucaramanga</t>
        </is>
      </c>
      <c r="D7" s="3" t="inlineStr">
        <is>
          <t>Confidencial</t>
        </is>
      </c>
      <c r="E7" s="4" t="n">
        <v>0.75</v>
      </c>
      <c r="F7" s="2" t="inlineStr">
        <is>
          <t>Remoto</t>
        </is>
      </c>
      <c r="G7" s="5">
        <f>HYPERLINK("https://www.elempleo.com/co/ofertas-trabajo/especialista-en-seguridad-vial-con-licencia-en-sst-bucaramanga-1886762630", "Ver Vacante")</f>
        <v/>
      </c>
      <c r="H7" s="6" t="inlineStr"/>
      <c r="I7" s="3" t="inlineStr">
        <is>
          <t>[Afinidad: 75/100 - Alta Afinidad] Afinidad moderada con componentes de vías e infraestructura y seguridad laboral. Modalidad: 100% Remoto en Colombia confirmado. Observación: Requiere Licencia en Seguridad y Salud en el Trabajo (SST) vigente.</t>
        </is>
      </c>
      <c r="J7" s="2" t="inlineStr">
        <is>
          <t>Nueva</t>
        </is>
      </c>
      <c r="K7" s="3" t="inlineStr"/>
    </row>
    <row r="8" ht="22" customHeight="1">
      <c r="A8" s="2" t="inlineStr">
        <is>
          <t>4f3e1576cc3242f9</t>
        </is>
      </c>
      <c r="B8" s="2" t="inlineStr">
        <is>
          <t>2026-09-22 05:09</t>
        </is>
      </c>
      <c r="C8" s="3" t="inlineStr">
        <is>
          <t>Especialista en seguridad vial con licencia en sst - bucaramanga</t>
        </is>
      </c>
      <c r="D8" s="3" t="inlineStr">
        <is>
          <t>Confidencial</t>
        </is>
      </c>
      <c r="E8" s="4" t="n">
        <v>0.75</v>
      </c>
      <c r="F8" s="2" t="inlineStr">
        <is>
          <t>Remoto</t>
        </is>
      </c>
      <c r="G8" s="5">
        <f>HYPERLINK("https://www.elempleo.com/co/ofertas-trabajo/especialista-en-seguridad-vial-con-licencia-en-sst-bucaramanga-1886697108", "Ver Vacante")</f>
        <v/>
      </c>
      <c r="H8" s="6" t="inlineStr"/>
      <c r="I8" s="3" t="inlineStr">
        <is>
          <t>[Afinidad: 75/100 - Alta Afinidad] Afinidad moderada con componentes de vías e infraestructura y seguridad laboral. Modalidad: 100% Remoto en Colombia confirmado. Observación: Requiere Licencia en Seguridad y Salud en el Trabajo (SST) vigente.</t>
        </is>
      </c>
      <c r="J8" s="2" t="inlineStr">
        <is>
          <t>Nueva</t>
        </is>
      </c>
      <c r="K8" s="3" t="inlineStr"/>
    </row>
    <row r="9" ht="22" customHeight="1">
      <c r="A9" s="2" t="inlineStr">
        <is>
          <t>2cd3b0b1d61842ee</t>
        </is>
      </c>
      <c r="B9" s="2" t="inlineStr">
        <is>
          <t>2026-09-25 15:50</t>
        </is>
      </c>
      <c r="C9" s="3" t="inlineStr">
        <is>
          <t>Coordinador de SST y PESV</t>
        </is>
      </c>
      <c r="D9" s="3" t="inlineStr">
        <is>
          <t>Importante empresa del sector</t>
        </is>
      </c>
      <c r="E9" s="4" t="n">
        <v>0.75</v>
      </c>
      <c r="F9" s="2" t="inlineStr">
        <is>
          <t>Remoto</t>
        </is>
      </c>
      <c r="G9" s="5">
        <f>HYPERLINK("https://co.computrabajo.com/ofertas-de-trabajo/oferta-de-trabajo-de-coordinador-de-sst-y-pesv-en-buga-78F7B47083BA09EC61373E686DCF3405", "Ver Vacante")</f>
        <v/>
      </c>
      <c r="H9" s="6" t="inlineStr">
        <is>
          <t>$ 3.000.000,00 (Mensual)</t>
        </is>
      </c>
      <c r="I9" s="3" t="inlineStr">
        <is>
          <t>[Afinidad: 75/100 - Alta Afinidad] Afinidad moderada con componentes de vías e infraestructura y seguridad laboral. Modalidad: 100% Remoto en Colombia confirmado.</t>
        </is>
      </c>
      <c r="J9" s="2" t="inlineStr">
        <is>
          <t>Nueva</t>
        </is>
      </c>
      <c r="K9" s="3" t="inlineStr"/>
    </row>
    <row r="10" ht="22" customHeight="1">
      <c r="A10" s="2" t="inlineStr">
        <is>
          <t>8c4c85415c7d1976</t>
        </is>
      </c>
      <c r="B10" s="2" t="inlineStr">
        <is>
          <t>2026-09-22 03:17</t>
        </is>
      </c>
      <c r="C10" s="3" t="inlineStr">
        <is>
          <t>Barranquilla- consultor de sistemas hseq y seguridad vial- independiente</t>
        </is>
      </c>
      <c r="D10" s="3" t="inlineStr">
        <is>
          <t>Confidencial</t>
        </is>
      </c>
      <c r="E10" s="4" t="n">
        <v>0.7</v>
      </c>
      <c r="F10" s="2" t="inlineStr">
        <is>
          <t>Remoto</t>
        </is>
      </c>
      <c r="G10" s="5">
        <f>HYPERLINK("https://www.elempleo.com/co/ofertas-trabajo/barranquilla-consultor-de-sistemas-hseq-y-seguridad-vial-independiente-1886770176", "Ver Vacante")</f>
        <v/>
      </c>
      <c r="H10" s="6" t="inlineStr"/>
      <c r="I10" s="3" t="inlineStr">
        <is>
          <t>[Afinidad: 70/100 - Alta Afinidad] Afinidad moderada con componentes de vías e infraestructura y seguridad laboral. Modalidad: 100% Remoto en Colombia confirmado.</t>
        </is>
      </c>
      <c r="J10" s="2" t="inlineStr">
        <is>
          <t>Nueva</t>
        </is>
      </c>
      <c r="K10" s="3" t="inlineStr"/>
    </row>
    <row r="11" ht="22" customHeight="1">
      <c r="A11" s="2" t="inlineStr">
        <is>
          <t>b9d6e99de3f7d95f</t>
        </is>
      </c>
      <c r="B11" s="2" t="inlineStr">
        <is>
          <t>2026-09-22 05:09</t>
        </is>
      </c>
      <c r="C11" s="3" t="inlineStr">
        <is>
          <t>Barranquilla- consultor de sistemas hseq y seguridad vial- independiente</t>
        </is>
      </c>
      <c r="D11" s="3" t="inlineStr">
        <is>
          <t>Confidencial</t>
        </is>
      </c>
      <c r="E11" s="4" t="n">
        <v>0.7</v>
      </c>
      <c r="F11" s="2" t="inlineStr">
        <is>
          <t>Remoto</t>
        </is>
      </c>
      <c r="G11" s="5">
        <f>HYPERLINK("https://www.elempleo.com/co/ofertas-trabajo/barranquilla-consultor-de-sistemas-hseq-y-seguridad-vial-independiente-1886770176", "Ver Vacante")</f>
        <v/>
      </c>
      <c r="H11" s="6" t="inlineStr"/>
      <c r="I11" s="3" t="inlineStr">
        <is>
          <t>[Afinidad: 70/100 - Alta Afinidad] Afinidad moderada con componentes de vías e infraestructura y seguridad laboral. Modalidad: 100% Remoto en Colombia confirmado.</t>
        </is>
      </c>
      <c r="J11" s="2" t="inlineStr">
        <is>
          <t>Nueva</t>
        </is>
      </c>
      <c r="K11" s="3" t="inlineStr"/>
    </row>
    <row r="12" ht="22" customHeight="1">
      <c r="A12" s="2" t="inlineStr">
        <is>
          <t>3224b988c2ce1680</t>
        </is>
      </c>
      <c r="B12" s="2" t="inlineStr">
        <is>
          <t>2026-09-22 05:09</t>
        </is>
      </c>
      <c r="C12" s="3" t="inlineStr">
        <is>
          <t>Barranquilla- consultor de sistemas de gestion sst y seguridad vial- independiente</t>
        </is>
      </c>
      <c r="D12" s="3" t="inlineStr">
        <is>
          <t>Confidencial</t>
        </is>
      </c>
      <c r="E12" s="4" t="n">
        <v>0.7</v>
      </c>
      <c r="F12" s="2" t="inlineStr">
        <is>
          <t>Remoto</t>
        </is>
      </c>
      <c r="G12" s="5">
        <f>HYPERLINK("https://www.elempleo.com/co/ofertas-trabajo/barranquilla-consultor-de-sistemas-de-gestion-sst-y-seguridad-vial-independiente-1886768156", "Ver Vacante")</f>
        <v/>
      </c>
      <c r="H12" s="6" t="inlineStr"/>
      <c r="I12" s="3" t="inlineStr">
        <is>
          <t>[Afinidad: 70/100 - Alta Afinidad] Afinidad moderada con componentes de vías e infraestructura y seguridad laboral. Modalidad: 100% Remoto en Colombia confirmado.</t>
        </is>
      </c>
      <c r="J12" s="2" t="inlineStr">
        <is>
          <t>Nueva</t>
        </is>
      </c>
      <c r="K12" s="3" t="inlineStr"/>
    </row>
    <row r="13" ht="22" customHeight="1">
      <c r="A13" s="2" t="inlineStr">
        <is>
          <t>b20483f07ee4b9c0</t>
        </is>
      </c>
      <c r="B13" s="2" t="inlineStr">
        <is>
          <t>2026-09-22 05:09</t>
        </is>
      </c>
      <c r="C13" s="3" t="inlineStr">
        <is>
          <t>Especialista en sg-sst | prestación de servicios</t>
        </is>
      </c>
      <c r="D13" s="3" t="inlineStr">
        <is>
          <t>Confidencial</t>
        </is>
      </c>
      <c r="E13" s="4" t="n">
        <v>0.7</v>
      </c>
      <c r="F13" s="2" t="inlineStr">
        <is>
          <t>Remoto</t>
        </is>
      </c>
      <c r="G13" s="5">
        <f>HYPERLINK("https://www.elempleo.com/co/ofertas-trabajo/especialista-en-sgsst-prestacion-de-servicios-1886764855", "Ver Vacante")</f>
        <v/>
      </c>
      <c r="H13" s="6" t="inlineStr"/>
      <c r="I13" s="3" t="inlineStr">
        <is>
          <t>[Afinidad: 70/100 - Alta Afinidad] Alta coincidencia en gestión de Seguridad y Salud en el Trabajo (SST). Modalidad: 100% Remoto en Colombia confirmado.</t>
        </is>
      </c>
      <c r="J13" s="2" t="inlineStr">
        <is>
          <t>Nueva</t>
        </is>
      </c>
      <c r="K13" s="3" t="inlineStr"/>
    </row>
    <row r="14" ht="22" customHeight="1">
      <c r="A14" s="2" t="inlineStr">
        <is>
          <t>9c06a0bf70157980</t>
        </is>
      </c>
      <c r="B14" s="2" t="inlineStr">
        <is>
          <t>2026-09-23 10:17</t>
        </is>
      </c>
      <c r="C14" s="3" t="inlineStr">
        <is>
          <t>Especialista en pavimentos - infraestructura vial</t>
        </is>
      </c>
      <c r="D14" s="3" t="inlineStr">
        <is>
          <t>INGEPLAN.CO SAS EMPRESA DE BENEFICIO E INTERES COLECTIVO BIC</t>
        </is>
      </c>
      <c r="E14" s="4" t="n">
        <v>0.7</v>
      </c>
      <c r="F14" s="2" t="inlineStr">
        <is>
          <t>Remoto</t>
        </is>
      </c>
      <c r="G14" s="5">
        <f>HYPERLINK("https://www.elempleo.com/co/ofertas-trabajo/especialista-en-pavimentos-infraestructura-vial-1886770829", "Ver Vacante")</f>
        <v/>
      </c>
      <c r="H14" s="6" t="inlineStr"/>
      <c r="I14" s="3" t="inlineStr">
        <is>
          <t>[Afinidad: 70/100 - Alta Afinidad] Alta coincidencia técnica en infraestructura vial, diseño geométrico y pavimentos. Modalidad: 100% Remoto en Colombia confirmado.</t>
        </is>
      </c>
      <c r="J14" s="2" t="inlineStr">
        <is>
          <t>Nueva</t>
        </is>
      </c>
      <c r="K14" s="3" t="inlineStr"/>
    </row>
    <row r="15" ht="22" customHeight="1">
      <c r="A15" s="2" t="inlineStr">
        <is>
          <t>1577b8627227b7b9</t>
        </is>
      </c>
      <c r="B15" s="2" t="inlineStr">
        <is>
          <t>2026-09-22 05:09</t>
        </is>
      </c>
      <c r="C15" s="3" t="inlineStr">
        <is>
          <t>Analista sst / plan estratégico de seguridad vial-bogotá</t>
        </is>
      </c>
      <c r="D15" s="3" t="inlineStr">
        <is>
          <t>Confidencial</t>
        </is>
      </c>
      <c r="E15" s="4" t="n">
        <v>0.7</v>
      </c>
      <c r="F15" s="2" t="inlineStr">
        <is>
          <t>Remoto</t>
        </is>
      </c>
      <c r="G15" s="5">
        <f>HYPERLINK("https://www.elempleo.com/co/ofertas-trabajo/analista-sst-plan-estrategico-de-seguridad-vialbogota-1886767391", "Ver Vacante")</f>
        <v/>
      </c>
      <c r="H15" s="6" t="inlineStr"/>
      <c r="I15" s="3" t="inlineStr">
        <is>
          <t>[Afinidad: 70/100 - Alta Afinidad] Afinidad moderada con componentes de vías e infraestructura y seguridad laboral. Modalidad: 100% Remoto en Colombia confirmado.</t>
        </is>
      </c>
      <c r="J15" s="2" t="inlineStr">
        <is>
          <t>Nueva</t>
        </is>
      </c>
      <c r="K15" s="3" t="inlineStr"/>
    </row>
    <row r="16" ht="22" customHeight="1">
      <c r="A16" s="2" t="inlineStr">
        <is>
          <t>273669711cd789c2</t>
        </is>
      </c>
      <c r="B16" s="2" t="inlineStr">
        <is>
          <t>2026-09-22 05:09</t>
        </is>
      </c>
      <c r="C16" s="3" t="inlineStr">
        <is>
          <t>Tecnico en sst- con licencia en sst experto en pesv - bogota</t>
        </is>
      </c>
      <c r="D16" s="3" t="inlineStr">
        <is>
          <t>Confidencial</t>
        </is>
      </c>
      <c r="E16" s="4" t="n">
        <v>0.7</v>
      </c>
      <c r="F16" s="2" t="inlineStr">
        <is>
          <t>Remoto</t>
        </is>
      </c>
      <c r="G16" s="5">
        <f>HYPERLINK("https://www.elempleo.com/co/ofertas-trabajo/tecnico-en-sst-con-licencia-en-sst-experto-en-pesv-bogota-1886764118", "Ver Vacante")</f>
        <v/>
      </c>
      <c r="H16" s="6" t="inlineStr"/>
      <c r="I16" s="3" t="inlineStr">
        <is>
          <t>[Afinidad: 70/100 - Alta Afinidad] Afinidad moderada con componentes de vías e infraestructura y seguridad laboral. Modalidad: 100% Remoto en Colombia confirmado. Observación: Requiere Licencia en Seguridad y Salud en el Trabajo (SST) vigente.</t>
        </is>
      </c>
      <c r="J16" s="2" t="inlineStr">
        <is>
          <t>Nueva</t>
        </is>
      </c>
      <c r="K16" s="3" t="inlineStr"/>
    </row>
    <row r="17" ht="22" customHeight="1">
      <c r="A17" s="2" t="inlineStr">
        <is>
          <t>76884e88c622ce0a</t>
        </is>
      </c>
      <c r="B17" s="2" t="inlineStr">
        <is>
          <t>2026-09-22 05:09</t>
        </is>
      </c>
      <c r="C17" s="3" t="inlineStr">
        <is>
          <t>Analista sst / plan estratégico de seguridad vial</t>
        </is>
      </c>
      <c r="D17" s="3" t="inlineStr">
        <is>
          <t>Confidencial</t>
        </is>
      </c>
      <c r="E17" s="4" t="n">
        <v>0.7</v>
      </c>
      <c r="F17" s="2" t="inlineStr">
        <is>
          <t>Remoto</t>
        </is>
      </c>
      <c r="G17" s="5">
        <f>HYPERLINK("https://www.elempleo.com/co/ofertas-trabajo/analista-sst-plan-estrategico-de-seguridad-vial-1886767397", "Ver Vacante")</f>
        <v/>
      </c>
      <c r="H17" s="6" t="inlineStr"/>
      <c r="I17" s="3" t="inlineStr">
        <is>
          <t>[Afinidad: 70/100 - Alta Afinidad] Afinidad moderada con componentes de vías e infraestructura y seguridad laboral. Modalidad: 100% Remoto en Colombia confirmado.</t>
        </is>
      </c>
      <c r="J17" s="2" t="inlineStr">
        <is>
          <t>Nueva</t>
        </is>
      </c>
      <c r="K17" s="3" t="inlineStr"/>
    </row>
    <row r="18" ht="22" customHeight="1">
      <c r="A18" s="2" t="inlineStr">
        <is>
          <t>b7c231a34a86de79</t>
        </is>
      </c>
      <c r="B18" s="2" t="inlineStr">
        <is>
          <t>2026-09-22 05:09</t>
        </is>
      </c>
      <c r="C18" s="3" t="inlineStr">
        <is>
          <t>Tecnico o tecnologo en sst // exp pesv</t>
        </is>
      </c>
      <c r="D18" s="3" t="inlineStr">
        <is>
          <t>Quirón Prevención Colombia S.A.S</t>
        </is>
      </c>
      <c r="E18" s="4" t="n">
        <v>0.7</v>
      </c>
      <c r="F18" s="2" t="inlineStr">
        <is>
          <t>Remoto</t>
        </is>
      </c>
      <c r="G18" s="5">
        <f>HYPERLINK("https://www.elempleo.com/co/ofertas-trabajo/tecnico-o-tecnologo-en-sst-exp-pesv-1886748107", "Ver Vacante")</f>
        <v/>
      </c>
      <c r="H18" s="6" t="inlineStr"/>
      <c r="I18" s="3" t="inlineStr">
        <is>
          <t>[Afinidad: 70/100 - Alta Afinidad] Afinidad moderada con componentes de vías e infraestructura y seguridad laboral. Modalidad: 100% Remoto en Colombia confirmado.</t>
        </is>
      </c>
      <c r="J18" s="2" t="inlineStr">
        <is>
          <t>Nueva</t>
        </is>
      </c>
      <c r="K18" s="3" t="inlineStr"/>
    </row>
    <row r="19" ht="22" customHeight="1">
      <c r="A19" s="2" t="inlineStr">
        <is>
          <t>7293efcccc03c71c</t>
        </is>
      </c>
      <c r="B19" s="2" t="inlineStr">
        <is>
          <t>2026-09-22 05:09</t>
        </is>
      </c>
      <c r="C19" s="3" t="inlineStr">
        <is>
          <t>Tecnico o tecnologo en sst // exp pesv</t>
        </is>
      </c>
      <c r="D19" s="3" t="inlineStr">
        <is>
          <t>Quirón Prevención Colombia S.A.S</t>
        </is>
      </c>
      <c r="E19" s="4" t="n">
        <v>0.7</v>
      </c>
      <c r="F19" s="2" t="inlineStr">
        <is>
          <t>Remoto</t>
        </is>
      </c>
      <c r="G19" s="5">
        <f>HYPERLINK("https://www.elempleo.com/co/ofertas-trabajo/tecnico-o-tecnologo-en-sst-exp-pesv-1886748681", "Ver Vacante")</f>
        <v/>
      </c>
      <c r="H19" s="6" t="inlineStr"/>
      <c r="I19" s="3" t="inlineStr">
        <is>
          <t>[Afinidad: 70/100 - Alta Afinidad] Afinidad moderada con componentes de vías e infraestructura y seguridad laboral. Modalidad: 100% Remoto en Colombia confirmado.</t>
        </is>
      </c>
      <c r="J19" s="2" t="inlineStr">
        <is>
          <t>Nueva</t>
        </is>
      </c>
      <c r="K19" s="3" t="inlineStr"/>
    </row>
    <row r="20" ht="22" customHeight="1">
      <c r="A20" s="2" t="inlineStr">
        <is>
          <t>9705f0591c7396d6</t>
        </is>
      </c>
      <c r="B20" s="2" t="inlineStr">
        <is>
          <t>2026-10-06 17:09</t>
        </is>
      </c>
      <c r="C20" s="3" t="inlineStr">
        <is>
          <t>Analista sst/Con moto y papeles al día/Conocimiento en el PESV con licencia</t>
        </is>
      </c>
      <c r="D20" s="3" t="inlineStr">
        <is>
          <t>Importante empresa del sector de servicios</t>
        </is>
      </c>
      <c r="E20" s="4" t="n">
        <v>0.7</v>
      </c>
      <c r="F20" s="2" t="inlineStr">
        <is>
          <t>Remoto</t>
        </is>
      </c>
      <c r="G20" s="5">
        <f>HYPERLINK("https://co.computrabajo.com/ofertas-de-trabajo/oferta-de-trabajo-de-analista-sstcon-moto-y-papeles-al-diaconocimiento-en-el-pesv-con-licencia-en-cali-A580D7E221A863C961373E686DCF3405", "Ver Vacante")</f>
        <v/>
      </c>
      <c r="H20" s="6" t="inlineStr">
        <is>
          <t>$ 2.000.000,00 (Mensual)</t>
        </is>
      </c>
      <c r="I20" s="3" t="inlineStr">
        <is>
          <t>[Afinidad: 70/100 - Alta Afinidad] Afinidad moderada con componentes de vías e infraestructura y seguridad laboral. Modalidad: 100% Remoto en Colombia confirmado.</t>
        </is>
      </c>
      <c r="J20" s="2" t="inlineStr">
        <is>
          <t>Nueva</t>
        </is>
      </c>
      <c r="K20" s="3" t="inlineStr"/>
    </row>
    <row r="21" ht="22" customHeight="1">
      <c r="A21" s="2" t="inlineStr">
        <is>
          <t>50a09cf9e152a9c8</t>
        </is>
      </c>
      <c r="B21" s="2" t="inlineStr">
        <is>
          <t>2026-10-07 17:47</t>
        </is>
      </c>
      <c r="C21" s="3" t="inlineStr">
        <is>
          <t>Lider de Seguridad (Seguridad Vial / Seguridad y Salud en el Trabajo) Funza</t>
        </is>
      </c>
      <c r="D21" s="3" t="inlineStr">
        <is>
          <t>Adecco Colombia S.A.</t>
        </is>
      </c>
      <c r="E21" s="4" t="n">
        <v>0.7</v>
      </c>
      <c r="F21" s="2" t="inlineStr">
        <is>
          <t>Remoto</t>
        </is>
      </c>
      <c r="G21" s="5">
        <f>HYPERLINK("https://co.computrabajo.com/ofertas-de-trabajo/oferta-de-trabajo-de-lider-de-seguridad-seguridad-vial-seguridad-y-salud-en-el-trabajo-funza-lider-en-funza-26CEED979C764B7361373E686DCF3405", "Ver Vacante")</f>
        <v/>
      </c>
      <c r="H21" s="6" t="inlineStr"/>
      <c r="I21" s="3" t="inlineStr">
        <is>
          <t>[Afinidad: 70/100 - Alta Afinidad] Afinidad moderada con componentes de vías e infraestructura y seguridad laboral. Modalidad: 100% Remoto en Colombia confirmado.</t>
        </is>
      </c>
      <c r="J21" s="2" t="inlineStr">
        <is>
          <t>Nueva</t>
        </is>
      </c>
      <c r="K21" s="3" t="inlineStr"/>
    </row>
    <row r="22" ht="22" customHeight="1">
      <c r="A22" s="2" t="inlineStr">
        <is>
          <t>38cd92817d606e7f</t>
        </is>
      </c>
      <c r="B22" s="2" t="inlineStr">
        <is>
          <t>2026-10-14 15:48</t>
        </is>
      </c>
      <c r="C22" s="3" t="inlineStr">
        <is>
          <t>Barranquilla- consultor de sistemas sst y seguridad vial- independiente</t>
        </is>
      </c>
      <c r="D22" s="3" t="inlineStr">
        <is>
          <t>Confidencial</t>
        </is>
      </c>
      <c r="E22" s="4" t="n">
        <v>0.7</v>
      </c>
      <c r="F22" s="2" t="inlineStr">
        <is>
          <t>Remoto</t>
        </is>
      </c>
      <c r="G22" s="5">
        <f>HYPERLINK("https://www.elempleo.com/co/ofertas-trabajo/barranquilla-consultor-de-sistemas-sst-y-seguridad-vial-independiente-1886780049", "Ver Vacante")</f>
        <v/>
      </c>
      <c r="H22" s="6" t="inlineStr"/>
      <c r="I22" s="3" t="inlineStr">
        <is>
          <t>[Afinidad: 70/100 - Alta Afinidad] Afinidad moderada con componentes de vías e infraestructura y seguridad laboral. Modalidad: 100% Remoto en Colombia confirmado.</t>
        </is>
      </c>
      <c r="J22" s="2" t="inlineStr">
        <is>
          <t>Nueva</t>
        </is>
      </c>
      <c r="K22" s="3" t="inlineStr"/>
    </row>
    <row r="23" ht="22" customHeight="1">
      <c r="A23" s="2" t="inlineStr">
        <is>
          <t>c22295856746ee36</t>
        </is>
      </c>
      <c r="B23" s="2" t="inlineStr">
        <is>
          <t>2026-10-14 15:48</t>
        </is>
      </c>
      <c r="C23" s="3" t="inlineStr">
        <is>
          <t>Especialista en vías y pavimentos</t>
        </is>
      </c>
      <c r="D23" s="3" t="inlineStr">
        <is>
          <t>ACI Proyectos SAS</t>
        </is>
      </c>
      <c r="E23" s="4" t="n">
        <v>0.7</v>
      </c>
      <c r="F23" s="2" t="inlineStr">
        <is>
          <t>Remoto</t>
        </is>
      </c>
      <c r="G23" s="5">
        <f>HYPERLINK("https://co.linkedin.com/jobs/view/especialista-en-v%C3%ADas-y-pavimentos-at-aci-proyectos-sas-4479050683", "Ver Vacante")</f>
        <v/>
      </c>
      <c r="H23" s="6" t="inlineStr"/>
      <c r="I23" s="3" t="inlineStr">
        <is>
          <t>[Afinidad: 70/100 - Alta Afinidad] Alta coincidencia técnica en infraestructura vial, diseño geométrico y pavimentos. Modalidad: 100% Remoto en Colombia confirmado.</t>
        </is>
      </c>
      <c r="J23" s="2" t="inlineStr">
        <is>
          <t>Nueva</t>
        </is>
      </c>
      <c r="K23" s="3" t="inlineStr"/>
    </row>
    <row r="24" ht="22" customHeight="1">
      <c r="A24" s="2" t="inlineStr">
        <is>
          <t>e181a3d79c92329f</t>
        </is>
      </c>
      <c r="B24" s="2" t="inlineStr">
        <is>
          <t>2026-10-15 15:36</t>
        </is>
      </c>
      <c r="C24" s="3" t="inlineStr">
        <is>
          <t>Yumbo- consultor de sistemas sst y seguridad vial- independiente</t>
        </is>
      </c>
      <c r="D24" s="3" t="inlineStr">
        <is>
          <t>Confidencial</t>
        </is>
      </c>
      <c r="E24" s="4" t="n">
        <v>0.7</v>
      </c>
      <c r="F24" s="2" t="inlineStr">
        <is>
          <t>Remoto</t>
        </is>
      </c>
      <c r="G24" s="5">
        <f>HYPERLINK("https://www.elempleo.com/co/ofertas-trabajo/yumbo-consultor-de-sistemas-sst-y-seguridad-vial-independiente-1886780234", "Ver Vacante")</f>
        <v/>
      </c>
      <c r="H24" s="6" t="inlineStr"/>
      <c r="I24" s="3" t="inlineStr">
        <is>
          <t>[Afinidad: 70/100 - Alta Afinidad] Afinidad moderada con componentes de vías e infraestructura y seguridad laboral. Modalidad: 100% Remoto en Colombia confirmado.</t>
        </is>
      </c>
      <c r="J24" s="2" t="inlineStr">
        <is>
          <t>Nueva</t>
        </is>
      </c>
      <c r="K24" s="3" t="inlineStr"/>
    </row>
    <row r="25" ht="22" customHeight="1">
      <c r="A25" s="2" t="inlineStr">
        <is>
          <t>52704c1cc4d5d873</t>
        </is>
      </c>
      <c r="B25" s="2" t="inlineStr">
        <is>
          <t>2026-10-15 15:36</t>
        </is>
      </c>
      <c r="C25" s="3" t="inlineStr">
        <is>
          <t>Madrid - consultor sistemas de gestion sst y seguridad vial - con licencia en sst</t>
        </is>
      </c>
      <c r="D25" s="3" t="inlineStr">
        <is>
          <t>Confidencial</t>
        </is>
      </c>
      <c r="E25" s="4" t="n">
        <v>0.7</v>
      </c>
      <c r="F25" s="2" t="inlineStr">
        <is>
          <t>Remoto</t>
        </is>
      </c>
      <c r="G25" s="5">
        <f>HYPERLINK("https://www.elempleo.com/co/ofertas-trabajo/madrid-consultor-sistemas-de-gestion-sst-y-seguridad-vial-con-licencia-en-sst-1886780297", "Ver Vacante")</f>
        <v/>
      </c>
      <c r="H25" s="6" t="inlineStr"/>
      <c r="I25" s="3" t="inlineStr">
        <is>
          <t>[Afinidad: 70/100 - Alta Afinidad] Afinidad moderada con componentes de vías e infraestructura y seguridad laboral. Modalidad: 100% Remoto en Colombia confirmado. Observación: Requiere Licencia en Seguridad y Salud en el Trabajo (SST) vigente.</t>
        </is>
      </c>
      <c r="J25" s="2" t="inlineStr">
        <is>
          <t>Nueva</t>
        </is>
      </c>
      <c r="K25" s="3" t="inlineStr"/>
    </row>
    <row r="26" ht="22" customHeight="1">
      <c r="A26" s="2" t="inlineStr">
        <is>
          <t>d82fd31d957b3b41</t>
        </is>
      </c>
      <c r="B26" s="2" t="inlineStr">
        <is>
          <t>2026-10-15 15:36</t>
        </is>
      </c>
      <c r="C26" s="3" t="inlineStr">
        <is>
          <t>Madrid - consultor sistemas de gestion sst y seguridad vial - con licencia en sst</t>
        </is>
      </c>
      <c r="D26" s="3" t="inlineStr">
        <is>
          <t>Confidencial</t>
        </is>
      </c>
      <c r="E26" s="4" t="n">
        <v>0.7</v>
      </c>
      <c r="F26" s="2" t="inlineStr">
        <is>
          <t>Remoto</t>
        </is>
      </c>
      <c r="G26" s="5">
        <f>HYPERLINK("https://www.elempleo.com/co/ofertas-trabajo/madrid-consultor-sistemas-de-gestion-sst-y-seguridad-vial-con-licencia-en-sst-1886780296", "Ver Vacante")</f>
        <v/>
      </c>
      <c r="H26" s="6" t="inlineStr"/>
      <c r="I26" s="3" t="inlineStr">
        <is>
          <t>[Afinidad: 70/100 - Alta Afinidad] Afinidad moderada con componentes de vías e infraestructura y seguridad laboral. Modalidad: 100% Remoto en Colombia confirmado. Observación: Requiere Licencia en Seguridad y Salud en el Trabajo (SST) vigente.</t>
        </is>
      </c>
      <c r="J26" s="2" t="inlineStr">
        <is>
          <t>Nueva</t>
        </is>
      </c>
      <c r="K26" s="3" t="inlineStr"/>
    </row>
    <row r="27" ht="22" customHeight="1">
      <c r="A27" s="2" t="inlineStr">
        <is>
          <t>2b7636dd5602c38f</t>
        </is>
      </c>
      <c r="B27" s="2" t="inlineStr">
        <is>
          <t>2026-10-20 15:40</t>
        </is>
      </c>
      <c r="C27" s="3" t="inlineStr">
        <is>
          <t>Yumbo- consultor de sistemas sst y seguridad vial- independiente</t>
        </is>
      </c>
      <c r="D27" s="3" t="inlineStr">
        <is>
          <t>Confidencial</t>
        </is>
      </c>
      <c r="E27" s="4" t="n">
        <v>0.7</v>
      </c>
      <c r="F27" s="2" t="inlineStr">
        <is>
          <t>Remoto</t>
        </is>
      </c>
      <c r="G27" s="5">
        <f>HYPERLINK("https://www.elempleo.com/co/ofertas-trabajo/yumbo-consultor-de-sistemas-sst-y-seguridad-vial-independiente-1886782139", "Ver Vacante")</f>
        <v/>
      </c>
      <c r="H27" s="6" t="inlineStr"/>
      <c r="I27" s="3" t="inlineStr">
        <is>
          <t>[Afinidad: 70/100 - Alta Afinidad] Afinidad moderada con componentes de vías e infraestructura y seguridad laboral. Modalidad: 100% Remoto en Colombia confirmado.</t>
        </is>
      </c>
      <c r="J27" s="2" t="inlineStr">
        <is>
          <t>Nueva</t>
        </is>
      </c>
      <c r="K27" s="3" t="inlineStr"/>
    </row>
    <row r="28" ht="22" customHeight="1">
      <c r="A28" s="2" t="inlineStr">
        <is>
          <t>d7290bda5f5a3783</t>
        </is>
      </c>
      <c r="B28" s="2" t="inlineStr">
        <is>
          <t>2026-09-22 03:17</t>
        </is>
      </c>
      <c r="C28" s="3" t="inlineStr">
        <is>
          <t>Director de proyecto vias</t>
        </is>
      </c>
      <c r="D28" s="3" t="inlineStr">
        <is>
          <t>Confidencial</t>
        </is>
      </c>
      <c r="E28" s="7" t="n">
        <v>0.68</v>
      </c>
      <c r="F28" s="2" t="inlineStr">
        <is>
          <t>Remoto</t>
        </is>
      </c>
      <c r="G28" s="5">
        <f>HYPERLINK("https://www.elempleo.com/co/ofertas-trabajo/director-de-proyecto-vias-1886748722", "Ver Vacante")</f>
        <v/>
      </c>
      <c r="H28" s="6" t="inlineStr"/>
      <c r="I28" s="3" t="inlineStr">
        <is>
          <t>[Afinidad: 68/100 - Afinidad Moderada] Alta coincidencia técnica en infraestructura vial, diseño geométrico y pavimentos. Modalidad: 100% Remoto en Colombia confirmado.</t>
        </is>
      </c>
      <c r="J28" s="2" t="inlineStr">
        <is>
          <t>Nueva</t>
        </is>
      </c>
      <c r="K28" s="3" t="inlineStr"/>
    </row>
    <row r="29" ht="22" customHeight="1">
      <c r="A29" s="2" t="inlineStr">
        <is>
          <t>30674ca816381080</t>
        </is>
      </c>
      <c r="B29" s="2" t="inlineStr">
        <is>
          <t>2026-09-22 05:09</t>
        </is>
      </c>
      <c r="C29" s="3" t="inlineStr">
        <is>
          <t>ing civil , transporte y vias , director de planeacion, control , ejecucion de proyectos</t>
        </is>
      </c>
      <c r="D29" s="3" t="inlineStr">
        <is>
          <t>Gestión Vial Integral S.A.S.</t>
        </is>
      </c>
      <c r="E29" s="7" t="n">
        <v>0.68</v>
      </c>
      <c r="F29" s="2" t="inlineStr">
        <is>
          <t>Remoto</t>
        </is>
      </c>
      <c r="G29" s="5">
        <f>HYPERLINK("https://co.computrabajo.com/ofertas-de-trabajo/oferta-de-trabajo-de-ing-civil-transporte-y-vias-director-de-planeacion-control-ejecucion-de-proyectos-experiencia-infraestructura-vial-en-bogota-dc-DCC22A4E637235E061373E686DCF3405", "Ver Vacante")</f>
        <v/>
      </c>
      <c r="H29" s="6" t="inlineStr">
        <is>
          <t>$ 8.000.000,00 (Mensual)</t>
        </is>
      </c>
      <c r="I29" s="3" t="inlineStr">
        <is>
          <t>[Afinidad: 68/100 - Afinidad Moderada] Alta coincidencia técnica en infraestructura vial, diseño geométrico y pavimentos. Modalidad: 100% Remoto en Colombia confirmado.</t>
        </is>
      </c>
      <c r="J29" s="2" t="inlineStr">
        <is>
          <t>Nueva</t>
        </is>
      </c>
      <c r="K29" s="3" t="inlineStr"/>
    </row>
    <row r="30" ht="22" customHeight="1">
      <c r="A30" s="2" t="inlineStr">
        <is>
          <t>d1f260d2af51a1e6</t>
        </is>
      </c>
      <c r="B30" s="2" t="inlineStr">
        <is>
          <t>2026-09-22 05:09</t>
        </is>
      </c>
      <c r="C30" s="3" t="inlineStr">
        <is>
          <t>Director de proyecto vias</t>
        </is>
      </c>
      <c r="D30" s="3" t="inlineStr">
        <is>
          <t>Confidencial</t>
        </is>
      </c>
      <c r="E30" s="7" t="n">
        <v>0.68</v>
      </c>
      <c r="F30" s="2" t="inlineStr">
        <is>
          <t>Remoto</t>
        </is>
      </c>
      <c r="G30" s="5">
        <f>HYPERLINK("https://www.elempleo.com/co/ofertas-trabajo/director-de-proyecto-vias-1886748722", "Ver Vacante")</f>
        <v/>
      </c>
      <c r="H30" s="6" t="inlineStr"/>
      <c r="I30" s="3" t="inlineStr">
        <is>
          <t>[Afinidad: 68/100 - Afinidad Moderada] Alta coincidencia técnica en infraestructura vial, diseño geométrico y pavimentos. Modalidad: 100% Remoto en Colombia confirmado.</t>
        </is>
      </c>
      <c r="J30" s="2" t="inlineStr">
        <is>
          <t>Nueva</t>
        </is>
      </c>
      <c r="K30" s="3" t="inlineStr"/>
    </row>
    <row r="31" ht="22" customHeight="1">
      <c r="A31" s="2" t="inlineStr">
        <is>
          <t>e3792621ae55f067</t>
        </is>
      </c>
      <c r="B31" s="2" t="inlineStr">
        <is>
          <t>2026-10-02 16:36</t>
        </is>
      </c>
      <c r="C31" s="3" t="inlineStr">
        <is>
          <t>Director de interventoría infraestructura vial espacio público o sistemas brt bogotá</t>
        </is>
      </c>
      <c r="D31" s="3" t="inlineStr">
        <is>
          <t>MAB INGENIERIA DE VALOR SA</t>
        </is>
      </c>
      <c r="E31" s="7" t="n">
        <v>0.68</v>
      </c>
      <c r="F31" s="2" t="inlineStr">
        <is>
          <t>Remoto</t>
        </is>
      </c>
      <c r="G31" s="5">
        <f>HYPERLINK("https://www.elempleo.com/co/ofertas-trabajo/director-de-interventoria-infraestructura-vial-espacio-publico-o-sistemas-brt-bogota-1886775387", "Ver Vacante")</f>
        <v/>
      </c>
      <c r="H31" s="6" t="inlineStr"/>
      <c r="I31" s="3" t="inlineStr">
        <is>
          <t>[Afinidad: 68/100 - Afinidad Moderada] Alta coincidencia técnica en infraestructura vial, diseño geométrico y pavimentos. Modalidad: 100% Remoto en Colombia confirmado.</t>
        </is>
      </c>
      <c r="J31" s="2" t="inlineStr">
        <is>
          <t>Nueva</t>
        </is>
      </c>
      <c r="K31" s="3" t="inlineStr"/>
    </row>
    <row r="32" ht="22" customHeight="1">
      <c r="A32" s="2" t="inlineStr">
        <is>
          <t>05a548383c525988</t>
        </is>
      </c>
      <c r="B32" s="2" t="inlineStr">
        <is>
          <t>2026-10-05 19:42</t>
        </is>
      </c>
      <c r="C32" s="3" t="inlineStr">
        <is>
          <t>Analista Qhse con licencia SST</t>
        </is>
      </c>
      <c r="D32" s="3" t="inlineStr">
        <is>
          <t>Importante empresa del sector</t>
        </is>
      </c>
      <c r="E32" s="7" t="n">
        <v>0.65</v>
      </c>
      <c r="F32" s="2" t="inlineStr">
        <is>
          <t>Remoto</t>
        </is>
      </c>
      <c r="G32" s="5">
        <f>HYPERLINK("https://co.computrabajo.com/ofertas-de-trabajo/oferta-de-trabajo-de-analista-qhse-con-licencia-sst-en-barranquilla-A29A19A3AD4E26D761373E686DCF3405", "Ver Vacante")</f>
        <v/>
      </c>
      <c r="H32" s="6" t="inlineStr">
        <is>
          <t>$ 2.300.000,00 (Mensual)</t>
        </is>
      </c>
      <c r="I32" s="3" t="inlineStr">
        <is>
          <t>[Afinidad: 65/100 - Afinidad Moderada] Alta coincidencia en gestión de Seguridad y Salud en el Trabajo (SST). Modalidad: 100% Remoto en Colombia confirmado. Observación: Requiere Licencia en Seguridad y Salud en el Trabajo (SST) vigente.</t>
        </is>
      </c>
      <c r="J32" s="2" t="inlineStr">
        <is>
          <t>Nueva</t>
        </is>
      </c>
      <c r="K32" s="3" t="inlineStr"/>
    </row>
    <row r="33" ht="22" customHeight="1">
      <c r="A33" s="2" t="inlineStr">
        <is>
          <t>0ae598668848c498</t>
        </is>
      </c>
      <c r="B33" s="2" t="inlineStr">
        <is>
          <t>2026-10-13 18:04</t>
        </is>
      </c>
      <c r="C33" s="3" t="inlineStr">
        <is>
          <t>Líder de SG-SST Y SGA</t>
        </is>
      </c>
      <c r="D33" s="3" t="inlineStr">
        <is>
          <t>Fondant Cakes</t>
        </is>
      </c>
      <c r="E33" s="7" t="n">
        <v>0.65</v>
      </c>
      <c r="F33" s="2" t="inlineStr">
        <is>
          <t>Remoto</t>
        </is>
      </c>
      <c r="G33" s="5">
        <f>HYPERLINK("https://co.linkedin.com/jobs/view/l%C3%ADder-de-sg-sst-y-sga-at-fondant-cakes-4479040619", "Ver Vacante")</f>
        <v/>
      </c>
      <c r="H33" s="6" t="inlineStr"/>
      <c r="I33" s="3" t="inlineStr">
        <is>
          <t>[Afinidad: 65/100 - Afinidad Moderada] Alta coincidencia en gestión de Seguridad y Salud en el Trabajo (SST). Modalidad: 100% Remoto en Colombia confirmado.</t>
        </is>
      </c>
      <c r="J33" s="2" t="inlineStr">
        <is>
          <t>Nueva</t>
        </is>
      </c>
      <c r="K33" s="3" t="inlineStr"/>
    </row>
    <row r="34" ht="22" customHeight="1">
      <c r="A34" s="2" t="inlineStr">
        <is>
          <t>7ca1ad59dab87f3d</t>
        </is>
      </c>
      <c r="B34" s="2" t="inlineStr">
        <is>
          <t>2026-09-22 05:09</t>
        </is>
      </c>
      <c r="C34" s="3" t="inlineStr">
        <is>
          <t>ingeniero civil o transporte y vias , postgrado diseño vias, exp de cinco años en diseño vias</t>
        </is>
      </c>
      <c r="D34" s="3" t="inlineStr">
        <is>
          <t>Gestión Vial Integral S.A.S.</t>
        </is>
      </c>
      <c r="E34" s="7" t="n">
        <v>0.63</v>
      </c>
      <c r="F34" s="2" t="inlineStr">
        <is>
          <t>Remoto</t>
        </is>
      </c>
      <c r="G34" s="5">
        <f>HYPERLINK("https://co.computrabajo.com/ofertas-de-trabajo/oferta-de-trabajo-de-ingeniero-civil-o-transporte-y-vias-postgrado-diseno-vias-exp-de-cinco-anos-en-diseno-vias-en-bogota-dc-304CED66AD78096461373E686DCF3405", "Ver Vacante")</f>
        <v/>
      </c>
      <c r="H34" s="6" t="inlineStr">
        <is>
          <t>$ 5.500.000,00 (Mensual)</t>
        </is>
      </c>
      <c r="I34" s="3" t="inlineStr">
        <is>
          <t>[Afinidad: 63/100 - Afinidad Moderada] Alta coincidencia técnica en infraestructura vial, diseño geométrico y pavimentos. Modalidad: 100% Remoto en Colombia confirmado.</t>
        </is>
      </c>
      <c r="J34" s="2" t="inlineStr">
        <is>
          <t>Nueva</t>
        </is>
      </c>
      <c r="K34" s="3" t="inlineStr"/>
    </row>
    <row r="35" ht="22" customHeight="1">
      <c r="A35" s="2" t="inlineStr">
        <is>
          <t>996d4431668c2172</t>
        </is>
      </c>
      <c r="B35" s="2" t="inlineStr">
        <is>
          <t>2026-09-22 05:09</t>
        </is>
      </c>
      <c r="C35" s="3" t="inlineStr">
        <is>
          <t>Ingeniero Civil o Ingeniero de Vías y Transporte</t>
        </is>
      </c>
      <c r="D35" s="3" t="inlineStr">
        <is>
          <t>GCS CONSTRUCCIONES S A S</t>
        </is>
      </c>
      <c r="E35" s="7" t="n">
        <v>0.63</v>
      </c>
      <c r="F35" s="2" t="inlineStr">
        <is>
          <t>Remoto</t>
        </is>
      </c>
      <c r="G35" s="5">
        <f>HYPERLINK("https://co.computrabajo.com/ofertas-de-trabajo/oferta-de-trabajo-de-ingeniero-civil-o-ingeniero-de-vias-y-transporte-se-requiere-posgrado-en-la-belleza-1E4C34A6305A99C961373E686DCF3405", "Ver Vacante")</f>
        <v/>
      </c>
      <c r="H35" s="6" t="inlineStr"/>
      <c r="I35" s="3" t="inlineStr">
        <is>
          <t>[Afinidad: 63/100 - Afinidad Moderada] Alta coincidencia técnica en infraestructura vial, diseño geométrico y pavimentos. Modalidad: 100% Remoto en Colombia confirmado.</t>
        </is>
      </c>
      <c r="J35" s="2" t="inlineStr">
        <is>
          <t>Nueva</t>
        </is>
      </c>
      <c r="K35" s="3" t="inlineStr"/>
    </row>
    <row r="36" ht="22" customHeight="1">
      <c r="A36" s="2" t="inlineStr">
        <is>
          <t>3465193d5051ccd2</t>
        </is>
      </c>
      <c r="B36" s="2" t="inlineStr">
        <is>
          <t>2026-09-22 05:09</t>
        </is>
      </c>
      <c r="C36" s="3" t="inlineStr">
        <is>
          <t>Ingeniero Civil Especialista en Vías – Residente de Interventoría</t>
        </is>
      </c>
      <c r="D36" s="3" t="inlineStr">
        <is>
          <t>STRUCTONIA S.A.S.</t>
        </is>
      </c>
      <c r="E36" s="7" t="n">
        <v>0.63</v>
      </c>
      <c r="F36" s="2" t="inlineStr">
        <is>
          <t>Remoto</t>
        </is>
      </c>
      <c r="G36" s="5">
        <f>HYPERLINK("https://co.computrabajo.com/ofertas-de-trabajo/oferta-de-trabajo-de-ingeniero-civil-especialista-en-vias-residente-de-interventoria-minimo-10-anos-de-experiencia-profesional-en-tocancipa-5FBA320FD2BEBCB561373E686DCF3405", "Ver Vacante")</f>
        <v/>
      </c>
      <c r="H36" s="6" t="inlineStr">
        <is>
          <t>$ 4.250.000,00 (Mensual)</t>
        </is>
      </c>
      <c r="I36" s="3" t="inlineStr">
        <is>
          <t>[Afinidad: 63/100 - Afinidad Moderada] Alta coincidencia técnica en infraestructura vial, diseño geométrico y pavimentos. Modalidad: 100% Remoto en Colombia confirmado.</t>
        </is>
      </c>
      <c r="J36" s="2" t="inlineStr">
        <is>
          <t>Nueva</t>
        </is>
      </c>
      <c r="K36" s="3" t="inlineStr"/>
    </row>
    <row r="37" ht="22" customHeight="1">
      <c r="A37" s="2" t="inlineStr">
        <is>
          <t>540fc0f8d433dd02</t>
        </is>
      </c>
      <c r="B37" s="2" t="inlineStr">
        <is>
          <t>2026-09-22 05:09</t>
        </is>
      </c>
      <c r="C37" s="3" t="inlineStr">
        <is>
          <t>Ingeniero de infraestructura vial</t>
        </is>
      </c>
      <c r="D37" s="3" t="inlineStr">
        <is>
          <t>INZIGNIA CONSTRUCTION S.A</t>
        </is>
      </c>
      <c r="E37" s="7" t="n">
        <v>0.63</v>
      </c>
      <c r="F37" s="2" t="inlineStr">
        <is>
          <t>Remoto</t>
        </is>
      </c>
      <c r="G37" s="5">
        <f>HYPERLINK("https://www.elempleo.com/co/ofertas-trabajo/ingeniero-de-infraestructura-vial-1886744406", "Ver Vacante")</f>
        <v/>
      </c>
      <c r="H37" s="6" t="inlineStr"/>
      <c r="I37" s="3" t="inlineStr">
        <is>
          <t>[Afinidad: 63/100 - Afinidad Moderada] Alta coincidencia técnica en infraestructura vial, diseño geométrico y pavimentos. Modalidad: 100% Remoto en Colombia confirmado.</t>
        </is>
      </c>
      <c r="J37" s="2" t="inlineStr">
        <is>
          <t>Nueva</t>
        </is>
      </c>
      <c r="K37" s="3" t="inlineStr"/>
    </row>
    <row r="38" ht="22" customHeight="1">
      <c r="A38" s="2" t="inlineStr">
        <is>
          <t>3d719b8e664390cc</t>
        </is>
      </c>
      <c r="B38" s="2" t="inlineStr">
        <is>
          <t>2026-09-22 05:09</t>
        </is>
      </c>
      <c r="C38" s="3" t="inlineStr">
        <is>
          <t>Especialista en Vías</t>
        </is>
      </c>
      <c r="D38" s="3" t="inlineStr">
        <is>
          <t>Grupo Cal y Mayor</t>
        </is>
      </c>
      <c r="E38" s="7" t="n">
        <v>0.63</v>
      </c>
      <c r="F38" s="2" t="inlineStr">
        <is>
          <t>Remoto</t>
        </is>
      </c>
      <c r="G38" s="5">
        <f>HYPERLINK("https://co.linkedin.com/jobs/view/especialista-en-v%C3%ADas-at-cal-y-mayor-4444576886", "Ver Vacante")</f>
        <v/>
      </c>
      <c r="H38" s="6" t="inlineStr"/>
      <c r="I38" s="3" t="inlineStr">
        <is>
          <t>[Afinidad: 63/100 - Afinidad Moderada] Alta coincidencia técnica en infraestructura vial, diseño geométrico y pavimentos. Modalidad: 100% Remoto en Colombia confirmado.</t>
        </is>
      </c>
      <c r="J38" s="2" t="inlineStr">
        <is>
          <t>Nueva</t>
        </is>
      </c>
      <c r="K38" s="3" t="inlineStr"/>
    </row>
    <row r="39" ht="22" customHeight="1">
      <c r="A39" s="2" t="inlineStr">
        <is>
          <t>cd1fbb60948260e1</t>
        </is>
      </c>
      <c r="B39" s="2" t="inlineStr">
        <is>
          <t>2026-09-22 05:09</t>
        </is>
      </c>
      <c r="C39" s="3" t="inlineStr">
        <is>
          <t>Modelador/a BIM en Civil 3D- Infraestructura</t>
        </is>
      </c>
      <c r="D39" s="3" t="inlineStr">
        <is>
          <t>IDOM Consulting, Engineering, Architecture</t>
        </is>
      </c>
      <c r="E39" s="7" t="n">
        <v>0.63</v>
      </c>
      <c r="F39" s="2" t="inlineStr">
        <is>
          <t>Remoto</t>
        </is>
      </c>
      <c r="G39" s="5">
        <f>HYPERLINK("https://co.linkedin.com/jobs/view/modelador-a-bim-en-civil-3d-infraestructura-at-idom-consulting-engineering-architecture-4443664764", "Ver Vacante")</f>
        <v/>
      </c>
      <c r="H39" s="6" t="inlineStr"/>
      <c r="I39" s="3" t="inlineStr">
        <is>
          <t>[Afinidad: 63/100 - Afinidad Moderada] Alta coincidencia técnica en infraestructura vial, diseño geométrico y pavimentos. Modalidad: 100% Remoto en Colombia confirmado.</t>
        </is>
      </c>
      <c r="J39" s="2" t="inlineStr">
        <is>
          <t>Nueva</t>
        </is>
      </c>
      <c r="K39" s="3" t="inlineStr"/>
    </row>
    <row r="40" ht="22" customHeight="1">
      <c r="A40" s="2" t="inlineStr">
        <is>
          <t>9f470ed483d687e0</t>
        </is>
      </c>
      <c r="B40" s="2" t="inlineStr">
        <is>
          <t>2026-09-22 05:09</t>
        </is>
      </c>
      <c r="C40" s="3" t="inlineStr">
        <is>
          <t>Especialista HSE/SST</t>
        </is>
      </c>
      <c r="D40" s="3" t="inlineStr">
        <is>
          <t>SOE 360</t>
        </is>
      </c>
      <c r="E40" s="7" t="n">
        <v>0.63</v>
      </c>
      <c r="F40" s="2" t="inlineStr">
        <is>
          <t>Remoto</t>
        </is>
      </c>
      <c r="G40" s="5">
        <f>HYPERLINK("https://co.linkedin.com/jobs/view/especialista-hse-sst-at-soe-360-4468830991", "Ver Vacante")</f>
        <v/>
      </c>
      <c r="H40" s="6" t="inlineStr"/>
      <c r="I40" s="3" t="inlineStr">
        <is>
          <t>[Afinidad: 63/100 - Afinidad Moderada] Alta coincidencia en gestión de Seguridad y Salud en el Trabajo (SST). Modalidad: 100% Remoto en Colombia confirmado.</t>
        </is>
      </c>
      <c r="J40" s="2" t="inlineStr">
        <is>
          <t>Nueva</t>
        </is>
      </c>
      <c r="K40" s="3" t="inlineStr"/>
    </row>
    <row r="41" ht="22" customHeight="1">
      <c r="A41" s="2" t="inlineStr">
        <is>
          <t>b012c4d50427116c</t>
        </is>
      </c>
      <c r="B41" s="2" t="inlineStr">
        <is>
          <t>2026-09-23 10:17</t>
        </is>
      </c>
      <c r="C41" s="3" t="inlineStr">
        <is>
          <t>Ngeniero ambiental - proyecto de infraestructura vial</t>
        </is>
      </c>
      <c r="D41" s="3" t="inlineStr">
        <is>
          <t>INGEPLAN.CO SAS EMPRESA DE BENEFICIO E INTERES COLECTIVO BIC</t>
        </is>
      </c>
      <c r="E41" s="7" t="n">
        <v>0.63</v>
      </c>
      <c r="F41" s="2" t="inlineStr">
        <is>
          <t>Remoto</t>
        </is>
      </c>
      <c r="G41" s="5">
        <f>HYPERLINK("https://www.elempleo.com/co/ofertas-trabajo/ngeniero-ambiental-proyecto-de-infraestructura-vial-1886770821", "Ver Vacante")</f>
        <v/>
      </c>
      <c r="H41" s="6" t="inlineStr"/>
      <c r="I41" s="3" t="inlineStr">
        <is>
          <t>[Afinidad: 63/100 - Afinidad Moderada] Alta coincidencia técnica en infraestructura vial, diseño geométrico y pavimentos. Modalidad: 100% Remoto en Colombia confirmado.</t>
        </is>
      </c>
      <c r="J41" s="2" t="inlineStr">
        <is>
          <t>Nueva</t>
        </is>
      </c>
      <c r="K41" s="3" t="inlineStr"/>
    </row>
    <row r="42" ht="22" customHeight="1">
      <c r="A42" s="2" t="inlineStr">
        <is>
          <t>b8c7f4e949ae761f</t>
        </is>
      </c>
      <c r="B42" s="2" t="inlineStr">
        <is>
          <t>2026-09-23 10:17</t>
        </is>
      </c>
      <c r="C42" s="3" t="inlineStr">
        <is>
          <t>Ingeniero/a Especialista en Infraestructura Vial y Ferroviaria</t>
        </is>
      </c>
      <c r="D42" s="3" t="inlineStr">
        <is>
          <t>EADIC</t>
        </is>
      </c>
      <c r="E42" s="7" t="n">
        <v>0.63</v>
      </c>
      <c r="F42" s="2" t="inlineStr">
        <is>
          <t>Remoto</t>
        </is>
      </c>
      <c r="G42" s="5">
        <f>HYPERLINK("https://co.linkedin.com/jobs/view/ingeniero-a-especialista-en-infraestructura-vial-y-ferroviaria-at-eadic-4468015054", "Ver Vacante")</f>
        <v/>
      </c>
      <c r="H42" s="6" t="inlineStr"/>
      <c r="I42" s="3" t="inlineStr">
        <is>
          <t>[Afinidad: 63/100 - Afinidad Moderada] Alta coincidencia técnica en infraestructura vial, diseño geométrico y pavimentos. Modalidad: 100% Remoto en Colombia confirmado.</t>
        </is>
      </c>
      <c r="J42" s="2" t="inlineStr">
        <is>
          <t>Nueva</t>
        </is>
      </c>
      <c r="K42" s="3" t="inlineStr"/>
    </row>
    <row r="43" ht="22" customHeight="1">
      <c r="A43" s="2" t="inlineStr">
        <is>
          <t>becce396d2547b8d</t>
        </is>
      </c>
      <c r="B43" s="2" t="inlineStr">
        <is>
          <t>2026-09-24 15:49</t>
        </is>
      </c>
      <c r="C43" s="3" t="inlineStr">
        <is>
          <t>Docente hora cátedra en SST profesional en Seguridad y Salud en el Trabajo o especialista en SST</t>
        </is>
      </c>
      <c r="D43" s="3" t="inlineStr">
        <is>
          <t>Importante empresa del sector</t>
        </is>
      </c>
      <c r="E43" s="7" t="n">
        <v>0.63</v>
      </c>
      <c r="F43" s="2" t="inlineStr">
        <is>
          <t>Remoto</t>
        </is>
      </c>
      <c r="G43" s="5">
        <f>HYPERLINK("https://co.computrabajo.com/ofertas-de-trabajo/oferta-de-trabajo-de-docente-hora-catedra-en-sst-profesional-en-seguridad-y-salud-en-el-trabajo-o-especialista-en-sst-2-anos-de-experiencia-como-docente-sst-en-bucaramanga-66E0861F77D0235261373E686DCF3405", "Ver Vacante")</f>
        <v/>
      </c>
      <c r="H43" s="6" t="inlineStr">
        <is>
          <t>$ 1.750.905,00 (Mensual)</t>
        </is>
      </c>
      <c r="I43" s="3" t="inlineStr">
        <is>
          <t>[Afinidad: 63/100 - Afinidad Moderada] Alta coincidencia en gestión de Seguridad y Salud en el Trabajo (SST). Modalidad: 100% Remoto en Colombia confirmado.</t>
        </is>
      </c>
      <c r="J43" s="2" t="inlineStr">
        <is>
          <t>Nueva</t>
        </is>
      </c>
      <c r="K43" s="3" t="inlineStr"/>
    </row>
    <row r="44" ht="22" customHeight="1">
      <c r="A44" s="2" t="inlineStr">
        <is>
          <t>e571b860e8acaf54</t>
        </is>
      </c>
      <c r="B44" s="2" t="inlineStr">
        <is>
          <t>2026-09-26 15:00</t>
        </is>
      </c>
      <c r="C44" s="3" t="inlineStr">
        <is>
          <t>Convocatoria laboral cargos de infraestructura vial</t>
        </is>
      </c>
      <c r="D44" s="3" t="inlineStr">
        <is>
          <t>Comfenalco Valle delagente</t>
        </is>
      </c>
      <c r="E44" s="7" t="n">
        <v>0.63</v>
      </c>
      <c r="F44" s="2" t="inlineStr">
        <is>
          <t>Remoto</t>
        </is>
      </c>
      <c r="G44" s="5">
        <f>HYPERLINK("https://co.linkedin.com/jobs/view/convocatoria-laboral-cargos-de-infraestructura-vial-at-comfenalco-valle-delagente-4472280395", "Ver Vacante")</f>
        <v/>
      </c>
      <c r="H44" s="6" t="inlineStr"/>
      <c r="I44" s="3" t="inlineStr">
        <is>
          <t>[Afinidad: 63/100 - Afinidad Moderada] Alta coincidencia técnica en infraestructura vial, diseño geométrico y pavimentos. Modalidad: 100% Remoto en Colombia confirmado.</t>
        </is>
      </c>
      <c r="J44" s="2" t="inlineStr">
        <is>
          <t>Nueva</t>
        </is>
      </c>
      <c r="K44" s="3" t="inlineStr"/>
    </row>
    <row r="45" ht="22" customHeight="1">
      <c r="A45" s="2" t="inlineStr">
        <is>
          <t>e6ae0e580612243c</t>
        </is>
      </c>
      <c r="B45" s="2" t="inlineStr">
        <is>
          <t>2026-09-29 16:56</t>
        </is>
      </c>
      <c r="C45" s="3" t="inlineStr">
        <is>
          <t>Residente técnico interventoría infraestructura vial urbana para tráfico automotor o sistema brt</t>
        </is>
      </c>
      <c r="D45" s="3" t="inlineStr">
        <is>
          <t>MAB INGENIERIA DE VALOR SA</t>
        </is>
      </c>
      <c r="E45" s="7" t="n">
        <v>0.63</v>
      </c>
      <c r="F45" s="2" t="inlineStr">
        <is>
          <t>Remoto</t>
        </is>
      </c>
      <c r="G45" s="5">
        <f>HYPERLINK("https://www.elempleo.com/co/ofertas-trabajo/residente-tecnico-interventoria-infraestructura-vial-urbana-para-trafico-automotor-o-sistema-brt-1886773339", "Ver Vacante")</f>
        <v/>
      </c>
      <c r="H45" s="6" t="inlineStr"/>
      <c r="I45" s="3" t="inlineStr">
        <is>
          <t>[Afinidad: 63/100 - Afinidad Moderada] Alta coincidencia técnica en infraestructura vial, diseño geométrico y pavimentos. Modalidad: 100% Remoto en Colombia confirmado.</t>
        </is>
      </c>
      <c r="J45" s="2" t="inlineStr">
        <is>
          <t>Nueva</t>
        </is>
      </c>
      <c r="K45" s="3" t="inlineStr"/>
    </row>
    <row r="46" ht="22" customHeight="1">
      <c r="A46" s="2" t="inlineStr">
        <is>
          <t>73e2d3e103640d51</t>
        </is>
      </c>
      <c r="B46" s="2" t="inlineStr">
        <is>
          <t>2026-09-30 16:46</t>
        </is>
      </c>
      <c r="C46" s="3" t="inlineStr">
        <is>
          <t>Ingeniero civil o Ingeniero de Transporte y Vías</t>
        </is>
      </c>
      <c r="D46" s="3" t="inlineStr">
        <is>
          <t>Importante empresa del sector</t>
        </is>
      </c>
      <c r="E46" s="7" t="n">
        <v>0.63</v>
      </c>
      <c r="F46" s="2" t="inlineStr">
        <is>
          <t>Remoto</t>
        </is>
      </c>
      <c r="G46" s="5">
        <f>HYPERLINK("https://co.computrabajo.com/ofertas-de-trabajo/oferta-de-trabajo-de-ingeniero-civil-o-ingeniero-de-transporte-y-vias-buga-valle-en-buga-C32A058505E6F21261373E686DCF3405", "Ver Vacante")</f>
        <v/>
      </c>
      <c r="H46" s="6" t="inlineStr"/>
      <c r="I46" s="3" t="inlineStr">
        <is>
          <t>[Afinidad: 63/100 - Afinidad Moderada] Alta coincidencia técnica en infraestructura vial, diseño geométrico y pavimentos. Modalidad: 100% Remoto en Colombia confirmado.</t>
        </is>
      </c>
      <c r="J46" s="2" t="inlineStr">
        <is>
          <t>Nueva</t>
        </is>
      </c>
      <c r="K46" s="3" t="inlineStr"/>
    </row>
    <row r="47" ht="22" customHeight="1">
      <c r="A47" s="2" t="inlineStr">
        <is>
          <t>5bbbb69b92bdd09f</t>
        </is>
      </c>
      <c r="B47" s="2" t="inlineStr">
        <is>
          <t>2026-10-05 19:42</t>
        </is>
      </c>
      <c r="C47" s="3" t="inlineStr">
        <is>
          <t>Ingeniero/a civil - Infraestructura Vial y ferroviaria</t>
        </is>
      </c>
      <c r="D47" s="3" t="inlineStr">
        <is>
          <t>EADIC</t>
        </is>
      </c>
      <c r="E47" s="7" t="n">
        <v>0.63</v>
      </c>
      <c r="F47" s="2" t="inlineStr">
        <is>
          <t>Remoto</t>
        </is>
      </c>
      <c r="G47" s="5">
        <f>HYPERLINK("https://co.linkedin.com/jobs/view/ingeniero-a-civil-infraestructura-vial-y-ferroviaria-at-eadic-4475821715", "Ver Vacante")</f>
        <v/>
      </c>
      <c r="H47" s="6" t="inlineStr"/>
      <c r="I47" s="3" t="inlineStr">
        <is>
          <t>[Afinidad: 63/100 - Afinidad Moderada] Alta coincidencia técnica en infraestructura vial, diseño geométrico y pavimentos. Modalidad: 100% Remoto en Colombia confirmado.</t>
        </is>
      </c>
      <c r="J47" s="2" t="inlineStr">
        <is>
          <t>Nueva</t>
        </is>
      </c>
      <c r="K47" s="3" t="inlineStr"/>
    </row>
    <row r="48" ht="22" customHeight="1">
      <c r="A48" s="2" t="inlineStr">
        <is>
          <t>aea6611850e60c01</t>
        </is>
      </c>
      <c r="B48" s="2" t="inlineStr">
        <is>
          <t>2026-10-07 17:47</t>
        </is>
      </c>
      <c r="C48" s="3" t="inlineStr">
        <is>
          <t>Ingeniero civil , vias o de transporte</t>
        </is>
      </c>
      <c r="D48" s="3" t="inlineStr">
        <is>
          <t>LOGISTICA LABORAL S.A.S.</t>
        </is>
      </c>
      <c r="E48" s="7" t="n">
        <v>0.63</v>
      </c>
      <c r="F48" s="2" t="inlineStr">
        <is>
          <t>Remoto</t>
        </is>
      </c>
      <c r="G48" s="5">
        <f>HYPERLINK("https://co.computrabajo.com/ofertas-de-trabajo/oferta-de-trabajo-de-ingeniero-civil-vias-o-de-transporte-en-santa-marta-DA87F22BA1A1553C61373E686DCF3405", "Ver Vacante")</f>
        <v/>
      </c>
      <c r="H48" s="6" t="inlineStr">
        <is>
          <t>$ 3.300.000,00 (Mensual)</t>
        </is>
      </c>
      <c r="I48" s="3" t="inlineStr">
        <is>
          <t>[Afinidad: 63/100 - Afinidad Moderada] Alta coincidencia técnica en infraestructura vial, diseño geométrico y pavimentos. Modalidad: 100% Remoto en Colombia confirmado.</t>
        </is>
      </c>
      <c r="J48" s="2" t="inlineStr">
        <is>
          <t>Nueva</t>
        </is>
      </c>
      <c r="K48" s="3" t="inlineStr"/>
    </row>
    <row r="49" ht="22" customHeight="1">
      <c r="A49" s="2" t="inlineStr">
        <is>
          <t>d96918869778d3b7</t>
        </is>
      </c>
      <c r="B49" s="2" t="inlineStr">
        <is>
          <t>2026-10-07 17:47</t>
        </is>
      </c>
      <c r="C49" s="3" t="inlineStr">
        <is>
          <t>Ingeniero civil / infraestructura víal y ferroviaria</t>
        </is>
      </c>
      <c r="D49" s="3" t="inlineStr">
        <is>
          <t>EADIC</t>
        </is>
      </c>
      <c r="E49" s="7" t="n">
        <v>0.63</v>
      </c>
      <c r="F49" s="2" t="inlineStr">
        <is>
          <t>Remoto</t>
        </is>
      </c>
      <c r="G49" s="5">
        <f>HYPERLINK("https://co.linkedin.com/jobs/view/ingeniero-civil-infraestructura-v%C3%ADal-y-ferroviaria-at-eadic-4476797239", "Ver Vacante")</f>
        <v/>
      </c>
      <c r="H49" s="6" t="inlineStr"/>
      <c r="I49" s="3" t="inlineStr">
        <is>
          <t>[Afinidad: 63/100 - Afinidad Moderada] Alta coincidencia técnica en infraestructura vial, diseño geométrico y pavimentos. Modalidad: 100% Remoto en Colombia confirmado.</t>
        </is>
      </c>
      <c r="J49" s="2" t="inlineStr">
        <is>
          <t>Nueva</t>
        </is>
      </c>
      <c r="K49" s="3" t="inlineStr"/>
    </row>
    <row r="50" ht="22" customHeight="1">
      <c r="A50" s="2" t="inlineStr">
        <is>
          <t>72c51d8667b7c835</t>
        </is>
      </c>
      <c r="B50" s="2" t="inlineStr">
        <is>
          <t>2026-10-08 17:49</t>
        </is>
      </c>
      <c r="C50" s="3" t="inlineStr">
        <is>
          <t>Ingeniero/a civil vías para Carepa</t>
        </is>
      </c>
      <c r="D50" s="3" t="inlineStr">
        <is>
          <t>Ingeniero/a civil vías para Carepa</t>
        </is>
      </c>
      <c r="E50" s="7" t="n">
        <v>0.63</v>
      </c>
      <c r="F50" s="2" t="inlineStr">
        <is>
          <t>Remoto</t>
        </is>
      </c>
      <c r="G50" s="5">
        <f>HYPERLINK("https://co.computrabajo.com/ofertas-de-trabajo/oferta-de-trabajo-de-ingenieroa-civil-vias-para-carepa-en-carepa-60910FD8B83B113961373E686DCF3405", "Ver Vacante")</f>
        <v/>
      </c>
      <c r="H50" s="6" t="inlineStr">
        <is>
          <t>$ 4.800.000,00 (Mensual)</t>
        </is>
      </c>
      <c r="I50" s="3" t="inlineStr">
        <is>
          <t>[Afinidad: 63/100 - Afinidad Moderada] Alta coincidencia técnica en infraestructura vial, diseño geométrico y pavimentos. Modalidad: 100% Remoto en Colombia confirmado.</t>
        </is>
      </c>
      <c r="J50" s="2" t="inlineStr">
        <is>
          <t>Nueva</t>
        </is>
      </c>
      <c r="K50" s="3" t="inlineStr"/>
    </row>
    <row r="51" ht="22" customHeight="1">
      <c r="A51" s="2" t="inlineStr">
        <is>
          <t>d91a22c1e9ea4186</t>
        </is>
      </c>
      <c r="B51" s="2" t="inlineStr">
        <is>
          <t>2026-10-13 18:04</t>
        </is>
      </c>
      <c r="C51" s="3" t="inlineStr">
        <is>
          <t>Especialista HSE/SST</t>
        </is>
      </c>
      <c r="D51" s="3" t="inlineStr">
        <is>
          <t>SOLUCIONES EMPRESARIALES 360°</t>
        </is>
      </c>
      <c r="E51" s="7" t="n">
        <v>0.63</v>
      </c>
      <c r="F51" s="2" t="inlineStr">
        <is>
          <t>Remoto</t>
        </is>
      </c>
      <c r="G51" s="5">
        <f>HYPERLINK("https://co.computrabajo.com/ofertas-de-trabajo/oferta-de-trabajo-de-especialista-hsesst-en-bogota-dc-B27149B85EE9901761373E686DCF3405", "Ver Vacante")</f>
        <v/>
      </c>
      <c r="H51" s="6" t="inlineStr"/>
      <c r="I51" s="3" t="inlineStr">
        <is>
          <t>[Afinidad: 63/100 - Afinidad Moderada] Alta coincidencia en gestión de Seguridad y Salud en el Trabajo (SST). Modalidad: 100% Remoto en Colombia confirmado.</t>
        </is>
      </c>
      <c r="J51" s="2" t="inlineStr">
        <is>
          <t>Nueva</t>
        </is>
      </c>
      <c r="K51" s="3" t="inlineStr"/>
    </row>
    <row r="52" ht="22" customHeight="1">
      <c r="A52" s="2" t="inlineStr">
        <is>
          <t>9d44172a5b0e1932</t>
        </is>
      </c>
      <c r="B52" s="2" t="inlineStr">
        <is>
          <t>2026-10-14 15:48</t>
        </is>
      </c>
      <c r="C52" s="3" t="inlineStr">
        <is>
          <t>Ingeniero especialista en infraestructura vial / ferroviaria</t>
        </is>
      </c>
      <c r="D52" s="3" t="inlineStr">
        <is>
          <t>EADIC</t>
        </is>
      </c>
      <c r="E52" s="7" t="n">
        <v>0.63</v>
      </c>
      <c r="F52" s="2" t="inlineStr">
        <is>
          <t>Remoto</t>
        </is>
      </c>
      <c r="G52" s="5">
        <f>HYPERLINK("https://co.linkedin.com/jobs/view/ingeniero-especialista-en-infraestructura-vial-ferroviaria-at-eadic-4479520305", "Ver Vacante")</f>
        <v/>
      </c>
      <c r="H52" s="6" t="inlineStr"/>
      <c r="I52" s="3" t="inlineStr">
        <is>
          <t>[Afinidad: 63/100 - Afinidad Moderada] Alta coincidencia técnica en infraestructura vial, diseño geométrico y pavimentos. Modalidad: 100% Remoto en Colombia confirmado.</t>
        </is>
      </c>
      <c r="J52" s="2" t="inlineStr">
        <is>
          <t>Nueva</t>
        </is>
      </c>
      <c r="K52" s="3" t="inlineStr"/>
    </row>
    <row r="53" ht="22" customHeight="1">
      <c r="A53" s="2" t="inlineStr">
        <is>
          <t>51572548d62b1454</t>
        </is>
      </c>
      <c r="B53" s="2" t="inlineStr">
        <is>
          <t>2026-10-14 15:48</t>
        </is>
      </c>
      <c r="C53" s="3" t="inlineStr">
        <is>
          <t>Especialista HSE/SST</t>
        </is>
      </c>
      <c r="D53" s="3" t="inlineStr">
        <is>
          <t>SOE 360</t>
        </is>
      </c>
      <c r="E53" s="7" t="n">
        <v>0.63</v>
      </c>
      <c r="F53" s="2" t="inlineStr">
        <is>
          <t>Remoto</t>
        </is>
      </c>
      <c r="G53" s="5">
        <f>HYPERLINK("https://co.linkedin.com/jobs/view/especialista-hse-sst-at-soe-360-4479221520", "Ver Vacante")</f>
        <v/>
      </c>
      <c r="H53" s="6" t="inlineStr"/>
      <c r="I53" s="3" t="inlineStr">
        <is>
          <t>[Afinidad: 63/100 - Afinidad Moderada] Alta coincidencia en gestión de Seguridad y Salud en el Trabajo (SST). Modalidad: 100% Remoto en Colombia confirmado.</t>
        </is>
      </c>
      <c r="J53" s="2" t="inlineStr">
        <is>
          <t>Nueva</t>
        </is>
      </c>
      <c r="K53" s="3" t="inlineStr"/>
    </row>
    <row r="54" ht="22" customHeight="1">
      <c r="A54" s="2" t="inlineStr">
        <is>
          <t>57012d50d286d596</t>
        </is>
      </c>
      <c r="B54" s="2" t="inlineStr">
        <is>
          <t>2026-10-15 15:36</t>
        </is>
      </c>
      <c r="C54" s="3" t="inlineStr">
        <is>
          <t>Especialista HSE/SST</t>
        </is>
      </c>
      <c r="D54" s="3" t="inlineStr">
        <is>
          <t>Importante empresa del sector de construccion</t>
        </is>
      </c>
      <c r="E54" s="7" t="n">
        <v>0.63</v>
      </c>
      <c r="F54" s="2" t="inlineStr">
        <is>
          <t>Remoto</t>
        </is>
      </c>
      <c r="G54" s="5">
        <f>HYPERLINK("https://co.computrabajo.com/ofertas-de-trabajo/oferta-de-trabajo-de-especialista-hsesst-en-bogota-dc-B27149B85EE9901761373E686DCF3405", "Ver Vacante")</f>
        <v/>
      </c>
      <c r="H54" s="6" t="inlineStr"/>
      <c r="I54" s="3" t="inlineStr">
        <is>
          <t>[Afinidad: 63/100 - Afinidad Moderada] Alta coincidencia en gestión de Seguridad y Salud en el Trabajo (SST). Modalidad: 100% Remoto en Colombia confirmado.</t>
        </is>
      </c>
      <c r="J54" s="2" t="inlineStr">
        <is>
          <t>Nueva</t>
        </is>
      </c>
      <c r="K54" s="3" t="inlineStr"/>
    </row>
    <row r="55" ht="22" customHeight="1">
      <c r="A55" s="2" t="inlineStr">
        <is>
          <t>0b2990be6d694ecb</t>
        </is>
      </c>
      <c r="B55" s="2" t="inlineStr">
        <is>
          <t>2026-10-15 15:36</t>
        </is>
      </c>
      <c r="C55" s="3" t="inlineStr">
        <is>
          <t>Ingeniero especialista en infraestructura vial / Ferroviaria</t>
        </is>
      </c>
      <c r="D55" s="3" t="inlineStr">
        <is>
          <t>EADIC</t>
        </is>
      </c>
      <c r="E55" s="7" t="n">
        <v>0.63</v>
      </c>
      <c r="F55" s="2" t="inlineStr">
        <is>
          <t>Remoto</t>
        </is>
      </c>
      <c r="G55" s="5">
        <f>HYPERLINK("https://co.linkedin.com/jobs/view/ingeniero-especialista-en-infraestructura-vial-ferroviaria-at-eadic-4479842450", "Ver Vacante")</f>
        <v/>
      </c>
      <c r="H55" s="6" t="inlineStr"/>
      <c r="I55" s="3" t="inlineStr">
        <is>
          <t>[Afinidad: 63/100 - Afinidad Moderada] Alta coincidencia técnica en infraestructura vial, diseño geométrico y pavimentos. Modalidad: 100% Remoto en Colombia confirmado.</t>
        </is>
      </c>
      <c r="J55" s="2" t="inlineStr">
        <is>
          <t>Nueva</t>
        </is>
      </c>
      <c r="K55" s="3" t="inlineStr"/>
    </row>
    <row r="56" ht="22" customHeight="1">
      <c r="A56" s="2" t="inlineStr">
        <is>
          <t>da606d7f11e0abd3</t>
        </is>
      </c>
      <c r="B56" s="2" t="inlineStr">
        <is>
          <t>2026-10-16 15:18</t>
        </is>
      </c>
      <c r="C56" s="3" t="inlineStr">
        <is>
          <t>Asesor comercial de Infraestructura vial</t>
        </is>
      </c>
      <c r="D56" s="3" t="inlineStr">
        <is>
          <t>CENTRO DE EMPLEO Y TALENTO COLSUBSIDIO</t>
        </is>
      </c>
      <c r="E56" s="7" t="n">
        <v>0.63</v>
      </c>
      <c r="F56" s="2" t="inlineStr">
        <is>
          <t>Remoto</t>
        </is>
      </c>
      <c r="G56" s="5">
        <f>HYPERLINK("https://co.computrabajo.com/ofertas-de-trabajo/oferta-de-trabajo-de-asesor-comercial-de-infraestructura-vial-en-bogota-dc-1675570E91E32C2761373E686DCF3405", "Ver Vacante")</f>
        <v/>
      </c>
      <c r="H56" s="6" t="inlineStr">
        <is>
          <t>$ 3.500.000,00 (Mensual)</t>
        </is>
      </c>
      <c r="I56" s="3" t="inlineStr">
        <is>
          <t>[Afinidad: 63/100 - Afinidad Moderada] Alta coincidencia técnica en infraestructura vial, diseño geométrico y pavimentos. Modalidad: 100% Remoto en Colombia confirmado.</t>
        </is>
      </c>
      <c r="J56" s="2" t="inlineStr">
        <is>
          <t>Nueva</t>
        </is>
      </c>
      <c r="K56" s="3" t="inlineStr"/>
    </row>
    <row r="57" ht="22" customHeight="1">
      <c r="A57" s="2" t="inlineStr">
        <is>
          <t>91321fd6c45b925a</t>
        </is>
      </c>
      <c r="B57" s="2" t="inlineStr">
        <is>
          <t>2026-10-22 15:54</t>
        </is>
      </c>
      <c r="C57" s="3" t="inlineStr">
        <is>
          <t>Especialista en Vías</t>
        </is>
      </c>
      <c r="D57" s="3" t="inlineStr">
        <is>
          <t>Cal y Mayor y Asociados S.C</t>
        </is>
      </c>
      <c r="E57" s="7" t="n">
        <v>0.63</v>
      </c>
      <c r="F57" s="2" t="inlineStr">
        <is>
          <t>Remoto</t>
        </is>
      </c>
      <c r="G57" s="5">
        <f>HYPERLINK("https://co.computrabajo.com/ofertas-de-trabajo/oferta-de-trabajo-de-especialista-en-vias-sucre-ing-civil-ingenieria-de-vias-y-transporte-en-pereira-DA33D5D6B546295961373E686DCF3405", "Ver Vacante")</f>
        <v/>
      </c>
      <c r="H57" s="6" t="inlineStr"/>
      <c r="I57" s="3" t="inlineStr">
        <is>
          <t>[Afinidad: 63/100 - Afinidad Moderada] Alta coincidencia técnica en infraestructura vial, diseño geométrico y pavimentos. Modalidad: 100% Remoto en Colombia confirmado.</t>
        </is>
      </c>
      <c r="J57" s="2" t="inlineStr">
        <is>
          <t>Nueva</t>
        </is>
      </c>
      <c r="K57" s="3" t="inlineStr"/>
    </row>
    <row r="58" ht="22" customHeight="1">
      <c r="A58" s="2" t="inlineStr">
        <is>
          <t>3f62745f8c8f0248</t>
        </is>
      </c>
      <c r="B58" s="2" t="inlineStr">
        <is>
          <t>2026-10-22 15:54</t>
        </is>
      </c>
      <c r="C58" s="3" t="inlineStr">
        <is>
          <t>Especialista en Vías</t>
        </is>
      </c>
      <c r="D58" s="3" t="inlineStr">
        <is>
          <t>Grupo Cal y Mayor</t>
        </is>
      </c>
      <c r="E58" s="7" t="n">
        <v>0.63</v>
      </c>
      <c r="F58" s="2" t="inlineStr">
        <is>
          <t>Remoto</t>
        </is>
      </c>
      <c r="G58" s="5">
        <f>HYPERLINK("https://co.linkedin.com/jobs/view/especialista-en-v%C3%ADas-at-cal-y-mayor-4482478344", "Ver Vacante")</f>
        <v/>
      </c>
      <c r="H58" s="6" t="inlineStr"/>
      <c r="I58" s="3" t="inlineStr">
        <is>
          <t>[Afinidad: 63/100 - Afinidad Moderada] Alta coincidencia técnica en infraestructura vial, diseño geométrico y pavimentos. Modalidad: 100% Remoto en Colombia confirmado.</t>
        </is>
      </c>
      <c r="J58" s="2" t="inlineStr">
        <is>
          <t>Nueva</t>
        </is>
      </c>
      <c r="K58" s="3" t="inlineStr"/>
    </row>
    <row r="59" ht="22" customHeight="1">
      <c r="A59" s="2" t="inlineStr">
        <is>
          <t>b61ad1aa15c22ca5</t>
        </is>
      </c>
      <c r="B59" s="2" t="inlineStr">
        <is>
          <t>2026-09-22 03:17</t>
        </is>
      </c>
      <c r="C59" s="3" t="inlineStr">
        <is>
          <t>Inspector sst y seguridad vial motorizado - zona sabana norte</t>
        </is>
      </c>
      <c r="D59" s="3" t="inlineStr">
        <is>
          <t>ATIEMPO S.A.S</t>
        </is>
      </c>
      <c r="E59" s="7" t="n">
        <v>0.6</v>
      </c>
      <c r="F59" s="2" t="inlineStr">
        <is>
          <t>Remoto</t>
        </is>
      </c>
      <c r="G59" s="5">
        <f>HYPERLINK("https://www.elempleo.com/co/ofertas-trabajo/inspector-sst-y-seguridad-vial-motorizado-zona-sabana-norte-chia-cota-zipaquira-tabio-y-tenjo-1886766982", "Ver Vacante")</f>
        <v/>
      </c>
      <c r="H59" s="6" t="inlineStr"/>
      <c r="I59" s="3" t="inlineStr">
        <is>
          <t>[Afinidad: 60/100 - Afinidad Moderada] Afinidad moderada con componentes de vías e infraestructura y seguridad laboral. Modalidad: 100% Remoto en Colombia confirmado.</t>
        </is>
      </c>
      <c r="J59" s="2" t="inlineStr">
        <is>
          <t>Nueva</t>
        </is>
      </c>
      <c r="K59" s="3" t="inlineStr"/>
    </row>
    <row r="60" ht="22" customHeight="1">
      <c r="A60" s="2" t="inlineStr">
        <is>
          <t>eaa28269212c2ec6</t>
        </is>
      </c>
      <c r="B60" s="2" t="inlineStr">
        <is>
          <t>2026-09-22 03:17</t>
        </is>
      </c>
      <c r="C60" s="3" t="inlineStr">
        <is>
          <t>Analista sst / plan estratégico de seguridad vial-bogotá</t>
        </is>
      </c>
      <c r="D60" s="3" t="inlineStr">
        <is>
          <t>Confidencial</t>
        </is>
      </c>
      <c r="E60" s="7" t="n">
        <v>0.6</v>
      </c>
      <c r="F60" s="2" t="inlineStr">
        <is>
          <t>Remoto</t>
        </is>
      </c>
      <c r="G60" s="5">
        <f>HYPERLINK("https://www.elempleo.com/co/ofertas-trabajo/analista-sst-plan-estrategico-de-seguridad-vialbogota-1886767391", "Ver Vacante")</f>
        <v/>
      </c>
      <c r="H60" s="6" t="inlineStr"/>
      <c r="I60" s="3" t="inlineStr">
        <is>
          <t>[Afinidad: 60/100 - Afinidad Moderada] Afinidad moderada con componentes de vías e infraestructura y seguridad laboral. Modalidad: 100% Remoto en Colombia confirmado.</t>
        </is>
      </c>
      <c r="J60" s="2" t="inlineStr">
        <is>
          <t>Nueva</t>
        </is>
      </c>
      <c r="K60" s="3" t="inlineStr"/>
    </row>
    <row r="61" ht="22" customHeight="1">
      <c r="A61" s="2" t="inlineStr">
        <is>
          <t>06f094ce9d5aac78</t>
        </is>
      </c>
      <c r="B61" s="2" t="inlineStr">
        <is>
          <t>2026-09-22 05:09</t>
        </is>
      </c>
      <c r="C61" s="3" t="inlineStr">
        <is>
          <t>Profesional en seguridad y salud en el trabajo - pereira | seguridad vial</t>
        </is>
      </c>
      <c r="D61" s="3" t="inlineStr">
        <is>
          <t>ADECCO COLOMBIA S A</t>
        </is>
      </c>
      <c r="E61" s="7" t="n">
        <v>0.6</v>
      </c>
      <c r="F61" s="2" t="inlineStr">
        <is>
          <t>Remoto</t>
        </is>
      </c>
      <c r="G61" s="5">
        <f>HYPERLINK("https://www.elempleo.com/co/ofertas-trabajo/profesional-en-seguridad-y-salud-en-el-trabajo-pereira-seguridad-vial-1886747053", "Ver Vacante")</f>
        <v/>
      </c>
      <c r="H61" s="6" t="inlineStr"/>
      <c r="I61" s="3" t="inlineStr">
        <is>
          <t>[Afinidad: 60/100 - Afinidad Moderada] Afinidad moderada con componentes de vías e infraestructura y seguridad laboral. Modalidad: 100% Remoto en Colombia confirmado.</t>
        </is>
      </c>
      <c r="J61" s="2" t="inlineStr">
        <is>
          <t>Nueva</t>
        </is>
      </c>
      <c r="K61" s="3" t="inlineStr"/>
    </row>
    <row r="62" ht="22" customHeight="1">
      <c r="A62" s="2" t="inlineStr">
        <is>
          <t>e9d56941eaea2d73</t>
        </is>
      </c>
      <c r="B62" s="2" t="inlineStr">
        <is>
          <t>2026-09-22 05:09</t>
        </is>
      </c>
      <c r="C62" s="3" t="inlineStr">
        <is>
          <t>Inspector sst y seguridad vial motorizado - zona sabana norte</t>
        </is>
      </c>
      <c r="D62" s="3" t="inlineStr">
        <is>
          <t>ATIEMPO S.A.S</t>
        </is>
      </c>
      <c r="E62" s="7" t="n">
        <v>0.6</v>
      </c>
      <c r="F62" s="2" t="inlineStr">
        <is>
          <t>Remoto</t>
        </is>
      </c>
      <c r="G62" s="5">
        <f>HYPERLINK("https://www.elempleo.com/co/ofertas-trabajo/inspector-sst-y-seguridad-vial-motorizado-zona-sabana-norte-chia-cota-zipaquira-tabio-y-tenjo-1886766982", "Ver Vacante")</f>
        <v/>
      </c>
      <c r="H62" s="6" t="inlineStr"/>
      <c r="I62" s="3" t="inlineStr">
        <is>
          <t>[Afinidad: 60/100 - Afinidad Moderada] Afinidad moderada con componentes de vías e infraestructura y seguridad laboral. Modalidad: 100% Remoto en Colombia confirmado.</t>
        </is>
      </c>
      <c r="J62" s="2" t="inlineStr">
        <is>
          <t>Nueva</t>
        </is>
      </c>
      <c r="K62" s="3" t="inlineStr"/>
    </row>
    <row r="63" ht="22" customHeight="1">
      <c r="A63" s="2" t="inlineStr">
        <is>
          <t>4d2a4ed8de3a33cf</t>
        </is>
      </c>
      <c r="B63" s="2" t="inlineStr">
        <is>
          <t>2026-09-22 05:09</t>
        </is>
      </c>
      <c r="C63" s="3" t="inlineStr">
        <is>
          <t>Director de proyecto idu</t>
        </is>
      </c>
      <c r="D63" s="3" t="inlineStr">
        <is>
          <t>Confidencial</t>
        </is>
      </c>
      <c r="E63" s="7" t="n">
        <v>0.6</v>
      </c>
      <c r="F63" s="2" t="inlineStr">
        <is>
          <t>Remoto</t>
        </is>
      </c>
      <c r="G63" s="5">
        <f>HYPERLINK("https://www.elempleo.com/co/ofertas-trabajo/director-de-proyecto-idu-1886749675", "Ver Vacante")</f>
        <v/>
      </c>
      <c r="H63" s="6" t="inlineStr"/>
      <c r="I63" s="3" t="inlineStr">
        <is>
          <t>[Afinidad: 60/100 - Afinidad Moderada] Afinidad parcial en infraestructura vial y transporte. Modalidad: 100% Remoto en Colombia confirmado.</t>
        </is>
      </c>
      <c r="J63" s="2" t="inlineStr">
        <is>
          <t>Nueva</t>
        </is>
      </c>
      <c r="K63" s="3" t="inlineStr"/>
    </row>
    <row r="64" ht="22" customHeight="1">
      <c r="A64" s="2" t="inlineStr">
        <is>
          <t>6d0f6220edda6c00</t>
        </is>
      </c>
      <c r="B64" s="2" t="inlineStr">
        <is>
          <t>2026-09-22 05:09</t>
        </is>
      </c>
      <c r="C64" s="3" t="inlineStr">
        <is>
          <t>Profesional en sst (pesv) - bogotá</t>
        </is>
      </c>
      <c r="D64" s="3" t="inlineStr">
        <is>
          <t>Quirón Prevención Colombia S.A.S</t>
        </is>
      </c>
      <c r="E64" s="7" t="n">
        <v>0.6</v>
      </c>
      <c r="F64" s="2" t="inlineStr">
        <is>
          <t>Remoto</t>
        </is>
      </c>
      <c r="G64" s="5">
        <f>HYPERLINK("https://www.elempleo.com/co/ofertas-trabajo/profesional-en-sst-pesv-bogota-1886764924", "Ver Vacante")</f>
        <v/>
      </c>
      <c r="H64" s="6" t="inlineStr"/>
      <c r="I64" s="3" t="inlineStr">
        <is>
          <t>[Afinidad: 60/100 - Afinidad Moderada] Afinidad moderada con componentes de vías e infraestructura y seguridad laboral. Modalidad: 100% Remoto en Colombia confirmado.</t>
        </is>
      </c>
      <c r="J64" s="2" t="inlineStr">
        <is>
          <t>Nueva</t>
        </is>
      </c>
      <c r="K64" s="3" t="inlineStr"/>
    </row>
    <row r="65" ht="22" customHeight="1">
      <c r="A65" s="2" t="inlineStr">
        <is>
          <t>d08c11f2965be02b</t>
        </is>
      </c>
      <c r="B65" s="2" t="inlineStr">
        <is>
          <t>2026-09-22 05:09</t>
        </is>
      </c>
      <c r="C65" s="3" t="inlineStr">
        <is>
          <t>Psicóloga (o) senior especialista sst</t>
        </is>
      </c>
      <c r="D65" s="3" t="inlineStr">
        <is>
          <t>Confidencial</t>
        </is>
      </c>
      <c r="E65" s="7" t="n">
        <v>0.6</v>
      </c>
      <c r="F65" s="2" t="inlineStr">
        <is>
          <t>Remoto</t>
        </is>
      </c>
      <c r="G65" s="5">
        <f>HYPERLINK("https://www.elempleo.com/co/ofertas-trabajo/psicologa-o-senior-especialista-sst-1886752312", "Ver Vacante")</f>
        <v/>
      </c>
      <c r="H65" s="6" t="inlineStr"/>
      <c r="I65" s="3" t="inlineStr">
        <is>
          <t>[Afinidad: 60/100 - Afinidad Moderada] Afinidad parcial en seguridad y salud ocupacional. Modalidad: 100% Remoto en Colombia confirmado.</t>
        </is>
      </c>
      <c r="J65" s="2" t="inlineStr">
        <is>
          <t>Nueva</t>
        </is>
      </c>
      <c r="K65" s="3" t="inlineStr"/>
    </row>
    <row r="66" ht="22" customHeight="1">
      <c r="A66" s="2" t="inlineStr">
        <is>
          <t>b00bfc12c3eebd36</t>
        </is>
      </c>
      <c r="B66" s="2" t="inlineStr">
        <is>
          <t>2026-09-22 05:09</t>
        </is>
      </c>
      <c r="C66" s="3" t="inlineStr">
        <is>
          <t>Cali - psicóloga (o) senior especialista sst- independiente</t>
        </is>
      </c>
      <c r="D66" s="3" t="inlineStr">
        <is>
          <t>Confidencial</t>
        </is>
      </c>
      <c r="E66" s="7" t="n">
        <v>0.6</v>
      </c>
      <c r="F66" s="2" t="inlineStr">
        <is>
          <t>Remoto</t>
        </is>
      </c>
      <c r="G66" s="5">
        <f>HYPERLINK("https://www.elempleo.com/co/ofertas-trabajo/cali-psicologa-o-senior-especialista-sst-independiente-1886761400", "Ver Vacante")</f>
        <v/>
      </c>
      <c r="H66" s="6" t="inlineStr"/>
      <c r="I66" s="3" t="inlineStr">
        <is>
          <t>[Afinidad: 60/100 - Afinidad Moderada] Afinidad parcial en seguridad y salud ocupacional. Modalidad: 100% Remoto en Colombia confirmado.</t>
        </is>
      </c>
      <c r="J66" s="2" t="inlineStr">
        <is>
          <t>Nueva</t>
        </is>
      </c>
      <c r="K66" s="3" t="inlineStr"/>
    </row>
    <row r="67" ht="22" customHeight="1">
      <c r="A67" s="2" t="inlineStr">
        <is>
          <t>2f0067eb2449c438</t>
        </is>
      </c>
      <c r="B67" s="2" t="inlineStr">
        <is>
          <t>2026-09-22 05:09</t>
        </is>
      </c>
      <c r="C67" s="3" t="inlineStr">
        <is>
          <t>Jefe de prevención de riesgos laborales sst</t>
        </is>
      </c>
      <c r="D67" s="3" t="inlineStr">
        <is>
          <t>Confidencial</t>
        </is>
      </c>
      <c r="E67" s="7" t="n">
        <v>0.6</v>
      </c>
      <c r="F67" s="2" t="inlineStr">
        <is>
          <t>Remoto</t>
        </is>
      </c>
      <c r="G67" s="5">
        <f>HYPERLINK("https://www.elempleo.com/co/ofertas-trabajo/jefe-de-prevencion-de-riesgos-laborales-sst-1886769416", "Ver Vacante")</f>
        <v/>
      </c>
      <c r="H67" s="6" t="inlineStr"/>
      <c r="I67" s="3" t="inlineStr">
        <is>
          <t>[Afinidad: 60/100 - Afinidad Moderada] Alta coincidencia en gestión de Seguridad y Salud en el Trabajo (SST). Modalidad: 100% Remoto en Colombia confirmado.</t>
        </is>
      </c>
      <c r="J67" s="2" t="inlineStr">
        <is>
          <t>Nueva</t>
        </is>
      </c>
      <c r="K67" s="3" t="inlineStr"/>
    </row>
    <row r="68" ht="22" customHeight="1">
      <c r="A68" s="2" t="inlineStr">
        <is>
          <t>44316258861df5d1</t>
        </is>
      </c>
      <c r="B68" s="2" t="inlineStr">
        <is>
          <t>2026-09-22 05:09</t>
        </is>
      </c>
      <c r="C68" s="3" t="inlineStr">
        <is>
          <t>Profesional en seguridad y salud en el trabajo - pereira | experiencia en pesv</t>
        </is>
      </c>
      <c r="D68" s="3" t="inlineStr">
        <is>
          <t>ADECCO COLOMBIA S A</t>
        </is>
      </c>
      <c r="E68" s="7" t="n">
        <v>0.6</v>
      </c>
      <c r="F68" s="2" t="inlineStr">
        <is>
          <t>Remoto</t>
        </is>
      </c>
      <c r="G68" s="5">
        <f>HYPERLINK("https://www.elempleo.com/co/ofertas-trabajo/profesional-en-seguridad-y-salud-en-el-trabajo-pereira-experiencia-en-pesv-1886758149", "Ver Vacante")</f>
        <v/>
      </c>
      <c r="H68" s="6" t="inlineStr"/>
      <c r="I68" s="3" t="inlineStr">
        <is>
          <t>[Afinidad: 60/100 - Afinidad Moderada] Afinidad moderada con componentes de vías e infraestructura y seguridad laboral. Modalidad: 100% Remoto en Colombia confirmado.</t>
        </is>
      </c>
      <c r="J68" s="2" t="inlineStr">
        <is>
          <t>Nueva</t>
        </is>
      </c>
      <c r="K68" s="3" t="inlineStr"/>
    </row>
    <row r="69" ht="22" customHeight="1">
      <c r="A69" s="2" t="inlineStr">
        <is>
          <t>43d7b93a9eb1329d</t>
        </is>
      </c>
      <c r="B69" s="2" t="inlineStr">
        <is>
          <t>2026-09-22 05:09</t>
        </is>
      </c>
      <c r="C69" s="3" t="inlineStr">
        <is>
          <t>Tecnologo en sst- experto en pesv - bogota</t>
        </is>
      </c>
      <c r="D69" s="3" t="inlineStr">
        <is>
          <t>Confidencial</t>
        </is>
      </c>
      <c r="E69" s="7" t="n">
        <v>0.6</v>
      </c>
      <c r="F69" s="2" t="inlineStr">
        <is>
          <t>Remoto</t>
        </is>
      </c>
      <c r="G69" s="5">
        <f>HYPERLINK("https://www.elempleo.com/co/ofertas-trabajo/tecnologo-en-sst-experto-en-pesv-bogota-1886763258", "Ver Vacante")</f>
        <v/>
      </c>
      <c r="H69" s="6" t="inlineStr"/>
      <c r="I69" s="3" t="inlineStr">
        <is>
          <t>[Afinidad: 60/100 - Afinidad Moderada] Afinidad moderada con componentes de vías e infraestructura y seguridad laboral. Modalidad: 100% Remoto en Colombia confirmado.</t>
        </is>
      </c>
      <c r="J69" s="2" t="inlineStr">
        <is>
          <t>Nueva</t>
        </is>
      </c>
      <c r="K69" s="3" t="inlineStr"/>
    </row>
    <row r="70" ht="22" customHeight="1">
      <c r="A70" s="2" t="inlineStr">
        <is>
          <t>a413977464eb04b3</t>
        </is>
      </c>
      <c r="B70" s="2" t="inlineStr">
        <is>
          <t>2026-09-25 15:50</t>
        </is>
      </c>
      <c r="C70" s="3" t="inlineStr">
        <is>
          <t>Ingeniero Industrial/ Lider Especialista SST</t>
        </is>
      </c>
      <c r="D70" s="3" t="inlineStr">
        <is>
          <t>Importante empresa del sector</t>
        </is>
      </c>
      <c r="E70" s="7" t="n">
        <v>0.6</v>
      </c>
      <c r="F70" s="2" t="inlineStr">
        <is>
          <t>Remoto</t>
        </is>
      </c>
      <c r="G70" s="5">
        <f>HYPERLINK("https://co.computrabajo.com/ofertas-de-trabajo/oferta-de-trabajo-de-ingeniero-industrial-lider-especialista-sst-en-bogota-dc-720F8DC91A7C1CD961373E686DCF3405", "Ver Vacante")</f>
        <v/>
      </c>
      <c r="H70" s="6" t="inlineStr"/>
      <c r="I70" s="3" t="inlineStr">
        <is>
          <t>[Afinidad: 60/100 - Afinidad Moderada] Afinidad parcial en seguridad y salud ocupacional. Modalidad: 100% Remoto en Colombia confirmado.</t>
        </is>
      </c>
      <c r="J70" s="2" t="inlineStr">
        <is>
          <t>Nueva</t>
        </is>
      </c>
      <c r="K70" s="3" t="inlineStr"/>
    </row>
    <row r="71" ht="22" customHeight="1">
      <c r="A71" s="2" t="inlineStr">
        <is>
          <t>e2ce93c905b3ac99</t>
        </is>
      </c>
      <c r="B71" s="2" t="inlineStr">
        <is>
          <t>2026-09-25 15:50</t>
        </is>
      </c>
      <c r="C71" s="3" t="inlineStr">
        <is>
          <t>Profesional sst/ licencia vigente/Experiencia pesv</t>
        </is>
      </c>
      <c r="D71" s="3" t="inlineStr">
        <is>
          <t>Importante empresa del sector servicios</t>
        </is>
      </c>
      <c r="E71" s="7" t="n">
        <v>0.6</v>
      </c>
      <c r="F71" s="2" t="inlineStr">
        <is>
          <t>Remoto</t>
        </is>
      </c>
      <c r="G71" s="5">
        <f>HYPERLINK("https://co.computrabajo.com/ofertas-de-trabajo/oferta-de-trabajo-de-profesional-sst-licencia-vigenteexperiencia-pesv-en-cali-E377199CF66E716961373E686DCF3405", "Ver Vacante")</f>
        <v/>
      </c>
      <c r="H71" s="6" t="inlineStr">
        <is>
          <t>$ 2.850.000,00 (Mensual)</t>
        </is>
      </c>
      <c r="I71" s="3" t="inlineStr">
        <is>
          <t>[Afinidad: 60/100 - Afinidad Moderada] Afinidad moderada con componentes de vías e infraestructura y seguridad laboral. Modalidad: 100% Remoto en Colombia confirmado.</t>
        </is>
      </c>
      <c r="J71" s="2" t="inlineStr">
        <is>
          <t>Nueva</t>
        </is>
      </c>
      <c r="K71" s="3" t="inlineStr"/>
    </row>
    <row r="72" ht="22" customHeight="1">
      <c r="A72" s="2" t="inlineStr">
        <is>
          <t>0354ba0be8c85d18</t>
        </is>
      </c>
      <c r="B72" s="2" t="inlineStr">
        <is>
          <t>2026-09-26 15:00</t>
        </is>
      </c>
      <c r="C72" s="3" t="inlineStr">
        <is>
          <t>Coordinaror sst y seguridad vial</t>
        </is>
      </c>
      <c r="D72" s="3" t="inlineStr">
        <is>
          <t>MANPOWER</t>
        </is>
      </c>
      <c r="E72" s="7" t="n">
        <v>0.6</v>
      </c>
      <c r="F72" s="2" t="inlineStr">
        <is>
          <t>Remoto</t>
        </is>
      </c>
      <c r="G72" s="5">
        <f>HYPERLINK("https://www.elempleo.com/co/ofertas-trabajo/coordinaror-sst-y-seguridad-vial-1886772779", "Ver Vacante")</f>
        <v/>
      </c>
      <c r="H72" s="6" t="inlineStr"/>
      <c r="I72" s="3" t="inlineStr">
        <is>
          <t>[Afinidad: 60/100 - Afinidad Moderada] Afinidad moderada con componentes de vías e infraestructura y seguridad laboral. Modalidad: 100% Remoto en Colombia confirmado.</t>
        </is>
      </c>
      <c r="J72" s="2" t="inlineStr">
        <is>
          <t>Nueva</t>
        </is>
      </c>
      <c r="K72" s="3" t="inlineStr"/>
    </row>
    <row r="73" ht="22" customHeight="1">
      <c r="A73" s="2" t="inlineStr">
        <is>
          <t>7c014fc90e349153</t>
        </is>
      </c>
      <c r="B73" s="2" t="inlineStr">
        <is>
          <t>2026-10-09 17:24</t>
        </is>
      </c>
      <c r="C73" s="3" t="inlineStr">
        <is>
          <t>Líder Hseq y Medio Ambiente / Profesional en Ingeniería Industrial</t>
        </is>
      </c>
      <c r="D73" s="3" t="inlineStr">
        <is>
          <t>Importante empresa del sector</t>
        </is>
      </c>
      <c r="E73" s="7" t="n">
        <v>0.6</v>
      </c>
      <c r="F73" s="2" t="inlineStr">
        <is>
          <t>Remoto</t>
        </is>
      </c>
      <c r="G73" s="5">
        <f>HYPERLINK("https://co.computrabajo.com/ofertas-de-trabajo/oferta-de-trabajo-de-lider-hseq-y-medio-ambiente-profesional-en-ingenieria-industrial-en-barranquilla-3E8C722E2EBEAB8761373E686DCF3405", "Ver Vacante")</f>
        <v/>
      </c>
      <c r="H73" s="6" t="inlineStr">
        <is>
          <t>$ 2.700.000,00 (Mensual)</t>
        </is>
      </c>
      <c r="I73" s="3" t="inlineStr">
        <is>
          <t>[Afinidad: 60/100 - Afinidad Moderada] Afinidad parcial en seguridad y salud ocupacional. Modalidad: 100% Remoto en Colombia confirmado.</t>
        </is>
      </c>
      <c r="J73" s="2" t="inlineStr">
        <is>
          <t>Nueva</t>
        </is>
      </c>
      <c r="K73" s="3" t="inlineStr"/>
    </row>
    <row r="74" ht="22" customHeight="1">
      <c r="A74" s="2" t="inlineStr">
        <is>
          <t>0dd08c4bb73ed84f</t>
        </is>
      </c>
      <c r="B74" s="2" t="inlineStr">
        <is>
          <t>2026-10-15 15:36</t>
        </is>
      </c>
      <c r="C74" s="3" t="inlineStr">
        <is>
          <t>Aprendiz de SST / PESV</t>
        </is>
      </c>
      <c r="D74" s="3" t="inlineStr">
        <is>
          <t>Unión andina de Transportes S.A.S</t>
        </is>
      </c>
      <c r="E74" s="7" t="n">
        <v>0.6</v>
      </c>
      <c r="F74" s="2" t="inlineStr">
        <is>
          <t>Remoto</t>
        </is>
      </c>
      <c r="G74" s="5">
        <f>HYPERLINK("https://co.computrabajo.com/ofertas-de-trabajo/oferta-de-trabajo-de-aprendiz-de-sst-pesv-en-bogota-dc-A8ECDFA53B5B2E5461373E686DCF3405", "Ver Vacante")</f>
        <v/>
      </c>
      <c r="H74" s="6" t="inlineStr"/>
      <c r="I74" s="3" t="inlineStr">
        <is>
          <t>[Afinidad: 60/100 - Afinidad Moderada] Afinidad moderada con componentes de vías e infraestructura y seguridad laboral. Modalidad: 100% Remoto en Colombia confirmado.</t>
        </is>
      </c>
      <c r="J74" s="2" t="inlineStr">
        <is>
          <t>Nueva</t>
        </is>
      </c>
      <c r="K74" s="3" t="inlineStr"/>
    </row>
    <row r="75" ht="22" customHeight="1">
      <c r="A75" s="2" t="inlineStr">
        <is>
          <t>26c227af1ddf2cad</t>
        </is>
      </c>
      <c r="B75" s="2" t="inlineStr">
        <is>
          <t>2026-10-15 15:36</t>
        </is>
      </c>
      <c r="C75" s="3" t="inlineStr">
        <is>
          <t>H&amp;s inspector - sst, telecomunicaciones</t>
        </is>
      </c>
      <c r="D75" s="3" t="inlineStr">
        <is>
          <t>UFINET COLOMBIA S.A.</t>
        </is>
      </c>
      <c r="E75" s="7" t="n">
        <v>0.6</v>
      </c>
      <c r="F75" s="2" t="inlineStr">
        <is>
          <t>Remoto</t>
        </is>
      </c>
      <c r="G75" s="5">
        <f>HYPERLINK("https://www.elempleo.com/co/ofertas-trabajo/hs-inspector-sst-telecomunicaciones-plan-seguridad-vial-1886780508", "Ver Vacante")</f>
        <v/>
      </c>
      <c r="H75" s="6" t="inlineStr"/>
      <c r="I75" s="3" t="inlineStr">
        <is>
          <t>[Afinidad: 60/100 - Afinidad Moderada] Afinidad moderada con componentes de vías e infraestructura y seguridad laboral. Modalidad: 100% Remoto en Colombia confirmado.</t>
        </is>
      </c>
      <c r="J75" s="2" t="inlineStr">
        <is>
          <t>Nueva</t>
        </is>
      </c>
      <c r="K75" s="3" t="inlineStr"/>
    </row>
    <row r="76" ht="22" customHeight="1">
      <c r="A76" s="2" t="inlineStr">
        <is>
          <t>6397c4e43d0ce4c8</t>
        </is>
      </c>
      <c r="B76" s="2" t="inlineStr">
        <is>
          <t>2026-09-22 03:17</t>
        </is>
      </c>
      <c r="C76" s="3" t="inlineStr">
        <is>
          <t>Ingeniero de vías y transporte</t>
        </is>
      </c>
      <c r="D76" s="3" t="inlineStr">
        <is>
          <t>KMA CONSTRUCCIONES SAS</t>
        </is>
      </c>
      <c r="E76" s="7" t="n">
        <v>0.58</v>
      </c>
      <c r="F76" s="2" t="inlineStr">
        <is>
          <t>Remoto</t>
        </is>
      </c>
      <c r="G76" s="5">
        <f>HYPERLINK("https://www.elempleo.com/co/ofertas-trabajo/ingeniero-de-vias-y-transporte-1886755352", "Ver Vacante")</f>
        <v/>
      </c>
      <c r="H76" s="6" t="inlineStr"/>
      <c r="I76" s="3" t="inlineStr">
        <is>
          <t>[Afinidad: 58/100 - Afinidad Moderada] Alta coincidencia técnica en infraestructura vial, diseño geométrico y pavimentos. Modalidad: 100% Remoto en Colombia confirmado.</t>
        </is>
      </c>
      <c r="J76" s="2" t="inlineStr">
        <is>
          <t>Nueva</t>
        </is>
      </c>
      <c r="K76" s="3" t="inlineStr"/>
    </row>
    <row r="77" ht="22" customHeight="1">
      <c r="A77" s="2" t="inlineStr">
        <is>
          <t>4a585f361f9a3cde</t>
        </is>
      </c>
      <c r="B77" s="2" t="inlineStr">
        <is>
          <t>2026-09-22 03:17</t>
        </is>
      </c>
      <c r="C77" s="3" t="inlineStr">
        <is>
          <t>Ingeniero residente de vias</t>
        </is>
      </c>
      <c r="D77" s="3" t="inlineStr">
        <is>
          <t>TERMOTECNICA COINDUSTRIAL SAS</t>
        </is>
      </c>
      <c r="E77" s="7" t="n">
        <v>0.58</v>
      </c>
      <c r="F77" s="2" t="inlineStr">
        <is>
          <t>Remoto</t>
        </is>
      </c>
      <c r="G77" s="5">
        <f>HYPERLINK("https://www.elempleo.com/co/ofertas-trabajo/ingeniero-residente-de-vias-1886762445", "Ver Vacante")</f>
        <v/>
      </c>
      <c r="H77" s="6" t="inlineStr"/>
      <c r="I77" s="3" t="inlineStr">
        <is>
          <t>[Afinidad: 58/100 - Afinidad Moderada] Alta coincidencia técnica en infraestructura vial, diseño geométrico y pavimentos. Modalidad: 100% Remoto en Colombia confirmado.</t>
        </is>
      </c>
      <c r="J77" s="2" t="inlineStr">
        <is>
          <t>Nueva</t>
        </is>
      </c>
      <c r="K77" s="3" t="inlineStr"/>
    </row>
    <row r="78" ht="22" customHeight="1">
      <c r="A78" s="2" t="inlineStr">
        <is>
          <t>65a123f37ecb61a2</t>
        </is>
      </c>
      <c r="B78" s="2" t="inlineStr">
        <is>
          <t>2026-09-22 03:17</t>
        </is>
      </c>
      <c r="C78" s="3" t="inlineStr">
        <is>
          <t>Ingeniero/a de Vías Férreas</t>
        </is>
      </c>
      <c r="D78" s="3" t="inlineStr">
        <is>
          <t>IDOM Consulting, Engineering, Architecture</t>
        </is>
      </c>
      <c r="E78" s="7" t="n">
        <v>0.58</v>
      </c>
      <c r="F78" s="2" t="inlineStr">
        <is>
          <t>Remoto</t>
        </is>
      </c>
      <c r="G78" s="5">
        <f>HYPERLINK("https://co.linkedin.com/jobs/view/ingeniero-a-de-v%C3%ADas-f%C3%A9rreas-at-idom-consulting-engineering-architecture-4443714860", "Ver Vacante")</f>
        <v/>
      </c>
      <c r="H78" s="6" t="inlineStr"/>
      <c r="I78" s="3" t="inlineStr">
        <is>
          <t>[Afinidad: 58/100 - Afinidad Moderada] Alta coincidencia técnica en infraestructura vial, diseño geométrico y pavimentos. Modalidad: 100% Remoto en Colombia confirmado.</t>
        </is>
      </c>
      <c r="J78" s="2" t="inlineStr">
        <is>
          <t>Nueva</t>
        </is>
      </c>
      <c r="K78" s="3" t="inlineStr"/>
    </row>
    <row r="79" ht="22" customHeight="1">
      <c r="A79" s="2" t="inlineStr">
        <is>
          <t>fceb07cf99a43a15</t>
        </is>
      </c>
      <c r="B79" s="2" t="inlineStr">
        <is>
          <t>2026-09-22 05:09</t>
        </is>
      </c>
      <c r="C79" s="3" t="inlineStr">
        <is>
          <t>Ingeniero Residente en Proyectos vías</t>
        </is>
      </c>
      <c r="D79" s="3" t="inlineStr">
        <is>
          <t>KMA CONSTRUCCIONES S.A.S</t>
        </is>
      </c>
      <c r="E79" s="7" t="n">
        <v>0.58</v>
      </c>
      <c r="F79" s="2" t="inlineStr">
        <is>
          <t>Remoto</t>
        </is>
      </c>
      <c r="G79" s="5">
        <f>HYPERLINK("https://co.computrabajo.com/ofertas-de-trabajo/oferta-de-trabajo-de-ingeniero-residente-en-proyectos-vias-nacional-en-curumani-3E969F0AD9C6204861373E686DCF3405", "Ver Vacante")</f>
        <v/>
      </c>
      <c r="H79" s="6" t="inlineStr"/>
      <c r="I79" s="3" t="inlineStr">
        <is>
          <t>[Afinidad: 58/100 - Afinidad Moderada] Alta coincidencia técnica en infraestructura vial, diseño geométrico y pavimentos. Modalidad: 100% Remoto en Colombia confirmado.</t>
        </is>
      </c>
      <c r="J79" s="2" t="inlineStr">
        <is>
          <t>Nueva</t>
        </is>
      </c>
      <c r="K79" s="3" t="inlineStr"/>
    </row>
    <row r="80" ht="22" customHeight="1">
      <c r="A80" s="2" t="inlineStr">
        <is>
          <t>407bff46acf8d5b9</t>
        </is>
      </c>
      <c r="B80" s="2" t="inlineStr">
        <is>
          <t>2026-09-22 05:09</t>
        </is>
      </c>
      <c r="C80" s="3" t="inlineStr">
        <is>
          <t>Director(a) de Seguridad y Salud en el Trabajo — SST Bogotá D.C. Presencial</t>
        </is>
      </c>
      <c r="D80" s="3" t="inlineStr">
        <is>
          <t>FIREKEY SAS</t>
        </is>
      </c>
      <c r="E80" s="7" t="n">
        <v>0.58</v>
      </c>
      <c r="F80" s="2" t="inlineStr">
        <is>
          <t>Remoto</t>
        </is>
      </c>
      <c r="G80" s="5">
        <f>HYPERLINK("https://co.computrabajo.com/ofertas-de-trabajo/oferta-de-trabajo-de-directora-de-seguridad-y-salud-en-el-trabajo-sst-bogota-dc-presencial-contrato-a-termino-indefinido-suba-en-bogota-dc-C37E7111DB44BE2D61373E686DCF3405", "Ver Vacante")</f>
        <v/>
      </c>
      <c r="H80" s="6" t="inlineStr">
        <is>
          <t>$ 2.699.999,00 (Mensual)</t>
        </is>
      </c>
      <c r="I80" s="3" t="inlineStr">
        <is>
          <t>[Afinidad: 58/100 - Afinidad Moderada] Alta coincidencia en gestión de Seguridad y Salud en el Trabajo (SST). Modalidad: 100% Remoto en Colombia confirmado.</t>
        </is>
      </c>
      <c r="J80" s="2" t="inlineStr">
        <is>
          <t>Nueva</t>
        </is>
      </c>
      <c r="K80" s="3" t="inlineStr"/>
    </row>
    <row r="81" ht="22" customHeight="1">
      <c r="A81" s="2" t="inlineStr">
        <is>
          <t>c100150b8992d885</t>
        </is>
      </c>
      <c r="B81" s="2" t="inlineStr">
        <is>
          <t>2026-09-22 05:09</t>
        </is>
      </c>
      <c r="C81" s="3" t="inlineStr">
        <is>
          <t>Ingeniero residente de vias</t>
        </is>
      </c>
      <c r="D81" s="3" t="inlineStr">
        <is>
          <t>TERMOTECNICA COINDUSTRIAL SAS</t>
        </is>
      </c>
      <c r="E81" s="7" t="n">
        <v>0.58</v>
      </c>
      <c r="F81" s="2" t="inlineStr">
        <is>
          <t>Remoto</t>
        </is>
      </c>
      <c r="G81" s="5">
        <f>HYPERLINK("https://www.elempleo.com/co/ofertas-trabajo/ingeniero-residente-de-vias-1886762445", "Ver Vacante")</f>
        <v/>
      </c>
      <c r="H81" s="6" t="inlineStr"/>
      <c r="I81" s="3" t="inlineStr">
        <is>
          <t>[Afinidad: 58/100 - Afinidad Moderada] Alta coincidencia técnica en infraestructura vial, diseño geométrico y pavimentos. Modalidad: 100% Remoto en Colombia confirmado.</t>
        </is>
      </c>
      <c r="J81" s="2" t="inlineStr">
        <is>
          <t>Nueva</t>
        </is>
      </c>
      <c r="K81" s="3" t="inlineStr"/>
    </row>
    <row r="82" ht="22" customHeight="1">
      <c r="A82" s="2" t="inlineStr">
        <is>
          <t>fb3f5f47762bcd6a</t>
        </is>
      </c>
      <c r="B82" s="2" t="inlineStr">
        <is>
          <t>2026-09-22 05:09</t>
        </is>
      </c>
      <c r="C82" s="3" t="inlineStr">
        <is>
          <t>Ingeniero de vías y transporte</t>
        </is>
      </c>
      <c r="D82" s="3" t="inlineStr">
        <is>
          <t>KMA CONSTRUCCIONES SAS</t>
        </is>
      </c>
      <c r="E82" s="7" t="n">
        <v>0.58</v>
      </c>
      <c r="F82" s="2" t="inlineStr">
        <is>
          <t>Remoto</t>
        </is>
      </c>
      <c r="G82" s="5">
        <f>HYPERLINK("https://www.elempleo.com/co/ofertas-trabajo/ingeniero-de-vias-y-transporte-1886755352", "Ver Vacante")</f>
        <v/>
      </c>
      <c r="H82" s="6" t="inlineStr"/>
      <c r="I82" s="3" t="inlineStr">
        <is>
          <t>[Afinidad: 58/100 - Afinidad Moderada] Alta coincidencia técnica en infraestructura vial, diseño geométrico y pavimentos. Modalidad: 100% Remoto en Colombia confirmado.</t>
        </is>
      </c>
      <c r="J82" s="2" t="inlineStr">
        <is>
          <t>Nueva</t>
        </is>
      </c>
      <c r="K82" s="3" t="inlineStr"/>
    </row>
    <row r="83" ht="22" customHeight="1">
      <c r="A83" s="2" t="inlineStr">
        <is>
          <t>ed126154bb93d557</t>
        </is>
      </c>
      <c r="B83" s="2" t="inlineStr">
        <is>
          <t>2026-09-22 05:09</t>
        </is>
      </c>
      <c r="C83" s="3" t="inlineStr">
        <is>
          <t>Ingeniero residente de vias y urbanismo</t>
        </is>
      </c>
      <c r="D83" s="3" t="inlineStr">
        <is>
          <t>METRO LINEA 1 S.A.S.</t>
        </is>
      </c>
      <c r="E83" s="7" t="n">
        <v>0.58</v>
      </c>
      <c r="F83" s="2" t="inlineStr">
        <is>
          <t>Remoto</t>
        </is>
      </c>
      <c r="G83" s="5">
        <f>HYPERLINK("https://www.elempleo.com/co/ofertas-trabajo/ingeniero-residente-de-vias-y-urbanismo-1886764375", "Ver Vacante")</f>
        <v/>
      </c>
      <c r="H83" s="6" t="inlineStr"/>
      <c r="I83" s="3" t="inlineStr">
        <is>
          <t>[Afinidad: 58/100 - Afinidad Moderada] Alta coincidencia técnica en infraestructura vial, diseño geométrico y pavimentos. Modalidad: 100% Remoto en Colombia confirmado.</t>
        </is>
      </c>
      <c r="J83" s="2" t="inlineStr">
        <is>
          <t>Nueva</t>
        </is>
      </c>
      <c r="K83" s="3" t="inlineStr"/>
    </row>
    <row r="84" ht="22" customHeight="1">
      <c r="A84" s="2" t="inlineStr">
        <is>
          <t>mock_edge_011</t>
        </is>
      </c>
      <c r="B84" s="2" t="inlineStr">
        <is>
          <t>2026-09-23 09:45</t>
        </is>
      </c>
      <c r="C84" s="3" t="inlineStr">
        <is>
          <t>Ingeniero/a consultor vias y seguridad</t>
        </is>
      </c>
      <c r="D84" s="3" t="inlineStr">
        <is>
          <t>Consultores Generales</t>
        </is>
      </c>
      <c r="E84" s="7" t="n">
        <v>0.58</v>
      </c>
      <c r="F84" s="2" t="inlineStr">
        <is>
          <t>Desconocido</t>
        </is>
      </c>
      <c r="G84" s="5">
        <f>HYPERLINK("https://co.computrabajo.com/ofertas-de-trabajo/mock-edge-011", "Ver Vacante")</f>
        <v/>
      </c>
      <c r="H84" s="6" t="inlineStr"/>
      <c r="I84" s="3" t="inlineStr">
        <is>
          <t>[Afinidad: 58/100 - Afinidad Moderada] Alta coincidencia técnica en infraestructura vial, diseño geométrico y pavimentos. Modalidad: Modalidad no declarada o por verificar.</t>
        </is>
      </c>
      <c r="J84" s="2" t="inlineStr">
        <is>
          <t>Nueva</t>
        </is>
      </c>
      <c r="K84" s="3" t="inlineStr"/>
    </row>
    <row r="85" ht="22" customHeight="1">
      <c r="A85" s="2" t="inlineStr">
        <is>
          <t>1322c2d7c72fc3dd</t>
        </is>
      </c>
      <c r="B85" s="2" t="inlineStr">
        <is>
          <t>2026-09-23 10:17</t>
        </is>
      </c>
      <c r="C85" s="3" t="inlineStr">
        <is>
          <t>Ingeniero Residente</t>
        </is>
      </c>
      <c r="D85" s="3" t="inlineStr">
        <is>
          <t>KMA CONSTRUCCIONES S.A.S</t>
        </is>
      </c>
      <c r="E85" s="7" t="n">
        <v>0.58</v>
      </c>
      <c r="F85" s="2" t="inlineStr">
        <is>
          <t>Remoto</t>
        </is>
      </c>
      <c r="G85" s="5">
        <f>HYPERLINK("https://co.computrabajo.com/ofertas-de-trabajo/oferta-de-trabajo-de-ingeniero-residente-vias-primarias-san-alberto-cesar-en-san-alberto-E8179001C59F51D961373E686DCF3405", "Ver Vacante")</f>
        <v/>
      </c>
      <c r="H85" s="6" t="inlineStr"/>
      <c r="I85" s="3" t="inlineStr">
        <is>
          <t>[Afinidad: 58/100 - Afinidad Moderada] Alta coincidencia técnica en infraestructura vial, diseño geométrico y pavimentos. Modalidad: 100% Remoto en Colombia confirmado.</t>
        </is>
      </c>
      <c r="J85" s="2" t="inlineStr">
        <is>
          <t>Nueva</t>
        </is>
      </c>
      <c r="K85" s="3" t="inlineStr"/>
    </row>
    <row r="86" ht="22" customHeight="1">
      <c r="A86" s="2" t="inlineStr">
        <is>
          <t>8ea51395379548db</t>
        </is>
      </c>
      <c r="B86" s="2" t="inlineStr">
        <is>
          <t>2026-09-22 05:09</t>
        </is>
      </c>
      <c r="C86" s="3" t="inlineStr">
        <is>
          <t>Analista de SST/Inspector HSEQ Cartagena / si estas dispuesto a mudarte aplica</t>
        </is>
      </c>
      <c r="D86" s="3" t="inlineStr">
        <is>
          <t>Tiempos SAS</t>
        </is>
      </c>
      <c r="E86" s="7" t="n">
        <v>0.58</v>
      </c>
      <c r="F86" s="2" t="inlineStr">
        <is>
          <t>Remoto</t>
        </is>
      </c>
      <c r="G86" s="5">
        <f>HYPERLINK("https://co.computrabajo.com/ofertas-de-trabajo/oferta-de-trabajo-de-analista-de-sstinspector-hseq-cartagena-si-estas-dispuesto-a-mudarte-aplica-reclutamiento-nacional-en-cartagena-de-indias-B7EEDFB24467FA5561373E686DCF3405", "Ver Vacante")</f>
        <v/>
      </c>
      <c r="H86" s="6" t="inlineStr">
        <is>
          <t>$ 4.000.000,00 (Mensual)</t>
        </is>
      </c>
      <c r="I86" s="3" t="inlineStr">
        <is>
          <t>[Afinidad: 58/100 - Afinidad Moderada] Alta coincidencia en gestión de Seguridad y Salud en el Trabajo (SST). Modalidad: 100% Remoto en Colombia confirmado.</t>
        </is>
      </c>
      <c r="J86" s="2" t="inlineStr">
        <is>
          <t>Nueva</t>
        </is>
      </c>
      <c r="K86" s="3" t="inlineStr"/>
    </row>
    <row r="87" ht="22" customHeight="1">
      <c r="A87" s="2" t="inlineStr">
        <is>
          <t>320b8f08496a2670</t>
        </is>
      </c>
      <c r="B87" s="2" t="inlineStr">
        <is>
          <t>2026-09-22 05:09</t>
        </is>
      </c>
      <c r="C87" s="3" t="inlineStr">
        <is>
          <t>Analista HSEQ SST</t>
        </is>
      </c>
      <c r="D87" s="3" t="inlineStr">
        <is>
          <t>Importante empresa del sector</t>
        </is>
      </c>
      <c r="E87" s="7" t="n">
        <v>0.58</v>
      </c>
      <c r="F87" s="2" t="inlineStr">
        <is>
          <t>Remoto</t>
        </is>
      </c>
      <c r="G87" s="5">
        <f>HYPERLINK("https://co.computrabajo.com/ofertas-de-trabajo/oferta-de-trabajo-de-analista-hseq-sst-en-bogota-dc-4F507CBF0E27FD0E61373E686DCF3405", "Ver Vacante")</f>
        <v/>
      </c>
      <c r="H87" s="6" t="inlineStr">
        <is>
          <t>$ 1.750.905,00 (Mensual)</t>
        </is>
      </c>
      <c r="I87" s="3" t="inlineStr">
        <is>
          <t>[Afinidad: 58/100 - Afinidad Moderada] Alta coincidencia en gestión de Seguridad y Salud en el Trabajo (SST). Modalidad: 100% Remoto en Colombia confirmado.</t>
        </is>
      </c>
      <c r="J87" s="2" t="inlineStr">
        <is>
          <t>Nueva</t>
        </is>
      </c>
      <c r="K87" s="3" t="inlineStr"/>
    </row>
    <row r="88" ht="22" customHeight="1">
      <c r="A88" s="2" t="inlineStr">
        <is>
          <t>1772334a45880aca</t>
        </is>
      </c>
      <c r="B88" s="2" t="inlineStr">
        <is>
          <t>2026-09-22 05:09</t>
        </is>
      </c>
      <c r="C88" s="3" t="inlineStr">
        <is>
          <t>Analista de Seguridad y Salud en el Trabajo (SST) / Medellin</t>
        </is>
      </c>
      <c r="D88" s="3" t="inlineStr">
        <is>
          <t>Domina Entrega Total S.A.S</t>
        </is>
      </c>
      <c r="E88" s="7" t="n">
        <v>0.58</v>
      </c>
      <c r="F88" s="2" t="inlineStr">
        <is>
          <t>Remoto</t>
        </is>
      </c>
      <c r="G88" s="5">
        <f>HYPERLINK("https://co.linkedin.com/jobs/view/analista-de-seguridad-y-salud-en-el-trabajo-sst-medellin-at-domina-entrega-total-s-a-s-4462184090", "Ver Vacante")</f>
        <v/>
      </c>
      <c r="H88" s="6" t="inlineStr"/>
      <c r="I88" s="3" t="inlineStr">
        <is>
          <t>[Afinidad: 58/100 - Afinidad Moderada] Alta coincidencia en gestión de Seguridad y Salud en el Trabajo (SST). Modalidad: 100% Remoto en Colombia confirmado.</t>
        </is>
      </c>
      <c r="J88" s="2" t="inlineStr">
        <is>
          <t>Nueva</t>
        </is>
      </c>
      <c r="K88" s="3" t="inlineStr"/>
    </row>
    <row r="89" ht="22" customHeight="1">
      <c r="A89" s="2" t="inlineStr">
        <is>
          <t>c38704e293110b75</t>
        </is>
      </c>
      <c r="B89" s="2" t="inlineStr">
        <is>
          <t>2026-09-25 15:50</t>
        </is>
      </c>
      <c r="C89" s="3" t="inlineStr">
        <is>
          <t>Analista HSEQ SST</t>
        </is>
      </c>
      <c r="D89" s="3" t="inlineStr">
        <is>
          <t>Importante empresa del sector</t>
        </is>
      </c>
      <c r="E89" s="7" t="n">
        <v>0.58</v>
      </c>
      <c r="F89" s="2" t="inlineStr">
        <is>
          <t>Remoto</t>
        </is>
      </c>
      <c r="G89" s="5">
        <f>HYPERLINK("https://co.computrabajo.com/ofertas-de-trabajo/oferta-de-trabajo-de-analista-hseq-sst-en-bogota-dc-83CA12F0C1FD78E961373E686DCF3405", "Ver Vacante")</f>
        <v/>
      </c>
      <c r="H89" s="6" t="inlineStr">
        <is>
          <t>$ 1.750.905,00 (Mensual)</t>
        </is>
      </c>
      <c r="I89" s="3" t="inlineStr">
        <is>
          <t>[Afinidad: 58/100 - Afinidad Moderada] Alta coincidencia en gestión de Seguridad y Salud en el Trabajo (SST). Modalidad: 100% Remoto en Colombia confirmado.</t>
        </is>
      </c>
      <c r="J89" s="2" t="inlineStr">
        <is>
          <t>Nueva</t>
        </is>
      </c>
      <c r="K89" s="3" t="inlineStr"/>
    </row>
    <row r="90" ht="22" customHeight="1">
      <c r="A90" s="2" t="inlineStr">
        <is>
          <t>71676d589c309f66</t>
        </is>
      </c>
      <c r="B90" s="2" t="inlineStr">
        <is>
          <t>2026-09-26 15:00</t>
        </is>
      </c>
      <c r="C90" s="3" t="inlineStr">
        <is>
          <t>Ingeniero resideste de vias</t>
        </is>
      </c>
      <c r="D90" s="3" t="inlineStr">
        <is>
          <t>KMA CONSTRUCCIONES SAS</t>
        </is>
      </c>
      <c r="E90" s="7" t="n">
        <v>0.58</v>
      </c>
      <c r="F90" s="2" t="inlineStr">
        <is>
          <t>Remoto</t>
        </is>
      </c>
      <c r="G90" s="5">
        <f>HYPERLINK("https://www.elempleo.com/co/ofertas-trabajo/ingeniero-resideste-de-vias-1886772511", "Ver Vacante")</f>
        <v/>
      </c>
      <c r="H90" s="6" t="inlineStr"/>
      <c r="I90" s="3" t="inlineStr">
        <is>
          <t>[Afinidad: 58/100 - Afinidad Moderada] Alta coincidencia técnica en infraestructura vial, diseño geométrico y pavimentos. Modalidad: 100% Remoto en Colombia confirmado.</t>
        </is>
      </c>
      <c r="J90" s="2" t="inlineStr">
        <is>
          <t>Nueva</t>
        </is>
      </c>
      <c r="K90" s="3" t="inlineStr"/>
    </row>
    <row r="91" ht="22" customHeight="1">
      <c r="A91" s="2" t="inlineStr">
        <is>
          <t>921d5b4e6f8a1319</t>
        </is>
      </c>
      <c r="B91" s="2" t="inlineStr">
        <is>
          <t>2026-09-26 15:00</t>
        </is>
      </c>
      <c r="C91" s="3" t="inlineStr">
        <is>
          <t>Analista de seguridad y salud en el trabajo analista sst /// tunja boyaca</t>
        </is>
      </c>
      <c r="D91" s="3" t="inlineStr">
        <is>
          <t>Confidencial</t>
        </is>
      </c>
      <c r="E91" s="7" t="n">
        <v>0.58</v>
      </c>
      <c r="F91" s="2" t="inlineStr">
        <is>
          <t>Remoto</t>
        </is>
      </c>
      <c r="G91" s="5">
        <f>HYPERLINK("https://www.elempleo.com/co/ofertas-trabajo/analista-de-seguridad-y-salud-en-el-trabajo-analista-sst-tunja-boyaca-1886747829", "Ver Vacante")</f>
        <v/>
      </c>
      <c r="H91" s="6" t="inlineStr"/>
      <c r="I91" s="3" t="inlineStr">
        <is>
          <t>[Afinidad: 58/100 - Afinidad Moderada] Alta coincidencia en gestión de Seguridad y Salud en el Trabajo (SST). Modalidad: 100% Remoto en Colombia confirmado.</t>
        </is>
      </c>
      <c r="J91" s="2" t="inlineStr">
        <is>
          <t>Nueva</t>
        </is>
      </c>
      <c r="K91" s="3" t="inlineStr"/>
    </row>
    <row r="92" ht="22" customHeight="1">
      <c r="A92" s="2" t="inlineStr">
        <is>
          <t>91c0a766ea233188</t>
        </is>
      </c>
      <c r="B92" s="2" t="inlineStr">
        <is>
          <t>2026-10-07 17:47</t>
        </is>
      </c>
      <c r="C92" s="3" t="inlineStr">
        <is>
          <t>LIDER DE SEGURIDAD Y SALUD EN EL TRABAJO SST</t>
        </is>
      </c>
      <c r="D92" s="3" t="inlineStr">
        <is>
          <t>OGA SISTEMVAC S.A.S.</t>
        </is>
      </c>
      <c r="E92" s="7" t="n">
        <v>0.58</v>
      </c>
      <c r="F92" s="2" t="inlineStr">
        <is>
          <t>Remoto</t>
        </is>
      </c>
      <c r="G92" s="5">
        <f>HYPERLINK("https://co.linkedin.com/jobs/view/lider-de-seguridad-y-salud-en-el-trabajo-sst-at-oga-sistemvac-s-a-s-4476737784", "Ver Vacante")</f>
        <v/>
      </c>
      <c r="H92" s="6" t="inlineStr"/>
      <c r="I92" s="3" t="inlineStr">
        <is>
          <t>[Afinidad: 58/100 - Afinidad Moderada] Alta coincidencia en gestión de Seguridad y Salud en el Trabajo (SST). Modalidad: 100% Remoto en Colombia confirmado.</t>
        </is>
      </c>
      <c r="J92" s="2" t="inlineStr">
        <is>
          <t>Nueva</t>
        </is>
      </c>
      <c r="K92" s="3" t="inlineStr"/>
    </row>
    <row r="93" ht="22" customHeight="1">
      <c r="A93" s="2" t="inlineStr">
        <is>
          <t>6d694777dcb81bf2</t>
        </is>
      </c>
      <c r="B93" s="2" t="inlineStr">
        <is>
          <t>2026-10-08 17:49</t>
        </is>
      </c>
      <c r="C93" s="3" t="inlineStr">
        <is>
          <t>Director/a de obra vías para Carepa</t>
        </is>
      </c>
      <c r="D93" s="3" t="inlineStr">
        <is>
          <t>Importante empresa del sector construcción</t>
        </is>
      </c>
      <c r="E93" s="7" t="n">
        <v>0.58</v>
      </c>
      <c r="F93" s="2" t="inlineStr">
        <is>
          <t>Remoto</t>
        </is>
      </c>
      <c r="G93" s="5">
        <f>HYPERLINK("https://co.computrabajo.com/ofertas-de-trabajo/oferta-de-trabajo-de-directora-de-obra-vias-para-carepa-en-carepa-E9AE93AA6FE5CC8661373E686DCF3405", "Ver Vacante")</f>
        <v/>
      </c>
      <c r="H93" s="6" t="inlineStr">
        <is>
          <t>$ 6.500.000,00 (Mensual)</t>
        </is>
      </c>
      <c r="I93" s="3" t="inlineStr">
        <is>
          <t>[Afinidad: 58/100 - Afinidad Moderada] Alta coincidencia técnica en infraestructura vial, diseño geométrico y pavimentos. Modalidad: 100% Remoto en Colombia confirmado.</t>
        </is>
      </c>
      <c r="J93" s="2" t="inlineStr">
        <is>
          <t>Nueva</t>
        </is>
      </c>
      <c r="K93" s="3" t="inlineStr"/>
    </row>
    <row r="94" ht="22" customHeight="1">
      <c r="A94" s="2" t="inlineStr">
        <is>
          <t>b58308e37396aaec</t>
        </is>
      </c>
      <c r="B94" s="2" t="inlineStr">
        <is>
          <t>2026-10-12 20:14</t>
        </is>
      </c>
      <c r="C94" s="3" t="inlineStr">
        <is>
          <t>Analista de Seguridad y Salud en el Trabajo</t>
        </is>
      </c>
      <c r="D94" s="3" t="inlineStr">
        <is>
          <t>Challenger S.A.S</t>
        </is>
      </c>
      <c r="E94" s="7" t="n">
        <v>0.58</v>
      </c>
      <c r="F94" s="2" t="inlineStr">
        <is>
          <t>Remoto</t>
        </is>
      </c>
      <c r="G94" s="5">
        <f>HYPERLINK("https://co.computrabajo.com/ofertas-de-trabajo/oferta-de-trabajo-de-analista-de-seguridad-y-salud-en-el-trabajo-sst-en-santa-marta-1760D71FCD390F6761373E686DCF3405", "Ver Vacante")</f>
        <v/>
      </c>
      <c r="H94" s="6" t="inlineStr">
        <is>
          <t>$ 2.198.000,00 (Mensual)</t>
        </is>
      </c>
      <c r="I94" s="3" t="inlineStr">
        <is>
          <t>[Afinidad: 58/100 - Afinidad Moderada] Alta coincidencia en gestión de Seguridad y Salud en el Trabajo (SST). Modalidad: 100% Remoto en Colombia confirmado.</t>
        </is>
      </c>
      <c r="J94" s="2" t="inlineStr">
        <is>
          <t>Nueva</t>
        </is>
      </c>
      <c r="K94" s="3" t="inlineStr"/>
    </row>
    <row r="95" ht="22" customHeight="1">
      <c r="A95" s="2" t="inlineStr">
        <is>
          <t>f020804dbf47eeee</t>
        </is>
      </c>
      <c r="B95" s="2" t="inlineStr">
        <is>
          <t>2026-10-13 18:04</t>
        </is>
      </c>
      <c r="C95" s="3" t="inlineStr">
        <is>
          <t>Analista SST / Inspector HSEQ – ¡Oportunidad de traslado a Cartagena!</t>
        </is>
      </c>
      <c r="D95" s="3" t="inlineStr">
        <is>
          <t>Tiempos SAS</t>
        </is>
      </c>
      <c r="E95" s="7" t="n">
        <v>0.58</v>
      </c>
      <c r="F95" s="2" t="inlineStr">
        <is>
          <t>Remoto</t>
        </is>
      </c>
      <c r="G95" s="5">
        <f>HYPERLINK("https://co.computrabajo.com/ofertas-de-trabajo/oferta-de-trabajo-de-analista-sst-inspector-hseq-oportunidad-de-traslado-a-cartagena-reclutamiento-nacional-en-bogota-dc-F589943E3D038C3061373E686DCF3405", "Ver Vacante")</f>
        <v/>
      </c>
      <c r="H95" s="6" t="inlineStr">
        <is>
          <t>$ 4.000.000,00 (Mensual)</t>
        </is>
      </c>
      <c r="I95" s="3" t="inlineStr">
        <is>
          <t>[Afinidad: 58/100 - Afinidad Moderada] Alta coincidencia en gestión de Seguridad y Salud en el Trabajo (SST). Modalidad: 100% Remoto en Colombia confirmado.</t>
        </is>
      </c>
      <c r="J95" s="2" t="inlineStr">
        <is>
          <t>Nueva</t>
        </is>
      </c>
      <c r="K95" s="3" t="inlineStr"/>
    </row>
    <row r="96" ht="22" customHeight="1">
      <c r="A96" s="2" t="inlineStr">
        <is>
          <t>2bd9cab61f3b1dfb</t>
        </is>
      </c>
      <c r="B96" s="2" t="inlineStr">
        <is>
          <t>2026-10-22 15:54</t>
        </is>
      </c>
      <c r="C96" s="3" t="inlineStr">
        <is>
          <t>Analista SIG y HSEQ / Calidad, SST y Ambiental</t>
        </is>
      </c>
      <c r="D96" s="3" t="inlineStr">
        <is>
          <t>Importante empresa del sector</t>
        </is>
      </c>
      <c r="E96" s="7" t="n">
        <v>0.58</v>
      </c>
      <c r="F96" s="2" t="inlineStr">
        <is>
          <t>Remoto</t>
        </is>
      </c>
      <c r="G96" s="5">
        <f>HYPERLINK("https://co.computrabajo.com/ofertas-de-trabajo/oferta-de-trabajo-de-analista-sig-y-hseq-calidad-sst-y-ambiental-bogota-presencial-en-bogota-dc-7BA38AE262A0ACDC61373E686DCF3405", "Ver Vacante")</f>
        <v/>
      </c>
      <c r="H96" s="6" t="inlineStr">
        <is>
          <t>$ 3.500.000,00 (Mensual)</t>
        </is>
      </c>
      <c r="I96" s="3" t="inlineStr">
        <is>
          <t>[Afinidad: 58/100 - Afinidad Moderada] Alta coincidencia en gestión de Seguridad y Salud en el Trabajo (SST). Modalidad: 100% Remoto en Colombia confirmado.</t>
        </is>
      </c>
      <c r="J96" s="2" t="inlineStr">
        <is>
          <t>Nueva</t>
        </is>
      </c>
      <c r="K96" s="3" t="inlineStr"/>
    </row>
    <row r="97" ht="22" customHeight="1">
      <c r="A97" s="2" t="inlineStr">
        <is>
          <t>b1adf833f3af1052</t>
        </is>
      </c>
      <c r="B97" s="2" t="inlineStr">
        <is>
          <t>2026-09-22 03:17</t>
        </is>
      </c>
      <c r="C97" s="3" t="inlineStr">
        <is>
          <t>Coordinador de área ambiental y calidad - líder de sostenibilidad ambiental - ingeniero /hseq</t>
        </is>
      </c>
      <c r="D97" s="3" t="inlineStr">
        <is>
          <t>Confidencial</t>
        </is>
      </c>
      <c r="E97" s="7" t="n">
        <v>0.55</v>
      </c>
      <c r="F97" s="2" t="inlineStr">
        <is>
          <t>Remoto</t>
        </is>
      </c>
      <c r="G97" s="5">
        <f>HYPERLINK("https://www.elempleo.com/co/ofertas-trabajo/coordinador-de-area-ambiental-y-calidad-lider-de-sostenibilidad-ambiental-ingeniero-hseq-1886755446", "Ver Vacante")</f>
        <v/>
      </c>
      <c r="H97" s="6" t="inlineStr"/>
      <c r="I97" s="3" t="inlineStr">
        <is>
          <t>[Afinidad: 55/100 - Afinidad Moderada] Afinidad parcial en seguridad y salud ocupacional. Modalidad: 100% Remoto en Colombia confirmado.</t>
        </is>
      </c>
      <c r="J97" s="2" t="inlineStr">
        <is>
          <t>Nueva</t>
        </is>
      </c>
      <c r="K97" s="3" t="inlineStr"/>
    </row>
    <row r="98" ht="22" customHeight="1">
      <c r="A98" s="2" t="inlineStr">
        <is>
          <t>fc5dd04f5bd144ee</t>
        </is>
      </c>
      <c r="B98" s="2" t="inlineStr">
        <is>
          <t>2026-09-22 03:27</t>
        </is>
      </c>
      <c r="C98" s="3" t="inlineStr">
        <is>
          <t>Fisioterapeuta Especialista en SST</t>
        </is>
      </c>
      <c r="D98" s="3" t="inlineStr">
        <is>
          <t>Gi Group Colombia</t>
        </is>
      </c>
      <c r="E98" s="7" t="n">
        <v>0.55</v>
      </c>
      <c r="F98" s="2" t="inlineStr">
        <is>
          <t>Remoto</t>
        </is>
      </c>
      <c r="G98" s="5">
        <f>HYPERLINK("https://co.computrabajo.com/ofertas-de-trabajo/oferta-de-trabajo-de-fisioterapeuta-especialista-en-sst-en-bogota-dc-076F583656B7841761373E686DCF3405", "Ver Vacante")</f>
        <v/>
      </c>
      <c r="H98" s="6" t="inlineStr">
        <is>
          <t>$ 4.000.000,00 (Mensual)</t>
        </is>
      </c>
      <c r="I98" s="3" t="inlineStr">
        <is>
          <t>[Afinidad: 55/100 - Afinidad Moderada] Afinidad parcial en seguridad y salud ocupacional. Modalidad: 100% Remoto en Colombia confirmado.</t>
        </is>
      </c>
      <c r="J98" s="2" t="inlineStr">
        <is>
          <t>Nueva</t>
        </is>
      </c>
      <c r="K98" s="3" t="inlineStr"/>
    </row>
    <row r="99" ht="22" customHeight="1">
      <c r="A99" s="2" t="inlineStr">
        <is>
          <t>3262fc198936542f</t>
        </is>
      </c>
      <c r="B99" s="2" t="inlineStr">
        <is>
          <t>2026-09-22 05:09</t>
        </is>
      </c>
      <c r="C99" s="3" t="inlineStr">
        <is>
          <t>Ingeniero industrial especialista SST</t>
        </is>
      </c>
      <c r="D99" s="3" t="inlineStr">
        <is>
          <t>ACTIVOS S A S</t>
        </is>
      </c>
      <c r="E99" s="7" t="n">
        <v>0.55</v>
      </c>
      <c r="F99" s="2" t="inlineStr">
        <is>
          <t>Remoto</t>
        </is>
      </c>
      <c r="G99" s="5">
        <f>HYPERLINK("https://co.computrabajo.com/ofertas-de-trabajo/oferta-de-trabajo-de-ingeniero-industrial-especialista-sst-en-yumbo-74CF6CB934E4D36B61373E686DCF3405", "Ver Vacante")</f>
        <v/>
      </c>
      <c r="H99" s="6" t="inlineStr">
        <is>
          <t>$ 4.104.000,00 (Mensual)</t>
        </is>
      </c>
      <c r="I99" s="3" t="inlineStr">
        <is>
          <t>[Afinidad: 55/100 - Afinidad Moderada] Afinidad parcial en seguridad y salud ocupacional. Modalidad: 100% Remoto en Colombia confirmado.</t>
        </is>
      </c>
      <c r="J99" s="2" t="inlineStr">
        <is>
          <t>Nueva</t>
        </is>
      </c>
      <c r="K99" s="3" t="inlineStr"/>
    </row>
    <row r="100" ht="22" customHeight="1">
      <c r="A100" s="2" t="inlineStr">
        <is>
          <t>d2ad2ff9acd6839f</t>
        </is>
      </c>
      <c r="B100" s="2" t="inlineStr">
        <is>
          <t>2026-09-22 05:09</t>
        </is>
      </c>
      <c r="C100" s="3" t="inlineStr">
        <is>
          <t>Ingeniero eléctrico o electrónico Especialista en SST</t>
        </is>
      </c>
      <c r="D100" s="3" t="inlineStr">
        <is>
          <t>ACTIVOS S A S</t>
        </is>
      </c>
      <c r="E100" s="7" t="n">
        <v>0.55</v>
      </c>
      <c r="F100" s="2" t="inlineStr">
        <is>
          <t>Remoto</t>
        </is>
      </c>
      <c r="G100" s="5">
        <f>HYPERLINK("https://co.computrabajo.com/ofertas-de-trabajo/oferta-de-trabajo-de-ingeniero-electrico-o-electronico-especialista-en-sst-en-barranquilla-D72EF1BA5326962B61373E686DCF3405", "Ver Vacante")</f>
        <v/>
      </c>
      <c r="H100" s="6" t="inlineStr">
        <is>
          <t>$ 3.477.600,00 (Mensual)</t>
        </is>
      </c>
      <c r="I100" s="3" t="inlineStr">
        <is>
          <t>[Afinidad: 55/100 - Afinidad Moderada] Afinidad parcial en seguridad y salud ocupacional. Modalidad: 100% Remoto en Colombia confirmado.</t>
        </is>
      </c>
      <c r="J100" s="2" t="inlineStr">
        <is>
          <t>Nueva</t>
        </is>
      </c>
      <c r="K100" s="3" t="inlineStr"/>
    </row>
    <row r="101" ht="22" customHeight="1">
      <c r="A101" s="2" t="inlineStr">
        <is>
          <t>3808b33644911513</t>
        </is>
      </c>
      <c r="B101" s="2" t="inlineStr">
        <is>
          <t>2026-09-22 05:09</t>
        </is>
      </c>
      <c r="C101" s="3" t="inlineStr">
        <is>
          <t>Fisioterapeuta Especialista en SST / Contratacion Inmediata / Empresa de Servicios Ocupacionales</t>
        </is>
      </c>
      <c r="D101" s="3" t="inlineStr">
        <is>
          <t>Contrate S.A.S</t>
        </is>
      </c>
      <c r="E101" s="7" t="n">
        <v>0.55</v>
      </c>
      <c r="F101" s="2" t="inlineStr">
        <is>
          <t>Remoto</t>
        </is>
      </c>
      <c r="G101" s="5">
        <f>HYPERLINK("https://co.computrabajo.com/ofertas-de-trabajo/oferta-de-trabajo-de-fisioterapeuta-especialista-en-sst-contratacion-inmediata-empresa-de-servicios-ocupacionales-bogota-dc-en-bogota-dc-954F6FA5DE8740B761373E686DCF3405", "Ver Vacante")</f>
        <v/>
      </c>
      <c r="H101" s="6" t="inlineStr">
        <is>
          <t>$ 3.500.000,00 (Mensual)</t>
        </is>
      </c>
      <c r="I101" s="3" t="inlineStr">
        <is>
          <t>[Afinidad: 55/100 - Afinidad Moderada] Afinidad parcial en seguridad y salud ocupacional. Modalidad: 100% Remoto en Colombia confirmado.</t>
        </is>
      </c>
      <c r="J101" s="2" t="inlineStr">
        <is>
          <t>Nueva</t>
        </is>
      </c>
      <c r="K101" s="3" t="inlineStr"/>
    </row>
    <row r="102" ht="22" customHeight="1">
      <c r="A102" s="2" t="inlineStr">
        <is>
          <t>286ae83bbe142964</t>
        </is>
      </c>
      <c r="B102" s="2" t="inlineStr">
        <is>
          <t>2026-09-22 05:09</t>
        </is>
      </c>
      <c r="C102" s="3" t="inlineStr">
        <is>
          <t>Optómetra Especialista en SST / Contratacion Inmediata / Empresa de Servicios Ocupacionales</t>
        </is>
      </c>
      <c r="D102" s="3" t="inlineStr">
        <is>
          <t>Contrate S.A.S</t>
        </is>
      </c>
      <c r="E102" s="7" t="n">
        <v>0.55</v>
      </c>
      <c r="F102" s="2" t="inlineStr">
        <is>
          <t>Remoto</t>
        </is>
      </c>
      <c r="G102" s="5">
        <f>HYPERLINK("https://co.computrabajo.com/ofertas-de-trabajo/oferta-de-trabajo-de-optometra-especialista-en-sst-contratacion-inmediata-empresa-de-servicios-ocupacionales-medellin-area-metropolitana-en-medellin-D831B69F40C7F74661373E686DCF3405", "Ver Vacante")</f>
        <v/>
      </c>
      <c r="H102" s="6" t="inlineStr">
        <is>
          <t>$ 4.800.000,00 (Mensual)</t>
        </is>
      </c>
      <c r="I102" s="3" t="inlineStr">
        <is>
          <t>[Afinidad: 55/100 - Afinidad Moderada] Afinidad parcial en seguridad y salud ocupacional. Modalidad: 100% Remoto en Colombia confirmado.</t>
        </is>
      </c>
      <c r="J102" s="2" t="inlineStr">
        <is>
          <t>Nueva</t>
        </is>
      </c>
      <c r="K102" s="3" t="inlineStr"/>
    </row>
    <row r="103" ht="22" customHeight="1">
      <c r="A103" s="2" t="inlineStr">
        <is>
          <t>076e18f5f418f801</t>
        </is>
      </c>
      <c r="B103" s="2" t="inlineStr">
        <is>
          <t>2026-09-22 05:09</t>
        </is>
      </c>
      <c r="C103" s="3" t="inlineStr">
        <is>
          <t>Fonoaudiólogo(a) Especialista en SST</t>
        </is>
      </c>
      <c r="D103" s="3" t="inlineStr">
        <is>
          <t>Colmedicos S.A.S</t>
        </is>
      </c>
      <c r="E103" s="7" t="n">
        <v>0.55</v>
      </c>
      <c r="F103" s="2" t="inlineStr">
        <is>
          <t>Remoto</t>
        </is>
      </c>
      <c r="G103" s="5">
        <f>HYPERLINK("https://co.computrabajo.com/ofertas-de-trabajo/oferta-de-trabajo-de-fonoaudiologoa-especialista-en-sst-medellin-medio-tiempo-en-medellin-D90159B0E2B69D2361373E686DCF3405", "Ver Vacante")</f>
        <v/>
      </c>
      <c r="H103" s="6" t="inlineStr">
        <is>
          <t>$ 1.805.000,00 (Mensual)</t>
        </is>
      </c>
      <c r="I103" s="3" t="inlineStr">
        <is>
          <t>[Afinidad: 55/100 - Afinidad Moderada] Afinidad parcial en seguridad y salud ocupacional. Modalidad: 100% Remoto en Colombia confirmado.</t>
        </is>
      </c>
      <c r="J103" s="2" t="inlineStr">
        <is>
          <t>Nueva</t>
        </is>
      </c>
      <c r="K103" s="3" t="inlineStr"/>
    </row>
    <row r="104" ht="22" customHeight="1">
      <c r="A104" s="2" t="inlineStr">
        <is>
          <t>e8acf791a5020cbe</t>
        </is>
      </c>
      <c r="B104" s="2" t="inlineStr">
        <is>
          <t>2026-09-22 05:09</t>
        </is>
      </c>
      <c r="C104" s="3" t="inlineStr">
        <is>
          <t>Fisioterapeuta especialista SST</t>
        </is>
      </c>
      <c r="D104" s="3" t="inlineStr">
        <is>
          <t>Importante empresa del sector</t>
        </is>
      </c>
      <c r="E104" s="7" t="n">
        <v>0.55</v>
      </c>
      <c r="F104" s="2" t="inlineStr">
        <is>
          <t>Remoto</t>
        </is>
      </c>
      <c r="G104" s="5">
        <f>HYPERLINK("https://co.computrabajo.com/ofertas-de-trabajo/oferta-de-trabajo-de-fisioterapeuta-especialista-sst-bogota-en-bogota-dc-3627E6618E738BBF61373E686DCF3405", "Ver Vacante")</f>
        <v/>
      </c>
      <c r="H104" s="6" t="inlineStr"/>
      <c r="I104" s="3" t="inlineStr">
        <is>
          <t>[Afinidad: 55/100 - Afinidad Moderada] Afinidad parcial en seguridad y salud ocupacional. Modalidad: 100% Remoto en Colombia confirmado.</t>
        </is>
      </c>
      <c r="J104" s="2" t="inlineStr">
        <is>
          <t>Nueva</t>
        </is>
      </c>
      <c r="K104" s="3" t="inlineStr"/>
    </row>
    <row r="105" ht="22" customHeight="1">
      <c r="A105" s="2" t="inlineStr">
        <is>
          <t>2695132e0a8dfc40</t>
        </is>
      </c>
      <c r="B105" s="2" t="inlineStr">
        <is>
          <t>2026-09-22 05:09</t>
        </is>
      </c>
      <c r="C105" s="3" t="inlineStr">
        <is>
          <t>Ingeniero/a químico/a especialista en SST</t>
        </is>
      </c>
      <c r="D105" s="3" t="inlineStr">
        <is>
          <t>AGENCIA DE EMPLEO COMFAMA</t>
        </is>
      </c>
      <c r="E105" s="7" t="n">
        <v>0.55</v>
      </c>
      <c r="F105" s="2" t="inlineStr">
        <is>
          <t>Remoto</t>
        </is>
      </c>
      <c r="G105" s="5">
        <f>HYPERLINK("https://co.computrabajo.com/ofertas-de-trabajo/oferta-de-trabajo-de-ingenieroa-quimicoa-especialista-en-sst-en-medellin-A54414235252C3E061373E686DCF3405", "Ver Vacante")</f>
        <v/>
      </c>
      <c r="H105" s="6" t="inlineStr">
        <is>
          <t>$ 5.040.000,00 (Mensual)</t>
        </is>
      </c>
      <c r="I105" s="3" t="inlineStr">
        <is>
          <t>[Afinidad: 55/100 - Afinidad Moderada] Afinidad parcial en seguridad y salud ocupacional. Modalidad: 100% Remoto en Colombia confirmado.</t>
        </is>
      </c>
      <c r="J105" s="2" t="inlineStr">
        <is>
          <t>Nueva</t>
        </is>
      </c>
      <c r="K105" s="3" t="inlineStr"/>
    </row>
    <row r="106" ht="22" customHeight="1">
      <c r="A106" s="2" t="inlineStr">
        <is>
          <t>1c1d8e4983dc33f4</t>
        </is>
      </c>
      <c r="B106" s="2" t="inlineStr">
        <is>
          <t>2026-09-22 05:09</t>
        </is>
      </c>
      <c r="C106" s="3" t="inlineStr">
        <is>
          <t>Ingeniero ambiental Especialista SST</t>
        </is>
      </c>
      <c r="D106" s="3" t="inlineStr">
        <is>
          <t>Importante empresa del sector</t>
        </is>
      </c>
      <c r="E106" s="7" t="n">
        <v>0.55</v>
      </c>
      <c r="F106" s="2" t="inlineStr">
        <is>
          <t>Remoto</t>
        </is>
      </c>
      <c r="G106" s="5">
        <f>HYPERLINK("https://co.computrabajo.com/ofertas-de-trabajo/oferta-de-trabajo-de-ingeniero-ambiental-especialista-sst-en-itagui-DCE95A795F77267C61373E686DCF3405", "Ver Vacante")</f>
        <v/>
      </c>
      <c r="H106" s="6" t="inlineStr">
        <is>
          <t>$ 4.000.000,00 (Mensual)</t>
        </is>
      </c>
      <c r="I106" s="3" t="inlineStr">
        <is>
          <t>[Afinidad: 55/100 - Afinidad Moderada] Afinidad parcial en seguridad y salud ocupacional. Modalidad: 100% Remoto en Colombia confirmado.</t>
        </is>
      </c>
      <c r="J106" s="2" t="inlineStr">
        <is>
          <t>Nueva</t>
        </is>
      </c>
      <c r="K106" s="3" t="inlineStr"/>
    </row>
    <row r="107" ht="22" customHeight="1">
      <c r="A107" s="2" t="inlineStr">
        <is>
          <t>7a6cd20b57cbdef4</t>
        </is>
      </c>
      <c r="B107" s="2" t="inlineStr">
        <is>
          <t>2026-09-22 05:09</t>
        </is>
      </c>
      <c r="C107" s="3" t="inlineStr">
        <is>
          <t>Coordinador de SST</t>
        </is>
      </c>
      <c r="D107" s="3" t="inlineStr">
        <is>
          <t>PERSOM S.A.S</t>
        </is>
      </c>
      <c r="E107" s="7" t="n">
        <v>0.55</v>
      </c>
      <c r="F107" s="2" t="inlineStr">
        <is>
          <t>Remoto</t>
        </is>
      </c>
      <c r="G107" s="5">
        <f>HYPERLINK("https://co.computrabajo.com/ofertas-de-trabajo/oferta-de-trabajo-de-coordinador-de-sst-en-bogota-dc-F63CA2164CED78C361373E686DCF3405", "Ver Vacante")</f>
        <v/>
      </c>
      <c r="H107" s="6" t="inlineStr">
        <is>
          <t>$ 3.257.687,00 (Mensual)</t>
        </is>
      </c>
      <c r="I107" s="3" t="inlineStr">
        <is>
          <t>[Afinidad: 55/100 - Afinidad Moderada] Afinidad parcial en seguridad y salud ocupacional. Modalidad: 100% Remoto en Colombia confirmado.</t>
        </is>
      </c>
      <c r="J107" s="2" t="inlineStr">
        <is>
          <t>Nueva</t>
        </is>
      </c>
      <c r="K107" s="3" t="inlineStr"/>
    </row>
    <row r="108" ht="22" customHeight="1">
      <c r="A108" s="2" t="inlineStr">
        <is>
          <t>215938c628e41120</t>
        </is>
      </c>
      <c r="B108" s="2" t="inlineStr">
        <is>
          <t>2026-09-22 05:09</t>
        </is>
      </c>
      <c r="C108" s="3" t="inlineStr">
        <is>
          <t>Ingeniero Civil proyectos Infraestructura</t>
        </is>
      </c>
      <c r="D108" s="3" t="inlineStr">
        <is>
          <t>Eficacia</t>
        </is>
      </c>
      <c r="E108" s="7" t="n">
        <v>0.55</v>
      </c>
      <c r="F108" s="2" t="inlineStr">
        <is>
          <t>Remoto</t>
        </is>
      </c>
      <c r="G108" s="5">
        <f>HYPERLINK("https://co.computrabajo.com/ofertas-de-trabajo/oferta-de-trabajo-de-ingeniero-civil-proyectos-infraestructura-cali-valle-en-cali-03949569B6DE5E3061373E686DCF3405", "Ver Vacante")</f>
        <v/>
      </c>
      <c r="H108" s="6" t="inlineStr">
        <is>
          <t>$ 1.750.000,00 (Mensual)</t>
        </is>
      </c>
      <c r="I108" s="3" t="inlineStr">
        <is>
          <t>[Afinidad: 55/100 - Afinidad Moderada] Afinidad parcial en infraestructura vial y transporte. Modalidad: 100% Remoto en Colombia confirmado.</t>
        </is>
      </c>
      <c r="J108" s="2" t="inlineStr">
        <is>
          <t>Nueva</t>
        </is>
      </c>
      <c r="K108" s="3" t="inlineStr"/>
    </row>
    <row r="109" ht="22" customHeight="1">
      <c r="A109" s="2" t="inlineStr">
        <is>
          <t>d40d792e0c65305f</t>
        </is>
      </c>
      <c r="B109" s="2" t="inlineStr">
        <is>
          <t>2026-09-22 05:09</t>
        </is>
      </c>
      <c r="C109" s="3" t="inlineStr">
        <is>
          <t>Coordinador de área ambiental y calidad - líder de sostenibilidad ambiental - ingeniero /hseq</t>
        </is>
      </c>
      <c r="D109" s="3" t="inlineStr">
        <is>
          <t>Confidencial</t>
        </is>
      </c>
      <c r="E109" s="7" t="n">
        <v>0.55</v>
      </c>
      <c r="F109" s="2" t="inlineStr">
        <is>
          <t>Remoto</t>
        </is>
      </c>
      <c r="G109" s="5">
        <f>HYPERLINK("https://www.elempleo.com/co/ofertas-trabajo/coordinador-de-area-ambiental-y-calidad-lider-de-sostenibilidad-ambiental-ingeniero-hseq-1886755446", "Ver Vacante")</f>
        <v/>
      </c>
      <c r="H109" s="6" t="inlineStr"/>
      <c r="I109" s="3" t="inlineStr">
        <is>
          <t>[Afinidad: 55/100 - Afinidad Moderada] Afinidad parcial en seguridad y salud ocupacional. Modalidad: 100% Remoto en Colombia confirmado.</t>
        </is>
      </c>
      <c r="J109" s="2" t="inlineStr">
        <is>
          <t>Nueva</t>
        </is>
      </c>
      <c r="K109" s="3" t="inlineStr"/>
    </row>
    <row r="110" ht="22" customHeight="1">
      <c r="A110" s="2" t="inlineStr">
        <is>
          <t>5333f11a5d9ddaf0</t>
        </is>
      </c>
      <c r="B110" s="2" t="inlineStr">
        <is>
          <t>2026-09-22 05:09</t>
        </is>
      </c>
      <c r="C110" s="3" t="inlineStr">
        <is>
          <t>Cali -consultor psicólogo especialista sst independiente</t>
        </is>
      </c>
      <c r="D110" s="3" t="inlineStr">
        <is>
          <t>Confidencial</t>
        </is>
      </c>
      <c r="E110" s="7" t="n">
        <v>0.55</v>
      </c>
      <c r="F110" s="2" t="inlineStr">
        <is>
          <t>Remoto</t>
        </is>
      </c>
      <c r="G110" s="5">
        <f>HYPERLINK("https://www.elempleo.com/co/ofertas-trabajo/cali-consultor-psicologo-especialista-sst-independiente-1886768154", "Ver Vacante")</f>
        <v/>
      </c>
      <c r="H110" s="6" t="inlineStr"/>
      <c r="I110" s="3" t="inlineStr">
        <is>
          <t>[Afinidad: 55/100 - Afinidad Moderada] Afinidad parcial en seguridad y salud ocupacional. Modalidad: 100% Remoto en Colombia confirmado.</t>
        </is>
      </c>
      <c r="J110" s="2" t="inlineStr">
        <is>
          <t>Nueva</t>
        </is>
      </c>
      <c r="K110" s="3" t="inlineStr"/>
    </row>
    <row r="111" ht="22" customHeight="1">
      <c r="A111" s="2" t="inlineStr">
        <is>
          <t>c2ab1be2d87d56da</t>
        </is>
      </c>
      <c r="B111" s="2" t="inlineStr">
        <is>
          <t>2026-09-22 05:09</t>
        </is>
      </c>
      <c r="C111" s="3" t="inlineStr">
        <is>
          <t>Cali -consultor psicólogo especialista sst independiente</t>
        </is>
      </c>
      <c r="D111" s="3" t="inlineStr">
        <is>
          <t>Confidencial</t>
        </is>
      </c>
      <c r="E111" s="7" t="n">
        <v>0.55</v>
      </c>
      <c r="F111" s="2" t="inlineStr">
        <is>
          <t>Remoto</t>
        </is>
      </c>
      <c r="G111" s="5">
        <f>HYPERLINK("https://www.elempleo.com/co/ofertas-trabajo/cali-consultor-psicologo-especialista-sst-independiente-1886745046", "Ver Vacante")</f>
        <v/>
      </c>
      <c r="H111" s="6" t="inlineStr"/>
      <c r="I111" s="3" t="inlineStr">
        <is>
          <t>[Afinidad: 55/100 - Afinidad Moderada] Afinidad parcial en seguridad y salud ocupacional. Modalidad: 100% Remoto en Colombia confirmado.</t>
        </is>
      </c>
      <c r="J111" s="2" t="inlineStr">
        <is>
          <t>Nueva</t>
        </is>
      </c>
      <c r="K111" s="3" t="inlineStr"/>
    </row>
    <row r="112" ht="22" customHeight="1">
      <c r="A112" s="2" t="inlineStr">
        <is>
          <t>b2e965ef992d7e0c</t>
        </is>
      </c>
      <c r="B112" s="2" t="inlineStr">
        <is>
          <t>2026-09-22 05:09</t>
        </is>
      </c>
      <c r="C112" s="3" t="inlineStr">
        <is>
          <t>Cali -consultor psicólogo especialista sst independiente</t>
        </is>
      </c>
      <c r="D112" s="3" t="inlineStr">
        <is>
          <t>Confidencial</t>
        </is>
      </c>
      <c r="E112" s="7" t="n">
        <v>0.55</v>
      </c>
      <c r="F112" s="2" t="inlineStr">
        <is>
          <t>Remoto</t>
        </is>
      </c>
      <c r="G112" s="5">
        <f>HYPERLINK("https://www.elempleo.com/co/ofertas-trabajo/cali-consultor-psicologo-especialista-sst-independiente-1886760591", "Ver Vacante")</f>
        <v/>
      </c>
      <c r="H112" s="6" t="inlineStr"/>
      <c r="I112" s="3" t="inlineStr">
        <is>
          <t>[Afinidad: 55/100 - Afinidad Moderada] Afinidad parcial en seguridad y salud ocupacional. Modalidad: 100% Remoto en Colombia confirmado.</t>
        </is>
      </c>
      <c r="J112" s="2" t="inlineStr">
        <is>
          <t>Nueva</t>
        </is>
      </c>
      <c r="K112" s="3" t="inlineStr"/>
    </row>
    <row r="113" ht="22" customHeight="1">
      <c r="A113" s="2" t="inlineStr">
        <is>
          <t>e59c6b77c6fb31ec</t>
        </is>
      </c>
      <c r="B113" s="2" t="inlineStr">
        <is>
          <t>2026-09-22 05:09</t>
        </is>
      </c>
      <c r="C113" s="3" t="inlineStr">
        <is>
          <t>Ingeniero químico especialista en sst - bogotá</t>
        </is>
      </c>
      <c r="D113" s="3" t="inlineStr">
        <is>
          <t>Quirón Prevención Colombia S.A.S</t>
        </is>
      </c>
      <c r="E113" s="7" t="n">
        <v>0.55</v>
      </c>
      <c r="F113" s="2" t="inlineStr">
        <is>
          <t>Remoto</t>
        </is>
      </c>
      <c r="G113" s="5">
        <f>HYPERLINK("https://www.elempleo.com/co/ofertas-trabajo/ingeniero-quimico-especialista-en-sst-bogota-1886699816", "Ver Vacante")</f>
        <v/>
      </c>
      <c r="H113" s="6" t="inlineStr"/>
      <c r="I113" s="3" t="inlineStr">
        <is>
          <t>[Afinidad: 55/100 - Afinidad Moderada] Afinidad parcial en seguridad y salud ocupacional. Modalidad: 100% Remoto en Colombia confirmado.</t>
        </is>
      </c>
      <c r="J113" s="2" t="inlineStr">
        <is>
          <t>Nueva</t>
        </is>
      </c>
      <c r="K113" s="3" t="inlineStr"/>
    </row>
    <row r="114" ht="22" customHeight="1">
      <c r="A114" s="2" t="inlineStr">
        <is>
          <t>631acc8f85eaeeff</t>
        </is>
      </c>
      <c r="B114" s="2" t="inlineStr">
        <is>
          <t>2026-09-22 05:09</t>
        </is>
      </c>
      <c r="C114" s="3" t="inlineStr">
        <is>
          <t>Psicólogo especialista en sst</t>
        </is>
      </c>
      <c r="D114" s="3" t="inlineStr">
        <is>
          <t>Quirón Prevención Colombia S.A.S</t>
        </is>
      </c>
      <c r="E114" s="7" t="n">
        <v>0.55</v>
      </c>
      <c r="F114" s="2" t="inlineStr">
        <is>
          <t>Remoto</t>
        </is>
      </c>
      <c r="G114" s="5">
        <f>HYPERLINK("https://www.elempleo.com/co/ofertas-trabajo/psicologo-especialista-en-sst-bogota-1886758005", "Ver Vacante")</f>
        <v/>
      </c>
      <c r="H114" s="6" t="inlineStr"/>
      <c r="I114" s="3" t="inlineStr">
        <is>
          <t>[Afinidad: 55/100 - Afinidad Moderada] Afinidad parcial en seguridad y salud ocupacional. Modalidad: 100% Remoto en Colombia confirmado.</t>
        </is>
      </c>
      <c r="J114" s="2" t="inlineStr">
        <is>
          <t>Nueva</t>
        </is>
      </c>
      <c r="K114" s="3" t="inlineStr"/>
    </row>
    <row r="115" ht="22" customHeight="1">
      <c r="A115" s="2" t="inlineStr">
        <is>
          <t>7c17015bfac36a33</t>
        </is>
      </c>
      <c r="B115" s="2" t="inlineStr">
        <is>
          <t>2026-09-22 05:09</t>
        </is>
      </c>
      <c r="C115" s="3" t="inlineStr">
        <is>
          <t>Coordinador de proyectos en sst</t>
        </is>
      </c>
      <c r="D115" s="3" t="inlineStr">
        <is>
          <t>ACL</t>
        </is>
      </c>
      <c r="E115" s="7" t="n">
        <v>0.55</v>
      </c>
      <c r="F115" s="2" t="inlineStr">
        <is>
          <t>Remoto</t>
        </is>
      </c>
      <c r="G115" s="5">
        <f>HYPERLINK("https://www.elempleo.com/co/ofertas-trabajo/coordinador-de-proyectos-en-sst-1886754005", "Ver Vacante")</f>
        <v/>
      </c>
      <c r="H115" s="6" t="inlineStr"/>
      <c r="I115" s="3" t="inlineStr">
        <is>
          <t>[Afinidad: 55/100 - Afinidad Moderada] Afinidad parcial en seguridad y salud ocupacional. Modalidad: 100% Remoto en Colombia confirmado.</t>
        </is>
      </c>
      <c r="J115" s="2" t="inlineStr">
        <is>
          <t>Nueva</t>
        </is>
      </c>
      <c r="K115" s="3" t="inlineStr"/>
    </row>
    <row r="116" ht="22" customHeight="1">
      <c r="A116" s="2" t="inlineStr">
        <is>
          <t>4b4069b9dca6e119</t>
        </is>
      </c>
      <c r="B116" s="2" t="inlineStr">
        <is>
          <t>2026-09-22 05:09</t>
        </is>
      </c>
      <c r="C116" s="3" t="inlineStr">
        <is>
          <t>Profesional sst especialista sst 627556</t>
        </is>
      </c>
      <c r="D116" s="3" t="inlineStr">
        <is>
          <t>JOBANDTALENT CO SAS</t>
        </is>
      </c>
      <c r="E116" s="7" t="n">
        <v>0.55</v>
      </c>
      <c r="F116" s="2" t="inlineStr">
        <is>
          <t>Remoto</t>
        </is>
      </c>
      <c r="G116" s="5">
        <f>HYPERLINK("https://www.elempleo.com/co/ofertas-trabajo/profesional-sst-especialista-sst-627556-1886739219", "Ver Vacante")</f>
        <v/>
      </c>
      <c r="H116" s="6" t="inlineStr"/>
      <c r="I116" s="3" t="inlineStr">
        <is>
          <t>[Afinidad: 55/100 - Afinidad Moderada] Afinidad parcial en seguridad y salud ocupacional. Modalidad: 100% Remoto en Colombia confirmado.</t>
        </is>
      </c>
      <c r="J116" s="2" t="inlineStr">
        <is>
          <t>Nueva</t>
        </is>
      </c>
      <c r="K116" s="3" t="inlineStr"/>
    </row>
    <row r="117" ht="22" customHeight="1">
      <c r="A117" s="2" t="inlineStr">
        <is>
          <t>1857f57b4d01d529</t>
        </is>
      </c>
      <c r="B117" s="2" t="inlineStr">
        <is>
          <t>2026-09-22 05:09</t>
        </is>
      </c>
      <c r="C117" s="3" t="inlineStr">
        <is>
          <t>Especialista sst regional</t>
        </is>
      </c>
      <c r="D117" s="3" t="inlineStr">
        <is>
          <t>D1 SAS</t>
        </is>
      </c>
      <c r="E117" s="7" t="n">
        <v>0.55</v>
      </c>
      <c r="F117" s="2" t="inlineStr">
        <is>
          <t>Remoto</t>
        </is>
      </c>
      <c r="G117" s="5">
        <f>HYPERLINK("https://www.elempleo.com/co/ofertas-trabajo/especialista-sst-regional-1886755260", "Ver Vacante")</f>
        <v/>
      </c>
      <c r="H117" s="6" t="inlineStr"/>
      <c r="I117" s="3" t="inlineStr">
        <is>
          <t>[Afinidad: 55/100 - Afinidad Moderada] Afinidad parcial en seguridad y salud ocupacional. Modalidad: 100% Remoto en Colombia confirmado.</t>
        </is>
      </c>
      <c r="J117" s="2" t="inlineStr">
        <is>
          <t>Nueva</t>
        </is>
      </c>
      <c r="K117" s="3" t="inlineStr"/>
    </row>
    <row r="118" ht="22" customHeight="1">
      <c r="A118" s="2" t="inlineStr">
        <is>
          <t>bedbbc3d1eb04d51</t>
        </is>
      </c>
      <c r="B118" s="2" t="inlineStr">
        <is>
          <t>2026-09-22 05:09</t>
        </is>
      </c>
      <c r="C118" s="3" t="inlineStr">
        <is>
          <t>Ingeniero industrial especialista en sst - bogotá</t>
        </is>
      </c>
      <c r="D118" s="3" t="inlineStr">
        <is>
          <t>Quirón Prevención Colombia S.A.S</t>
        </is>
      </c>
      <c r="E118" s="7" t="n">
        <v>0.55</v>
      </c>
      <c r="F118" s="2" t="inlineStr">
        <is>
          <t>Remoto</t>
        </is>
      </c>
      <c r="G118" s="5">
        <f>HYPERLINK("https://www.elempleo.com/co/ofertas-trabajo/ingeniero-industrial-especialista-en-sst-bogota-1886769067", "Ver Vacante")</f>
        <v/>
      </c>
      <c r="H118" s="6" t="inlineStr"/>
      <c r="I118" s="3" t="inlineStr">
        <is>
          <t>[Afinidad: 55/100 - Afinidad Moderada] Afinidad parcial en seguridad y salud ocupacional. Modalidad: 100% Remoto en Colombia confirmado.</t>
        </is>
      </c>
      <c r="J118" s="2" t="inlineStr">
        <is>
          <t>Nueva</t>
        </is>
      </c>
      <c r="K118" s="3" t="inlineStr"/>
    </row>
    <row r="119" ht="22" customHeight="1">
      <c r="A119" s="2" t="inlineStr">
        <is>
          <t>32bbd9adcf2cf897</t>
        </is>
      </c>
      <c r="B119" s="2" t="inlineStr">
        <is>
          <t>2026-09-22 05:09</t>
        </is>
      </c>
      <c r="C119" s="3" t="inlineStr">
        <is>
          <t>Psicóloga especialista sst medellin</t>
        </is>
      </c>
      <c r="D119" s="3" t="inlineStr">
        <is>
          <t>CROMA MEDICAL IPS SAS</t>
        </is>
      </c>
      <c r="E119" s="7" t="n">
        <v>0.55</v>
      </c>
      <c r="F119" s="2" t="inlineStr">
        <is>
          <t>Remoto</t>
        </is>
      </c>
      <c r="G119" s="5">
        <f>HYPERLINK("https://www.elempleo.com/co/ofertas-trabajo/psicologa-especialista-sst-medellin-1886760695", "Ver Vacante")</f>
        <v/>
      </c>
      <c r="H119" s="6" t="inlineStr"/>
      <c r="I119" s="3" t="inlineStr">
        <is>
          <t>[Afinidad: 55/100 - Afinidad Moderada] Afinidad parcial en seguridad y salud ocupacional. Modalidad: 100% Remoto en Colombia confirmado.</t>
        </is>
      </c>
      <c r="J119" s="2" t="inlineStr">
        <is>
          <t>Nueva</t>
        </is>
      </c>
      <c r="K119" s="3" t="inlineStr"/>
    </row>
    <row r="120" ht="22" customHeight="1">
      <c r="A120" s="2" t="inlineStr">
        <is>
          <t>515ba58295e9ed62</t>
        </is>
      </c>
      <c r="B120" s="2" t="inlineStr">
        <is>
          <t>2026-09-22 05:09</t>
        </is>
      </c>
      <c r="C120" s="3" t="inlineStr">
        <is>
          <t>Barranquilla - consultor psicólogo especialista sst independiente</t>
        </is>
      </c>
      <c r="D120" s="3" t="inlineStr">
        <is>
          <t>Confidencial</t>
        </is>
      </c>
      <c r="E120" s="7" t="n">
        <v>0.55</v>
      </c>
      <c r="F120" s="2" t="inlineStr">
        <is>
          <t>Remoto</t>
        </is>
      </c>
      <c r="G120" s="5">
        <f>HYPERLINK("https://www.elempleo.com/co/ofertas-trabajo/barranquilla-consultor-psicologo-especialista-sst-independiente-1886751100", "Ver Vacante")</f>
        <v/>
      </c>
      <c r="H120" s="6" t="inlineStr"/>
      <c r="I120" s="3" t="inlineStr">
        <is>
          <t>[Afinidad: 55/100 - Afinidad Moderada] Afinidad parcial en seguridad y salud ocupacional. Modalidad: 100% Remoto en Colombia confirmado.</t>
        </is>
      </c>
      <c r="J120" s="2" t="inlineStr">
        <is>
          <t>Nueva</t>
        </is>
      </c>
      <c r="K120" s="3" t="inlineStr"/>
    </row>
    <row r="121" ht="22" customHeight="1">
      <c r="A121" s="2" t="inlineStr">
        <is>
          <t>c4d1af7d4b175e9c</t>
        </is>
      </c>
      <c r="B121" s="2" t="inlineStr">
        <is>
          <t>2026-09-22 05:09</t>
        </is>
      </c>
      <c r="C121" s="3" t="inlineStr">
        <is>
          <t>Cali -consultor psicólogo especialista sst independiente</t>
        </is>
      </c>
      <c r="D121" s="3" t="inlineStr">
        <is>
          <t>Confidencial</t>
        </is>
      </c>
      <c r="E121" s="7" t="n">
        <v>0.55</v>
      </c>
      <c r="F121" s="2" t="inlineStr">
        <is>
          <t>Remoto</t>
        </is>
      </c>
      <c r="G121" s="5">
        <f>HYPERLINK("https://www.elempleo.com/co/ofertas-trabajo/cali-consultor-psicologo-especialista-sst-independiente-1886765207", "Ver Vacante")</f>
        <v/>
      </c>
      <c r="H121" s="6" t="inlineStr"/>
      <c r="I121" s="3" t="inlineStr">
        <is>
          <t>[Afinidad: 55/100 - Afinidad Moderada] Afinidad parcial en seguridad y salud ocupacional. Modalidad: 100% Remoto en Colombia confirmado.</t>
        </is>
      </c>
      <c r="J121" s="2" t="inlineStr">
        <is>
          <t>Nueva</t>
        </is>
      </c>
      <c r="K121" s="3" t="inlineStr"/>
    </row>
    <row r="122" ht="22" customHeight="1">
      <c r="A122" s="2" t="inlineStr">
        <is>
          <t>5c1c43e8151646eb</t>
        </is>
      </c>
      <c r="B122" s="2" t="inlineStr">
        <is>
          <t>2026-09-22 05:09</t>
        </is>
      </c>
      <c r="C122" s="3" t="inlineStr">
        <is>
          <t>Cartagena -consultor psicólogo especialista sst independiente</t>
        </is>
      </c>
      <c r="D122" s="3" t="inlineStr">
        <is>
          <t>Confidencial</t>
        </is>
      </c>
      <c r="E122" s="7" t="n">
        <v>0.55</v>
      </c>
      <c r="F122" s="2" t="inlineStr">
        <is>
          <t>Remoto</t>
        </is>
      </c>
      <c r="G122" s="5">
        <f>HYPERLINK("https://www.elempleo.com/co/ofertas-trabajo/cartagena-consultor-psicologo-especialista-sst-independiente-1886764943", "Ver Vacante")</f>
        <v/>
      </c>
      <c r="H122" s="6" t="inlineStr"/>
      <c r="I122" s="3" t="inlineStr">
        <is>
          <t>[Afinidad: 55/100 - Afinidad Moderada] Afinidad parcial en seguridad y salud ocupacional. Modalidad: 100% Remoto en Colombia confirmado.</t>
        </is>
      </c>
      <c r="J122" s="2" t="inlineStr">
        <is>
          <t>Nueva</t>
        </is>
      </c>
      <c r="K122" s="3" t="inlineStr"/>
    </row>
    <row r="123" ht="22" customHeight="1">
      <c r="A123" s="2" t="inlineStr">
        <is>
          <t>8b77e05e299277ac</t>
        </is>
      </c>
      <c r="B123" s="2" t="inlineStr">
        <is>
          <t>2026-09-22 05:09</t>
        </is>
      </c>
      <c r="C123" s="3" t="inlineStr">
        <is>
          <t>Bogota- psicólogo especialista sst consultor independiente</t>
        </is>
      </c>
      <c r="D123" s="3" t="inlineStr">
        <is>
          <t>Confidencial</t>
        </is>
      </c>
      <c r="E123" s="7" t="n">
        <v>0.55</v>
      </c>
      <c r="F123" s="2" t="inlineStr">
        <is>
          <t>Remoto</t>
        </is>
      </c>
      <c r="G123" s="5">
        <f>HYPERLINK("https://www.elempleo.com/co/ofertas-trabajo/bogota-psicologo-especialista-sst-consultor-independiente-1886769274", "Ver Vacante")</f>
        <v/>
      </c>
      <c r="H123" s="6" t="inlineStr"/>
      <c r="I123" s="3" t="inlineStr">
        <is>
          <t>[Afinidad: 55/100 - Afinidad Moderada] Afinidad parcial en seguridad y salud ocupacional. Modalidad: 100% Remoto en Colombia confirmado.</t>
        </is>
      </c>
      <c r="J123" s="2" t="inlineStr">
        <is>
          <t>Nueva</t>
        </is>
      </c>
      <c r="K123" s="3" t="inlineStr"/>
    </row>
    <row r="124" ht="22" customHeight="1">
      <c r="A124" s="2" t="inlineStr">
        <is>
          <t>caec2bc618b7c929</t>
        </is>
      </c>
      <c r="B124" s="2" t="inlineStr">
        <is>
          <t>2026-09-22 05:09</t>
        </is>
      </c>
      <c r="C124" s="3" t="inlineStr">
        <is>
          <t>Barranquilla - consultor psicólogo especialista sst independiente</t>
        </is>
      </c>
      <c r="D124" s="3" t="inlineStr">
        <is>
          <t>Confidencial</t>
        </is>
      </c>
      <c r="E124" s="7" t="n">
        <v>0.55</v>
      </c>
      <c r="F124" s="2" t="inlineStr">
        <is>
          <t>Remoto</t>
        </is>
      </c>
      <c r="G124" s="5">
        <f>HYPERLINK("https://www.elempleo.com/co/ofertas-trabajo/barranquilla-consultor-psicologo-especialista-sst-independiente-1886763915", "Ver Vacante")</f>
        <v/>
      </c>
      <c r="H124" s="6" t="inlineStr"/>
      <c r="I124" s="3" t="inlineStr">
        <is>
          <t>[Afinidad: 55/100 - Afinidad Moderada] Afinidad parcial en seguridad y salud ocupacional. Modalidad: 100% Remoto en Colombia confirmado.</t>
        </is>
      </c>
      <c r="J124" s="2" t="inlineStr">
        <is>
          <t>Nueva</t>
        </is>
      </c>
      <c r="K124" s="3" t="inlineStr"/>
    </row>
    <row r="125" ht="22" customHeight="1">
      <c r="A125" s="2" t="inlineStr">
        <is>
          <t>3cd4840075db8bba</t>
        </is>
      </c>
      <c r="B125" s="2" t="inlineStr">
        <is>
          <t>2026-09-22 05:09</t>
        </is>
      </c>
      <c r="C125" s="3" t="inlineStr">
        <is>
          <t>Barranquilla - consultor psicólogo especialista sst independiente</t>
        </is>
      </c>
      <c r="D125" s="3" t="inlineStr">
        <is>
          <t>Confidencial</t>
        </is>
      </c>
      <c r="E125" s="7" t="n">
        <v>0.55</v>
      </c>
      <c r="F125" s="2" t="inlineStr">
        <is>
          <t>Remoto</t>
        </is>
      </c>
      <c r="G125" s="5">
        <f>HYPERLINK("https://www.elempleo.com/co/ofertas-trabajo/barranquilla-consultor-psicologo-especialista-sst-independiente-1886746264", "Ver Vacante")</f>
        <v/>
      </c>
      <c r="H125" s="6" t="inlineStr"/>
      <c r="I125" s="3" t="inlineStr">
        <is>
          <t>[Afinidad: 55/100 - Afinidad Moderada] Afinidad parcial en seguridad y salud ocupacional. Modalidad: 100% Remoto en Colombia confirmado.</t>
        </is>
      </c>
      <c r="J125" s="2" t="inlineStr">
        <is>
          <t>Nueva</t>
        </is>
      </c>
      <c r="K125" s="3" t="inlineStr"/>
    </row>
    <row r="126" ht="22" customHeight="1">
      <c r="A126" s="2" t="inlineStr">
        <is>
          <t>1e6baed6c22e66e5</t>
        </is>
      </c>
      <c r="B126" s="2" t="inlineStr">
        <is>
          <t>2026-09-22 05:09</t>
        </is>
      </c>
      <c r="C126" s="3" t="inlineStr">
        <is>
          <t>Bogota - consultor psicólogo especialista sst independiente</t>
        </is>
      </c>
      <c r="D126" s="3" t="inlineStr">
        <is>
          <t>Confidencial</t>
        </is>
      </c>
      <c r="E126" s="7" t="n">
        <v>0.55</v>
      </c>
      <c r="F126" s="2" t="inlineStr">
        <is>
          <t>Remoto</t>
        </is>
      </c>
      <c r="G126" s="5">
        <f>HYPERLINK("https://www.elempleo.com/co/ofertas-trabajo/bogota-consultor-psicologo-especialista-sst-independiente-1886746058", "Ver Vacante")</f>
        <v/>
      </c>
      <c r="H126" s="6" t="inlineStr"/>
      <c r="I126" s="3" t="inlineStr">
        <is>
          <t>[Afinidad: 55/100 - Afinidad Moderada] Afinidad parcial en seguridad y salud ocupacional. Modalidad: 100% Remoto en Colombia confirmado.</t>
        </is>
      </c>
      <c r="J126" s="2" t="inlineStr">
        <is>
          <t>Nueva</t>
        </is>
      </c>
      <c r="K126" s="3" t="inlineStr"/>
    </row>
    <row r="127" ht="22" customHeight="1">
      <c r="A127" s="2" t="inlineStr">
        <is>
          <t>38789d9a0608d840</t>
        </is>
      </c>
      <c r="B127" s="2" t="inlineStr">
        <is>
          <t>2026-09-22 05:09</t>
        </is>
      </c>
      <c r="C127" s="3" t="inlineStr">
        <is>
          <t>Bogota- psicólogo especialista sst consultor independiente</t>
        </is>
      </c>
      <c r="D127" s="3" t="inlineStr">
        <is>
          <t>Confidencial</t>
        </is>
      </c>
      <c r="E127" s="7" t="n">
        <v>0.55</v>
      </c>
      <c r="F127" s="2" t="inlineStr">
        <is>
          <t>Remoto</t>
        </is>
      </c>
      <c r="G127" s="5">
        <f>HYPERLINK("https://www.elempleo.com/co/ofertas-trabajo/bogota-psicologo-especialista-sst-consultor-independiente-1886744293", "Ver Vacante")</f>
        <v/>
      </c>
      <c r="H127" s="6" t="inlineStr"/>
      <c r="I127" s="3" t="inlineStr">
        <is>
          <t>[Afinidad: 55/100 - Afinidad Moderada] Afinidad parcial en seguridad y salud ocupacional. Modalidad: 100% Remoto en Colombia confirmado.</t>
        </is>
      </c>
      <c r="J127" s="2" t="inlineStr">
        <is>
          <t>Nueva</t>
        </is>
      </c>
      <c r="K127" s="3" t="inlineStr"/>
    </row>
    <row r="128" ht="22" customHeight="1">
      <c r="A128" s="2" t="inlineStr">
        <is>
          <t>10cf16645266a188</t>
        </is>
      </c>
      <c r="B128" s="2" t="inlineStr">
        <is>
          <t>2026-09-22 05:09</t>
        </is>
      </c>
      <c r="C128" s="3" t="inlineStr">
        <is>
          <t>Bogota - consultor psicólogo especialista sst independiente</t>
        </is>
      </c>
      <c r="D128" s="3" t="inlineStr">
        <is>
          <t>Confidencial</t>
        </is>
      </c>
      <c r="E128" s="7" t="n">
        <v>0.55</v>
      </c>
      <c r="F128" s="2" t="inlineStr">
        <is>
          <t>Remoto</t>
        </is>
      </c>
      <c r="G128" s="5">
        <f>HYPERLINK("https://www.elempleo.com/co/ofertas-trabajo/bogota-consultor-psicologo-especialista-sst-independiente-1886754444", "Ver Vacante")</f>
        <v/>
      </c>
      <c r="H128" s="6" t="inlineStr"/>
      <c r="I128" s="3" t="inlineStr">
        <is>
          <t>[Afinidad: 55/100 - Afinidad Moderada] Afinidad parcial en seguridad y salud ocupacional. Modalidad: 100% Remoto en Colombia confirmado.</t>
        </is>
      </c>
      <c r="J128" s="2" t="inlineStr">
        <is>
          <t>Nueva</t>
        </is>
      </c>
      <c r="K128" s="3" t="inlineStr"/>
    </row>
    <row r="129" ht="22" customHeight="1">
      <c r="A129" s="2" t="inlineStr">
        <is>
          <t>9d63e5860eb4f511</t>
        </is>
      </c>
      <c r="B129" s="2" t="inlineStr">
        <is>
          <t>2026-09-22 05:09</t>
        </is>
      </c>
      <c r="C129" s="3" t="inlineStr">
        <is>
          <t>Coordinador sst</t>
        </is>
      </c>
      <c r="D129" s="3" t="inlineStr">
        <is>
          <t>Confidencial</t>
        </is>
      </c>
      <c r="E129" s="7" t="n">
        <v>0.55</v>
      </c>
      <c r="F129" s="2" t="inlineStr">
        <is>
          <t>Remoto</t>
        </is>
      </c>
      <c r="G129" s="5">
        <f>HYPERLINK("https://www.elempleo.com/co/ofertas-trabajo/coordinador-sst-1886756694", "Ver Vacante")</f>
        <v/>
      </c>
      <c r="H129" s="6" t="inlineStr"/>
      <c r="I129" s="3" t="inlineStr">
        <is>
          <t>[Afinidad: 55/100 - Afinidad Moderada] Afinidad parcial en seguridad y salud ocupacional. Modalidad: 100% Remoto en Colombia confirmado.</t>
        </is>
      </c>
      <c r="J129" s="2" t="inlineStr">
        <is>
          <t>Nueva</t>
        </is>
      </c>
      <c r="K129" s="3" t="inlineStr"/>
    </row>
    <row r="130" ht="22" customHeight="1">
      <c r="A130" s="2" t="inlineStr">
        <is>
          <t>b6fc490e7d1cb302</t>
        </is>
      </c>
      <c r="B130" s="2" t="inlineStr">
        <is>
          <t>2026-09-22 05:09</t>
        </is>
      </c>
      <c r="C130" s="3" t="inlineStr">
        <is>
          <t>Coordinador sst</t>
        </is>
      </c>
      <c r="D130" s="3" t="inlineStr">
        <is>
          <t>Confidencial</t>
        </is>
      </c>
      <c r="E130" s="7" t="n">
        <v>0.55</v>
      </c>
      <c r="F130" s="2" t="inlineStr">
        <is>
          <t>Remoto</t>
        </is>
      </c>
      <c r="G130" s="5">
        <f>HYPERLINK("https://www.elempleo.com/co/ofertas-trabajo/coordinador-sst-1886755615", "Ver Vacante")</f>
        <v/>
      </c>
      <c r="H130" s="6" t="inlineStr"/>
      <c r="I130" s="3" t="inlineStr">
        <is>
          <t>[Afinidad: 55/100 - Afinidad Moderada] Afinidad parcial en seguridad y salud ocupacional. Modalidad: 100% Remoto en Colombia confirmado.</t>
        </is>
      </c>
      <c r="J130" s="2" t="inlineStr">
        <is>
          <t>Nueva</t>
        </is>
      </c>
      <c r="K130" s="3" t="inlineStr"/>
    </row>
    <row r="131" ht="22" customHeight="1">
      <c r="A131" s="2" t="inlineStr">
        <is>
          <t>89b0a50a441c6311</t>
        </is>
      </c>
      <c r="B131" s="2" t="inlineStr">
        <is>
          <t>2026-09-22 05:09</t>
        </is>
      </c>
      <c r="C131" s="3" t="inlineStr">
        <is>
          <t>Coordinador sst</t>
        </is>
      </c>
      <c r="D131" s="3" t="inlineStr">
        <is>
          <t>Ingeurbe S.A</t>
        </is>
      </c>
      <c r="E131" s="7" t="n">
        <v>0.55</v>
      </c>
      <c r="F131" s="2" t="inlineStr">
        <is>
          <t>Remoto</t>
        </is>
      </c>
      <c r="G131" s="5">
        <f>HYPERLINK("https://www.elempleo.com/co/ofertas-trabajo/coordinador-sst-1886751696", "Ver Vacante")</f>
        <v/>
      </c>
      <c r="H131" s="6" t="inlineStr"/>
      <c r="I131" s="3" t="inlineStr">
        <is>
          <t>[Afinidad: 55/100 - Afinidad Moderada] Afinidad parcial en seguridad y salud ocupacional. Modalidad: 100% Remoto en Colombia confirmado.</t>
        </is>
      </c>
      <c r="J131" s="2" t="inlineStr">
        <is>
          <t>Nueva</t>
        </is>
      </c>
      <c r="K131" s="3" t="inlineStr"/>
    </row>
    <row r="132" ht="22" customHeight="1">
      <c r="A132" s="2" t="inlineStr">
        <is>
          <t>dbd929b4729965e4</t>
        </is>
      </c>
      <c r="B132" s="2" t="inlineStr">
        <is>
          <t>2026-09-22 05:09</t>
        </is>
      </c>
      <c r="C132" s="3" t="inlineStr">
        <is>
          <t>Coordinador sst cali</t>
        </is>
      </c>
      <c r="D132" s="3" t="inlineStr">
        <is>
          <t>PROMOAMBIENTAL DISTRITO SAS ESP</t>
        </is>
      </c>
      <c r="E132" s="7" t="n">
        <v>0.55</v>
      </c>
      <c r="F132" s="2" t="inlineStr">
        <is>
          <t>Remoto</t>
        </is>
      </c>
      <c r="G132" s="5">
        <f>HYPERLINK("https://www.elempleo.com/co/ofertas-trabajo/coordinador-sst-cali-1886763306", "Ver Vacante")</f>
        <v/>
      </c>
      <c r="H132" s="6" t="inlineStr"/>
      <c r="I132" s="3" t="inlineStr">
        <is>
          <t>[Afinidad: 55/100 - Afinidad Moderada] Afinidad parcial en seguridad y salud ocupacional. Modalidad: 100% Remoto en Colombia confirmado.</t>
        </is>
      </c>
      <c r="J132" s="2" t="inlineStr">
        <is>
          <t>Nueva</t>
        </is>
      </c>
      <c r="K132" s="3" t="inlineStr"/>
    </row>
    <row r="133" ht="22" customHeight="1">
      <c r="A133" s="2" t="inlineStr">
        <is>
          <t>c3693cc02f73e3a5</t>
        </is>
      </c>
      <c r="B133" s="2" t="inlineStr">
        <is>
          <t>2026-09-22 05:09</t>
        </is>
      </c>
      <c r="C133" s="3" t="inlineStr">
        <is>
          <t>Inspector o coordinador sst</t>
        </is>
      </c>
      <c r="D133" s="3" t="inlineStr">
        <is>
          <t>ADECCO COLOMBIA S A</t>
        </is>
      </c>
      <c r="E133" s="7" t="n">
        <v>0.55</v>
      </c>
      <c r="F133" s="2" t="inlineStr">
        <is>
          <t>Remoto</t>
        </is>
      </c>
      <c r="G133" s="5">
        <f>HYPERLINK("https://www.elempleo.com/co/ofertas-trabajo/inspector-o-coordinador-sst-1886747212", "Ver Vacante")</f>
        <v/>
      </c>
      <c r="H133" s="6" t="inlineStr"/>
      <c r="I133" s="3" t="inlineStr">
        <is>
          <t>[Afinidad: 55/100 - Afinidad Moderada] Afinidad parcial en seguridad y salud ocupacional. Modalidad: 100% Remoto en Colombia confirmado.</t>
        </is>
      </c>
      <c r="J133" s="2" t="inlineStr">
        <is>
          <t>Nueva</t>
        </is>
      </c>
      <c r="K133" s="3" t="inlineStr"/>
    </row>
    <row r="134" ht="22" customHeight="1">
      <c r="A134" s="2" t="inlineStr">
        <is>
          <t>202995b9333b4f87</t>
        </is>
      </c>
      <c r="B134" s="2" t="inlineStr">
        <is>
          <t>2026-09-22 05:09</t>
        </is>
      </c>
      <c r="C134" s="3" t="inlineStr">
        <is>
          <t>Coordinador sst sector manufactura</t>
        </is>
      </c>
      <c r="D134" s="3" t="inlineStr">
        <is>
          <t>Confidencial</t>
        </is>
      </c>
      <c r="E134" s="7" t="n">
        <v>0.55</v>
      </c>
      <c r="F134" s="2" t="inlineStr">
        <is>
          <t>Remoto</t>
        </is>
      </c>
      <c r="G134" s="5">
        <f>HYPERLINK("https://www.elempleo.com/co/ofertas-trabajo/coordinador-sst-sector-manufactura-1886742930", "Ver Vacante")</f>
        <v/>
      </c>
      <c r="H134" s="6" t="inlineStr"/>
      <c r="I134" s="3" t="inlineStr">
        <is>
          <t>[Afinidad: 55/100 - Afinidad Moderada] Afinidad parcial en seguridad y salud ocupacional. Modalidad: 100% Remoto en Colombia confirmado.</t>
        </is>
      </c>
      <c r="J134" s="2" t="inlineStr">
        <is>
          <t>Nueva</t>
        </is>
      </c>
      <c r="K134" s="3" t="inlineStr"/>
    </row>
    <row r="135" ht="22" customHeight="1">
      <c r="A135" s="2" t="inlineStr">
        <is>
          <t>b84b7270d3c00390</t>
        </is>
      </c>
      <c r="B135" s="2" t="inlineStr">
        <is>
          <t>2026-09-22 05:09</t>
        </is>
      </c>
      <c r="C135" s="3" t="inlineStr">
        <is>
          <t>Coordinador de sst - tunja boyaca</t>
        </is>
      </c>
      <c r="D135" s="3" t="inlineStr">
        <is>
          <t>Clínica Medilaser S.A.S</t>
        </is>
      </c>
      <c r="E135" s="7" t="n">
        <v>0.55</v>
      </c>
      <c r="F135" s="2" t="inlineStr">
        <is>
          <t>Remoto</t>
        </is>
      </c>
      <c r="G135" s="5">
        <f>HYPERLINK("https://www.elempleo.com/co/ofertas-trabajo/coordinador-de-sst-tunja-boyaca-1886756822", "Ver Vacante")</f>
        <v/>
      </c>
      <c r="H135" s="6" t="inlineStr"/>
      <c r="I135" s="3" t="inlineStr">
        <is>
          <t>[Afinidad: 55/100 - Afinidad Moderada] Afinidad parcial en seguridad y salud ocupacional. Modalidad: 100% Remoto en Colombia confirmado.</t>
        </is>
      </c>
      <c r="J135" s="2" t="inlineStr">
        <is>
          <t>Nueva</t>
        </is>
      </c>
      <c r="K135" s="3" t="inlineStr"/>
    </row>
    <row r="136" ht="22" customHeight="1">
      <c r="A136" s="2" t="inlineStr">
        <is>
          <t>e2d49218b20ec3d4</t>
        </is>
      </c>
      <c r="B136" s="2" t="inlineStr">
        <is>
          <t>2026-09-22 05:09</t>
        </is>
      </c>
      <c r="C136" s="3" t="inlineStr">
        <is>
          <t>Coordinador sst profesional bogota y aledaños</t>
        </is>
      </c>
      <c r="D136" s="3" t="inlineStr">
        <is>
          <t>Automatizacion Integ</t>
        </is>
      </c>
      <c r="E136" s="7" t="n">
        <v>0.55</v>
      </c>
      <c r="F136" s="2" t="inlineStr">
        <is>
          <t>Remoto</t>
        </is>
      </c>
      <c r="G136" s="5">
        <f>HYPERLINK("https://www.elempleo.com/co/ofertas-trabajo/coordinador-sst-profesional-bogota-y-aledanos-1886766934", "Ver Vacante")</f>
        <v/>
      </c>
      <c r="H136" s="6" t="inlineStr"/>
      <c r="I136" s="3" t="inlineStr">
        <is>
          <t>[Afinidad: 55/100 - Afinidad Moderada] Afinidad parcial en seguridad y salud ocupacional. Modalidad: 100% Remoto en Colombia confirmado.</t>
        </is>
      </c>
      <c r="J136" s="2" t="inlineStr">
        <is>
          <t>Nueva</t>
        </is>
      </c>
      <c r="K136" s="3" t="inlineStr"/>
    </row>
    <row r="137" ht="22" customHeight="1">
      <c r="A137" s="2" t="inlineStr">
        <is>
          <t>c9ddc083f60a3c14</t>
        </is>
      </c>
      <c r="B137" s="2" t="inlineStr">
        <is>
          <t>2026-09-22 05:09</t>
        </is>
      </c>
      <c r="C137" s="3" t="inlineStr">
        <is>
          <t>Coordinadora de sst</t>
        </is>
      </c>
      <c r="D137" s="3" t="inlineStr">
        <is>
          <t>Confidencial</t>
        </is>
      </c>
      <c r="E137" s="7" t="n">
        <v>0.55</v>
      </c>
      <c r="F137" s="2" t="inlineStr">
        <is>
          <t>Remoto</t>
        </is>
      </c>
      <c r="G137" s="5">
        <f>HYPERLINK("https://www.elempleo.com/co/ofertas-trabajo/coordinadora-de-sst-1886764987", "Ver Vacante")</f>
        <v/>
      </c>
      <c r="H137" s="6" t="inlineStr"/>
      <c r="I137" s="3" t="inlineStr">
        <is>
          <t>[Afinidad: 55/100 - Afinidad Moderada] Afinidad parcial en seguridad y salud ocupacional. Modalidad: 100% Remoto en Colombia confirmado.</t>
        </is>
      </c>
      <c r="J137" s="2" t="inlineStr">
        <is>
          <t>Nueva</t>
        </is>
      </c>
      <c r="K137" s="3" t="inlineStr"/>
    </row>
    <row r="138" ht="22" customHeight="1">
      <c r="A138" s="2" t="inlineStr">
        <is>
          <t>7f87b552f8374594</t>
        </is>
      </c>
      <c r="B138" s="2" t="inlineStr">
        <is>
          <t>2026-09-22 05:09</t>
        </is>
      </c>
      <c r="C138" s="3" t="inlineStr">
        <is>
          <t>Coordinador sst</t>
        </is>
      </c>
      <c r="D138" s="3" t="inlineStr">
        <is>
          <t>Confidencial</t>
        </is>
      </c>
      <c r="E138" s="7" t="n">
        <v>0.55</v>
      </c>
      <c r="F138" s="2" t="inlineStr">
        <is>
          <t>Remoto</t>
        </is>
      </c>
      <c r="G138" s="5">
        <f>HYPERLINK("https://www.elempleo.com/co/ofertas-trabajo/coordinador-sst-1886745545", "Ver Vacante")</f>
        <v/>
      </c>
      <c r="H138" s="6" t="inlineStr"/>
      <c r="I138" s="3" t="inlineStr">
        <is>
          <t>[Afinidad: 55/100 - Afinidad Moderada] Afinidad parcial en seguridad y salud ocupacional. Modalidad: 100% Remoto en Colombia confirmado.</t>
        </is>
      </c>
      <c r="J138" s="2" t="inlineStr">
        <is>
          <t>Nueva</t>
        </is>
      </c>
      <c r="K138" s="3" t="inlineStr"/>
    </row>
    <row r="139" ht="22" customHeight="1">
      <c r="A139" s="2" t="inlineStr">
        <is>
          <t>da412525716fc949</t>
        </is>
      </c>
      <c r="B139" s="2" t="inlineStr">
        <is>
          <t>2026-09-22 05:09</t>
        </is>
      </c>
      <c r="C139" s="3" t="inlineStr">
        <is>
          <t>Coordinador sst</t>
        </is>
      </c>
      <c r="D139" s="3" t="inlineStr">
        <is>
          <t>Confidencial</t>
        </is>
      </c>
      <c r="E139" s="7" t="n">
        <v>0.55</v>
      </c>
      <c r="F139" s="2" t="inlineStr">
        <is>
          <t>Remoto</t>
        </is>
      </c>
      <c r="G139" s="5">
        <f>HYPERLINK("https://www.elempleo.com/co/ofertas-trabajo/coordinador-sst-1886758307", "Ver Vacante")</f>
        <v/>
      </c>
      <c r="H139" s="6" t="inlineStr"/>
      <c r="I139" s="3" t="inlineStr">
        <is>
          <t>[Afinidad: 55/100 - Afinidad Moderada] Afinidad parcial en seguridad y salud ocupacional. Modalidad: 100% Remoto en Colombia confirmado.</t>
        </is>
      </c>
      <c r="J139" s="2" t="inlineStr">
        <is>
          <t>Nueva</t>
        </is>
      </c>
      <c r="K139" s="3" t="inlineStr"/>
    </row>
    <row r="140" ht="22" customHeight="1">
      <c r="A140" s="2" t="inlineStr">
        <is>
          <t>6a236142b439c2df</t>
        </is>
      </c>
      <c r="B140" s="2" t="inlineStr">
        <is>
          <t>2026-09-22 05:09</t>
        </is>
      </c>
      <c r="C140" s="3" t="inlineStr">
        <is>
          <t>Profesional sg-sst - bogotá sector salud</t>
        </is>
      </c>
      <c r="D140" s="3" t="inlineStr">
        <is>
          <t>Confidencial</t>
        </is>
      </c>
      <c r="E140" s="7" t="n">
        <v>0.55</v>
      </c>
      <c r="F140" s="2" t="inlineStr">
        <is>
          <t>Remoto</t>
        </is>
      </c>
      <c r="G140" s="5">
        <f>HYPERLINK("https://www.elempleo.com/co/ofertas-trabajo/profesional-sgsst-bogota-sector-salud-1886722019", "Ver Vacante")</f>
        <v/>
      </c>
      <c r="H140" s="6" t="inlineStr"/>
      <c r="I140" s="3" t="inlineStr">
        <is>
          <t>[Afinidad: 55/100 - Afinidad Moderada] Alta coincidencia en gestión de Seguridad y Salud en el Trabajo (SST). Modalidad: 100% Remoto en Colombia confirmado.</t>
        </is>
      </c>
      <c r="J140" s="2" t="inlineStr">
        <is>
          <t>Nueva</t>
        </is>
      </c>
      <c r="K140" s="3" t="inlineStr"/>
    </row>
    <row r="141" ht="22" customHeight="1">
      <c r="A141" s="2" t="inlineStr">
        <is>
          <t>183be09bac3981ff</t>
        </is>
      </c>
      <c r="B141" s="2" t="inlineStr">
        <is>
          <t>2026-09-22 05:09</t>
        </is>
      </c>
      <c r="C141" s="3" t="inlineStr">
        <is>
          <t>Auxiliar de seguridad y salud en el trabajo</t>
        </is>
      </c>
      <c r="D141" s="3" t="inlineStr">
        <is>
          <t>SUMMAR PRODUCTIVIDAD S.A.S</t>
        </is>
      </c>
      <c r="E141" s="7" t="n">
        <v>0.55</v>
      </c>
      <c r="F141" s="2" t="inlineStr">
        <is>
          <t>Remoto</t>
        </is>
      </c>
      <c r="G141" s="5">
        <f>HYPERLINK("https://www.elempleo.com/co/ofertas-trabajo/auxiliar-de-seguridad-y-salud-en-el-trabajo-sgsst-1886760290", "Ver Vacante")</f>
        <v/>
      </c>
      <c r="H141" s="6" t="inlineStr"/>
      <c r="I141" s="3" t="inlineStr">
        <is>
          <t>[Afinidad: 55/100 - Afinidad Moderada] Alta coincidencia en gestión de Seguridad y Salud en el Trabajo (SST). Modalidad: 100% Remoto en Colombia confirmado.</t>
        </is>
      </c>
      <c r="J141" s="2" t="inlineStr">
        <is>
          <t>Nueva</t>
        </is>
      </c>
      <c r="K141" s="3" t="inlineStr"/>
    </row>
    <row r="142" ht="22" customHeight="1">
      <c r="A142" s="2" t="inlineStr">
        <is>
          <t>e458abda6c8c6a4d</t>
        </is>
      </c>
      <c r="B142" s="2" t="inlineStr">
        <is>
          <t>2026-09-22 05:09</t>
        </is>
      </c>
      <c r="C142" s="3" t="inlineStr">
        <is>
          <t>Residente SG-SST</t>
        </is>
      </c>
      <c r="D142" s="3" t="inlineStr">
        <is>
          <t>Hunter Douglas Colombia</t>
        </is>
      </c>
      <c r="E142" s="7" t="n">
        <v>0.55</v>
      </c>
      <c r="F142" s="2" t="inlineStr">
        <is>
          <t>Remoto</t>
        </is>
      </c>
      <c r="G142" s="5">
        <f>HYPERLINK("https://co.linkedin.com/jobs/view/residente-sg-sst-at-hunter-douglas-colombia-4467388359", "Ver Vacante")</f>
        <v/>
      </c>
      <c r="H142" s="6" t="inlineStr"/>
      <c r="I142" s="3" t="inlineStr">
        <is>
          <t>[Afinidad: 55/100 - Afinidad Moderada] Alta coincidencia en gestión de Seguridad y Salud en el Trabajo (SST). Modalidad: 100% Remoto en Colombia confirmado.</t>
        </is>
      </c>
      <c r="J142" s="2" t="inlineStr">
        <is>
          <t>Nueva</t>
        </is>
      </c>
      <c r="K142" s="3" t="inlineStr"/>
    </row>
    <row r="143" ht="22" customHeight="1">
      <c r="A143" s="2" t="inlineStr">
        <is>
          <t>c9c1198f936f8f92</t>
        </is>
      </c>
      <c r="B143" s="2" t="inlineStr">
        <is>
          <t>2026-09-22 05:09</t>
        </is>
      </c>
      <c r="C143" s="3" t="inlineStr">
        <is>
          <t>Coordinador SST</t>
        </is>
      </c>
      <c r="D143" s="3" t="inlineStr">
        <is>
          <t>TEMPOTRABAJO S.A.S</t>
        </is>
      </c>
      <c r="E143" s="7" t="n">
        <v>0.55</v>
      </c>
      <c r="F143" s="2" t="inlineStr">
        <is>
          <t>Remoto</t>
        </is>
      </c>
      <c r="G143" s="5">
        <f>HYPERLINK("https://co.linkedin.com/jobs/view/coordinador-sst-at-tempotrabajo-s-a-s-4463662684", "Ver Vacante")</f>
        <v/>
      </c>
      <c r="H143" s="6" t="inlineStr"/>
      <c r="I143" s="3" t="inlineStr">
        <is>
          <t>[Afinidad: 55/100 - Afinidad Moderada] Afinidad parcial en seguridad y salud ocupacional. Modalidad: 100% Remoto en Colombia confirmado.</t>
        </is>
      </c>
      <c r="J143" s="2" t="inlineStr">
        <is>
          <t>Nueva</t>
        </is>
      </c>
      <c r="K143" s="3" t="inlineStr"/>
    </row>
    <row r="144" ht="22" customHeight="1">
      <c r="A144" s="2" t="inlineStr">
        <is>
          <t>a3c876ff52d7c00a</t>
        </is>
      </c>
      <c r="B144" s="2" t="inlineStr">
        <is>
          <t>2026-09-22 05:09</t>
        </is>
      </c>
      <c r="C144" s="3" t="inlineStr">
        <is>
          <t>COORDINADOR SST</t>
        </is>
      </c>
      <c r="D144" s="3" t="inlineStr">
        <is>
          <t>Instalaciones Hidráulicas, Sanitarias y de Gas Inocencio López SAS</t>
        </is>
      </c>
      <c r="E144" s="7" t="n">
        <v>0.55</v>
      </c>
      <c r="F144" s="2" t="inlineStr">
        <is>
          <t>Remoto</t>
        </is>
      </c>
      <c r="G144" s="5">
        <f>HYPERLINK("https://co.linkedin.com/jobs/view/coordinador-sst-at-instalaciones-hidr%C3%A1ulicas-sanitarias-y-de-gas-inocencio-l%C3%B3pez-sas-4423097456", "Ver Vacante")</f>
        <v/>
      </c>
      <c r="H144" s="6" t="inlineStr"/>
      <c r="I144" s="3" t="inlineStr">
        <is>
          <t>[Afinidad: 55/100 - Afinidad Moderada] Afinidad parcial en seguridad y salud ocupacional. Modalidad: 100% Remoto en Colombia confirmado.</t>
        </is>
      </c>
      <c r="J144" s="2" t="inlineStr">
        <is>
          <t>Nueva</t>
        </is>
      </c>
      <c r="K144" s="3" t="inlineStr"/>
    </row>
    <row r="145" ht="22" customHeight="1">
      <c r="A145" s="2" t="inlineStr">
        <is>
          <t>edfd638496b96148</t>
        </is>
      </c>
      <c r="B145" s="2" t="inlineStr">
        <is>
          <t>2026-09-22 05:09</t>
        </is>
      </c>
      <c r="C145" s="3" t="inlineStr">
        <is>
          <t>Especialista en diseño geométrico</t>
        </is>
      </c>
      <c r="D145" s="3" t="inlineStr">
        <is>
          <t>HMV Ingenieros</t>
        </is>
      </c>
      <c r="E145" s="7" t="n">
        <v>0.55</v>
      </c>
      <c r="F145" s="2" t="inlineStr">
        <is>
          <t>Remoto</t>
        </is>
      </c>
      <c r="G145" s="5">
        <f>HYPERLINK("https://co.linkedin.com/jobs/view/especialista-en-dise%C3%B1o-geom%C3%A9trico-at-hmv-ingenieros-4444748663", "Ver Vacante")</f>
        <v/>
      </c>
      <c r="H145" s="6" t="inlineStr"/>
      <c r="I145" s="3" t="inlineStr">
        <is>
          <t>[Afinidad: 55/100 - Afinidad Moderada] Afinidad parcial en infraestructura vial y transporte. Modalidad: 100% Remoto en Colombia confirmado.</t>
        </is>
      </c>
      <c r="J145" s="2" t="inlineStr">
        <is>
          <t>Nueva</t>
        </is>
      </c>
      <c r="K145" s="3" t="inlineStr"/>
    </row>
    <row r="146" ht="22" customHeight="1">
      <c r="A146" s="2" t="inlineStr">
        <is>
          <t>7e3c2555b7ec0e75</t>
        </is>
      </c>
      <c r="B146" s="2" t="inlineStr">
        <is>
          <t>2026-09-22 05:09</t>
        </is>
      </c>
      <c r="C146" s="3" t="inlineStr">
        <is>
          <t>Civil 3D Modeler</t>
        </is>
      </c>
      <c r="D146" s="3" t="inlineStr">
        <is>
          <t>WSP en Colombia</t>
        </is>
      </c>
      <c r="E146" s="7" t="n">
        <v>0.55</v>
      </c>
      <c r="F146" s="2" t="inlineStr">
        <is>
          <t>Remoto</t>
        </is>
      </c>
      <c r="G146" s="5">
        <f>HYPERLINK("https://co.linkedin.com/jobs/view/civil-3d-modeler-at-wsp-en-colombia-4459262136", "Ver Vacante")</f>
        <v/>
      </c>
      <c r="H146" s="6" t="inlineStr"/>
      <c r="I146" s="3" t="inlineStr">
        <is>
          <t>[Afinidad: 55/100 - Afinidad Moderada] Afinidad parcial en infraestructura vial y transporte. Modalidad: 100% Remoto en Colombia confirmado.</t>
        </is>
      </c>
      <c r="J146" s="2" t="inlineStr">
        <is>
          <t>Nueva</t>
        </is>
      </c>
      <c r="K146" s="3" t="inlineStr"/>
    </row>
    <row r="147" ht="22" customHeight="1">
      <c r="A147" s="2" t="inlineStr">
        <is>
          <t>c207043b76222b67</t>
        </is>
      </c>
      <c r="B147" s="2" t="inlineStr">
        <is>
          <t>2026-09-22 05:09</t>
        </is>
      </c>
      <c r="C147" s="3" t="inlineStr">
        <is>
          <t>Especialista Seguridad y Salud en el Trabajo</t>
        </is>
      </c>
      <c r="D147" s="3" t="inlineStr">
        <is>
          <t>D1 S.A.S</t>
        </is>
      </c>
      <c r="E147" s="7" t="n">
        <v>0.55</v>
      </c>
      <c r="F147" s="2" t="inlineStr">
        <is>
          <t>Remoto</t>
        </is>
      </c>
      <c r="G147" s="5">
        <f>HYPERLINK("https://co.linkedin.com/jobs/view/especialista-seguridad-y-salud-en-el-trabajo-at-d1-s-a-s-4460341281", "Ver Vacante")</f>
        <v/>
      </c>
      <c r="H147" s="6" t="inlineStr"/>
      <c r="I147" s="3" t="inlineStr">
        <is>
          <t>[Afinidad: 55/100 - Afinidad Moderada] Afinidad parcial en seguridad y salud ocupacional. Modalidad: 100% Remoto en Colombia confirmado.</t>
        </is>
      </c>
      <c r="J147" s="2" t="inlineStr">
        <is>
          <t>Nueva</t>
        </is>
      </c>
      <c r="K147" s="3" t="inlineStr"/>
    </row>
    <row r="148" ht="22" customHeight="1">
      <c r="A148" s="2" t="inlineStr">
        <is>
          <t>bd7ba1ca4d08566d</t>
        </is>
      </c>
      <c r="B148" s="2" t="inlineStr">
        <is>
          <t>2026-09-23 10:17</t>
        </is>
      </c>
      <c r="C148" s="3" t="inlineStr">
        <is>
          <t>Optometra Especialista en Salud Ocupacional</t>
        </is>
      </c>
      <c r="D148" s="3" t="inlineStr">
        <is>
          <t>Importante IPS de salud ocupacional</t>
        </is>
      </c>
      <c r="E148" s="7" t="n">
        <v>0.55</v>
      </c>
      <c r="F148" s="2" t="inlineStr">
        <is>
          <t>Remoto</t>
        </is>
      </c>
      <c r="G148" s="5">
        <f>HYPERLINK("https://co.computrabajo.com/ofertas-de-trabajo/oferta-de-trabajo-de-optometra-especialista-en-salud-ocupacional-sst-en-bogota-dc-57C04D237286C30861373E686DCF3405", "Ver Vacante")</f>
        <v/>
      </c>
      <c r="H148" s="6" t="inlineStr">
        <is>
          <t>$ 4.000.000,00 (Mensual)</t>
        </is>
      </c>
      <c r="I148" s="3" t="inlineStr">
        <is>
          <t>[Afinidad: 55/100 - Afinidad Moderada] Afinidad parcial en seguridad y salud ocupacional. Modalidad: 100% Remoto en Colombia confirmado.</t>
        </is>
      </c>
      <c r="J148" s="2" t="inlineStr">
        <is>
          <t>Nueva</t>
        </is>
      </c>
      <c r="K148" s="3" t="inlineStr"/>
    </row>
    <row r="149" ht="22" customHeight="1">
      <c r="A149" s="2" t="inlineStr">
        <is>
          <t>9549eda0d9c36162</t>
        </is>
      </c>
      <c r="B149" s="2" t="inlineStr">
        <is>
          <t>2026-09-23 10:17</t>
        </is>
      </c>
      <c r="C149" s="3" t="inlineStr">
        <is>
          <t>Especialista en Seguridad y Salud en el Trabajo</t>
        </is>
      </c>
      <c r="D149" s="3" t="inlineStr">
        <is>
          <t>Importante empresa del sector Farmacéutico</t>
        </is>
      </c>
      <c r="E149" s="7" t="n">
        <v>0.55</v>
      </c>
      <c r="F149" s="2" t="inlineStr">
        <is>
          <t>Remoto</t>
        </is>
      </c>
      <c r="G149" s="5">
        <f>HYPERLINK("https://co.computrabajo.com/ofertas-de-trabajo/oferta-de-trabajo-de-especialista-en-seguridad-y-salud-en-el-trabajo-sg-sst-y-seguridad-vial-en-bogota-dc-0198DBEB94D33F7061373E686DCF3405", "Ver Vacante")</f>
        <v/>
      </c>
      <c r="H149" s="6" t="inlineStr">
        <is>
          <t>$ 4.000.000,00 (Mensual)</t>
        </is>
      </c>
      <c r="I149" s="3" t="inlineStr">
        <is>
          <t>[Afinidad: 55/100 - Afinidad Moderada] Afinidad parcial en seguridad y salud ocupacional. Modalidad: 100% Remoto en Colombia confirmado.</t>
        </is>
      </c>
      <c r="J149" s="2" t="inlineStr">
        <is>
          <t>Nueva</t>
        </is>
      </c>
      <c r="K149" s="3" t="inlineStr"/>
    </row>
    <row r="150" ht="22" customHeight="1">
      <c r="A150" s="2" t="inlineStr">
        <is>
          <t>0cbe08296eba7ab9</t>
        </is>
      </c>
      <c r="B150" s="2" t="inlineStr">
        <is>
          <t>2026-09-23 10:17</t>
        </is>
      </c>
      <c r="C150" s="3" t="inlineStr">
        <is>
          <t>Psicólogo especialista en SST Bogotá</t>
        </is>
      </c>
      <c r="D150" s="3" t="inlineStr">
        <is>
          <t>Importante empresa del sector</t>
        </is>
      </c>
      <c r="E150" s="7" t="n">
        <v>0.55</v>
      </c>
      <c r="F150" s="2" t="inlineStr">
        <is>
          <t>Remoto</t>
        </is>
      </c>
      <c r="G150" s="5">
        <f>HYPERLINK("https://co.computrabajo.com/ofertas-de-trabajo/oferta-de-trabajo-de-psicologo-especialista-en-sst-bogota-experiencia-en-hidrocarburos-en-bogota-dc-358D62E2928318BE61373E686DCF3405", "Ver Vacante")</f>
        <v/>
      </c>
      <c r="H150" s="6" t="inlineStr"/>
      <c r="I150" s="3" t="inlineStr">
        <is>
          <t>[Afinidad: 55/100 - Afinidad Moderada] Afinidad parcial en seguridad y salud ocupacional. Modalidad: 100% Remoto en Colombia confirmado.</t>
        </is>
      </c>
      <c r="J150" s="2" t="inlineStr">
        <is>
          <t>Nueva</t>
        </is>
      </c>
      <c r="K150" s="3" t="inlineStr"/>
    </row>
    <row r="151" ht="22" customHeight="1">
      <c r="A151" s="2" t="inlineStr">
        <is>
          <t>9c95e0408815c547</t>
        </is>
      </c>
      <c r="B151" s="2" t="inlineStr">
        <is>
          <t>2026-09-23 10:17</t>
        </is>
      </c>
      <c r="C151" s="3" t="inlineStr">
        <is>
          <t>Fisioterapeuta especialista SST con experiencia en Hidrocarburos</t>
        </is>
      </c>
      <c r="D151" s="3" t="inlineStr">
        <is>
          <t>Importante empresa del sector</t>
        </is>
      </c>
      <c r="E151" s="7" t="n">
        <v>0.55</v>
      </c>
      <c r="F151" s="2" t="inlineStr">
        <is>
          <t>Remoto</t>
        </is>
      </c>
      <c r="G151" s="5">
        <f>HYPERLINK("https://co.computrabajo.com/ofertas-de-trabajo/oferta-de-trabajo-de-fisioterapeuta-especialista-sst-con-experiencia-en-hidrocarburos-bogota-en-cartagena-de-indias-7408D0BF13341C2961373E686DCF3405", "Ver Vacante")</f>
        <v/>
      </c>
      <c r="H151" s="6" t="inlineStr"/>
      <c r="I151" s="3" t="inlineStr">
        <is>
          <t>[Afinidad: 55/100 - Afinidad Moderada] Afinidad parcial en seguridad y salud ocupacional. Modalidad: 100% Remoto en Colombia confirmado.</t>
        </is>
      </c>
      <c r="J151" s="2" t="inlineStr">
        <is>
          <t>Nueva</t>
        </is>
      </c>
      <c r="K151" s="3" t="inlineStr"/>
    </row>
    <row r="152" ht="22" customHeight="1">
      <c r="A152" s="2" t="inlineStr">
        <is>
          <t>01a9e49fb3fac24c</t>
        </is>
      </c>
      <c r="B152" s="2" t="inlineStr">
        <is>
          <t>2026-09-23 10:17</t>
        </is>
      </c>
      <c r="C152" s="3" t="inlineStr">
        <is>
          <t>Psicólogo especialista en SST Riesgo Psicosocial</t>
        </is>
      </c>
      <c r="D152" s="3" t="inlineStr">
        <is>
          <t>ACTIVOS S A S</t>
        </is>
      </c>
      <c r="E152" s="7" t="n">
        <v>0.55</v>
      </c>
      <c r="F152" s="2" t="inlineStr">
        <is>
          <t>Remoto</t>
        </is>
      </c>
      <c r="G152" s="5">
        <f>HYPERLINK("https://co.computrabajo.com/ofertas-de-trabajo/oferta-de-trabajo-de-psicologo-especialista-en-sst-riesgo-psicosocial-sve-en-bogota-dc-C10E4872B88B703E61373E686DCF3405", "Ver Vacante")</f>
        <v/>
      </c>
      <c r="H152" s="6" t="inlineStr">
        <is>
          <t>$ 5.648.300,00 (Mensual)</t>
        </is>
      </c>
      <c r="I152" s="3" t="inlineStr">
        <is>
          <t>[Afinidad: 55/100 - Afinidad Moderada] Afinidad parcial en seguridad y salud ocupacional. Modalidad: 100% Remoto en Colombia confirmado.</t>
        </is>
      </c>
      <c r="J152" s="2" t="inlineStr">
        <is>
          <t>Nueva</t>
        </is>
      </c>
      <c r="K152" s="3" t="inlineStr"/>
    </row>
    <row r="153" ht="22" customHeight="1">
      <c r="A153" s="2" t="inlineStr">
        <is>
          <t>442023b3158d90f3</t>
        </is>
      </c>
      <c r="B153" s="2" t="inlineStr">
        <is>
          <t>2026-09-23 10:17</t>
        </is>
      </c>
      <c r="C153" s="3" t="inlineStr">
        <is>
          <t>Fisioterapeuta especialista en SST</t>
        </is>
      </c>
      <c r="D153" s="3" t="inlineStr">
        <is>
          <t>Importante empresa del sector</t>
        </is>
      </c>
      <c r="E153" s="7" t="n">
        <v>0.55</v>
      </c>
      <c r="F153" s="2" t="inlineStr">
        <is>
          <t>Remoto</t>
        </is>
      </c>
      <c r="G153" s="5">
        <f>HYPERLINK("https://co.computrabajo.com/ofertas-de-trabajo/oferta-de-trabajo-de-fisioterapeuta-especialista-en-sst-experiencia-en-hidrocarburos-en-barrancabermeja-4C2CAE18EFAC8CBB61373E686DCF3405", "Ver Vacante")</f>
        <v/>
      </c>
      <c r="H153" s="6" t="inlineStr">
        <is>
          <t>Presencial y remoto</t>
        </is>
      </c>
      <c r="I153" s="3" t="inlineStr">
        <is>
          <t>[Afinidad: 55/100 - Afinidad Moderada] Afinidad parcial en seguridad y salud ocupacional. Modalidad: 100% Remoto en Colombia confirmado.</t>
        </is>
      </c>
      <c r="J153" s="2" t="inlineStr">
        <is>
          <t>Nueva</t>
        </is>
      </c>
      <c r="K153" s="3" t="inlineStr"/>
    </row>
    <row r="154" ht="22" customHeight="1">
      <c r="A154" s="2" t="inlineStr">
        <is>
          <t>42c05f01b118629a</t>
        </is>
      </c>
      <c r="B154" s="2" t="inlineStr">
        <is>
          <t>2026-09-23 10:17</t>
        </is>
      </c>
      <c r="C154" s="3" t="inlineStr">
        <is>
          <t>Psicólogo especialista en SST</t>
        </is>
      </c>
      <c r="D154" s="3" t="inlineStr">
        <is>
          <t>Importante empresa del sector</t>
        </is>
      </c>
      <c r="E154" s="7" t="n">
        <v>0.55</v>
      </c>
      <c r="F154" s="2" t="inlineStr">
        <is>
          <t>Remoto</t>
        </is>
      </c>
      <c r="G154" s="5">
        <f>HYPERLINK("https://co.computrabajo.com/ofertas-de-trabajo/oferta-de-trabajo-de-psicologo-especialista-en-sst-experiencia-en-hidrocarburos-en-cartagena-de-indias-5C852BF9423CEC4B61373E686DCF3405", "Ver Vacante")</f>
        <v/>
      </c>
      <c r="H154" s="6" t="inlineStr">
        <is>
          <t>$ 3.300.000,00 (Mensual)</t>
        </is>
      </c>
      <c r="I154" s="3" t="inlineStr">
        <is>
          <t>[Afinidad: 55/100 - Afinidad Moderada] Afinidad parcial en seguridad y salud ocupacional. Modalidad: 100% Remoto en Colombia confirmado.</t>
        </is>
      </c>
      <c r="J154" s="2" t="inlineStr">
        <is>
          <t>Nueva</t>
        </is>
      </c>
      <c r="K154" s="3" t="inlineStr"/>
    </row>
    <row r="155" ht="22" customHeight="1">
      <c r="A155" s="2" t="inlineStr">
        <is>
          <t>68fcd5d8a63d6284</t>
        </is>
      </c>
      <c r="B155" s="2" t="inlineStr">
        <is>
          <t>2026-09-23 10:17</t>
        </is>
      </c>
      <c r="C155" s="3" t="inlineStr">
        <is>
          <t>Especialista SST</t>
        </is>
      </c>
      <c r="D155" s="3" t="inlineStr">
        <is>
          <t>Productos del campo san gregorio</t>
        </is>
      </c>
      <c r="E155" s="7" t="n">
        <v>0.55</v>
      </c>
      <c r="F155" s="2" t="inlineStr">
        <is>
          <t>Remoto</t>
        </is>
      </c>
      <c r="G155" s="5">
        <f>HYPERLINK("https://co.computrabajo.com/ofertas-de-trabajo/oferta-de-trabajo-de-especialista-sst-sector-alimentos-en-bogota-dc-5E3A58735730BA7561373E686DCF3405", "Ver Vacante")</f>
        <v/>
      </c>
      <c r="H155" s="6" t="inlineStr"/>
      <c r="I155" s="3" t="inlineStr">
        <is>
          <t>[Afinidad: 55/100 - Afinidad Moderada] Afinidad parcial en seguridad y salud ocupacional. Modalidad: 100% Remoto en Colombia confirmado.</t>
        </is>
      </c>
      <c r="J155" s="2" t="inlineStr">
        <is>
          <t>Nueva</t>
        </is>
      </c>
      <c r="K155" s="3" t="inlineStr"/>
    </row>
    <row r="156" ht="22" customHeight="1">
      <c r="A156" s="2" t="inlineStr">
        <is>
          <t>f81c3fbb0eb31875</t>
        </is>
      </c>
      <c r="B156" s="2" t="inlineStr">
        <is>
          <t>2026-09-23 10:17</t>
        </is>
      </c>
      <c r="C156" s="3" t="inlineStr">
        <is>
          <t>Fisioterapeuta especialista SST</t>
        </is>
      </c>
      <c r="D156" s="3" t="inlineStr">
        <is>
          <t>Importante empresa del sector</t>
        </is>
      </c>
      <c r="E156" s="7" t="n">
        <v>0.55</v>
      </c>
      <c r="F156" s="2" t="inlineStr">
        <is>
          <t>Remoto</t>
        </is>
      </c>
      <c r="G156" s="5">
        <f>HYPERLINK("https://co.computrabajo.com/ofertas-de-trabajo/oferta-de-trabajo-de-fisioterapeuta-especialista-sst-bogota-en-bogota-dc-D2ACC03F552AAE0C61373E686DCF3405", "Ver Vacante")</f>
        <v/>
      </c>
      <c r="H156" s="6" t="inlineStr"/>
      <c r="I156" s="3" t="inlineStr">
        <is>
          <t>[Afinidad: 55/100 - Afinidad Moderada] Afinidad parcial en seguridad y salud ocupacional. Modalidad: 100% Remoto en Colombia confirmado.</t>
        </is>
      </c>
      <c r="J156" s="2" t="inlineStr">
        <is>
          <t>Nueva</t>
        </is>
      </c>
      <c r="K156" s="3" t="inlineStr"/>
    </row>
    <row r="157" ht="22" customHeight="1">
      <c r="A157" s="2" t="inlineStr">
        <is>
          <t>d0f431eaa1f3fc65</t>
        </is>
      </c>
      <c r="B157" s="2" t="inlineStr">
        <is>
          <t>2026-09-23 10:17</t>
        </is>
      </c>
      <c r="C157" s="3" t="inlineStr">
        <is>
          <t>Fisioterapeuta especialista SST</t>
        </is>
      </c>
      <c r="D157" s="3" t="inlineStr">
        <is>
          <t>Importante empresa del sector</t>
        </is>
      </c>
      <c r="E157" s="7" t="n">
        <v>0.55</v>
      </c>
      <c r="F157" s="2" t="inlineStr">
        <is>
          <t>Remoto</t>
        </is>
      </c>
      <c r="G157" s="5">
        <f>HYPERLINK("https://co.computrabajo.com/ofertas-de-trabajo/oferta-de-trabajo-de-urgente-fisioterapeuta-especialista-sst-bogota-en-bogota-dc-83215FFC6100A75861373E686DCF3405", "Ver Vacante")</f>
        <v/>
      </c>
      <c r="H157" s="6" t="inlineStr"/>
      <c r="I157" s="3" t="inlineStr">
        <is>
          <t>[Afinidad: 55/100 - Afinidad Moderada] Afinidad parcial en seguridad y salud ocupacional. Modalidad: 100% Remoto en Colombia confirmado.</t>
        </is>
      </c>
      <c r="J157" s="2" t="inlineStr">
        <is>
          <t>Nueva</t>
        </is>
      </c>
      <c r="K157" s="3" t="inlineStr"/>
    </row>
    <row r="158" ht="22" customHeight="1">
      <c r="A158" s="2" t="inlineStr">
        <is>
          <t>3b4cccda2b01b501</t>
        </is>
      </c>
      <c r="B158" s="2" t="inlineStr">
        <is>
          <t>2026-09-23 10:17</t>
        </is>
      </c>
      <c r="C158" s="3" t="inlineStr">
        <is>
          <t>Psicóloga especialista en SST y Asesorías</t>
        </is>
      </c>
      <c r="D158" s="3" t="inlineStr">
        <is>
          <t>SERQUERER SAS</t>
        </is>
      </c>
      <c r="E158" s="7" t="n">
        <v>0.55</v>
      </c>
      <c r="F158" s="2" t="inlineStr">
        <is>
          <t>Remoto</t>
        </is>
      </c>
      <c r="G158" s="5">
        <f>HYPERLINK("https://co.computrabajo.com/ofertas-de-trabajo/oferta-de-trabajo-de-psicologa-especialista-en-sst-y-asesorias-contar-con-vehiculo-propio-barranquilla-en-barranquilla-5D25C69177A001AA61373E686DCF3405", "Ver Vacante")</f>
        <v/>
      </c>
      <c r="H158" s="6" t="inlineStr">
        <is>
          <t>$ 3.000.000,00 (Mensual)</t>
        </is>
      </c>
      <c r="I158" s="3" t="inlineStr">
        <is>
          <t>[Afinidad: 55/100 - Afinidad Moderada] Afinidad parcial en seguridad y salud ocupacional. Modalidad: 100% Remoto en Colombia confirmado.</t>
        </is>
      </c>
      <c r="J158" s="2" t="inlineStr">
        <is>
          <t>Nueva</t>
        </is>
      </c>
      <c r="K158" s="3" t="inlineStr"/>
    </row>
    <row r="159" ht="22" customHeight="1">
      <c r="A159" s="2" t="inlineStr">
        <is>
          <t>a77b591414a1fa3e</t>
        </is>
      </c>
      <c r="B159" s="2" t="inlineStr">
        <is>
          <t>2026-09-24 15:49</t>
        </is>
      </c>
      <c r="C159" s="3" t="inlineStr">
        <is>
          <t>Fisioterapeuta especialista SST Manizales</t>
        </is>
      </c>
      <c r="D159" s="3" t="inlineStr">
        <is>
          <t>Colmedicos S.A.S</t>
        </is>
      </c>
      <c r="E159" s="7" t="n">
        <v>0.55</v>
      </c>
      <c r="F159" s="2" t="inlineStr">
        <is>
          <t>Remoto</t>
        </is>
      </c>
      <c r="G159" s="5">
        <f>HYPERLINK("https://co.computrabajo.com/ofertas-de-trabajo/oferta-de-trabajo-de-fisioterapeuta-especialista-sst-manizales-en-manizales-9F3A05CFD0FBA0CE61373E686DCF3405", "Ver Vacante")</f>
        <v/>
      </c>
      <c r="H159" s="6" t="inlineStr"/>
      <c r="I159" s="3" t="inlineStr">
        <is>
          <t>[Afinidad: 55/100 - Afinidad Moderada] Afinidad parcial en seguridad y salud ocupacional. Modalidad: 100% Remoto en Colombia confirmado.</t>
        </is>
      </c>
      <c r="J159" s="2" t="inlineStr">
        <is>
          <t>Nueva</t>
        </is>
      </c>
      <c r="K159" s="3" t="inlineStr"/>
    </row>
    <row r="160" ht="22" customHeight="1">
      <c r="A160" s="2" t="inlineStr">
        <is>
          <t>388057af16b6b97f</t>
        </is>
      </c>
      <c r="B160" s="2" t="inlineStr">
        <is>
          <t>2026-09-24 15:49</t>
        </is>
      </c>
      <c r="C160" s="3" t="inlineStr">
        <is>
          <t>Psicologo especialista SST</t>
        </is>
      </c>
      <c r="D160" s="3" t="inlineStr">
        <is>
          <t>Importante empresa del sector</t>
        </is>
      </c>
      <c r="E160" s="7" t="n">
        <v>0.55</v>
      </c>
      <c r="F160" s="2" t="inlineStr">
        <is>
          <t>Remoto</t>
        </is>
      </c>
      <c r="G160" s="5">
        <f>HYPERLINK("https://co.computrabajo.com/ofertas-de-trabajo/oferta-de-trabajo-de-psicologo-especialista-sst-yopal-en-yopal-408CB9208C1C5C2361373E686DCF3405", "Ver Vacante")</f>
        <v/>
      </c>
      <c r="H160" s="6" t="inlineStr"/>
      <c r="I160" s="3" t="inlineStr">
        <is>
          <t>[Afinidad: 55/100 - Afinidad Moderada] Afinidad parcial en seguridad y salud ocupacional. Modalidad: 100% Remoto en Colombia confirmado.</t>
        </is>
      </c>
      <c r="J160" s="2" t="inlineStr">
        <is>
          <t>Nueva</t>
        </is>
      </c>
      <c r="K160" s="3" t="inlineStr"/>
    </row>
    <row r="161" ht="22" customHeight="1">
      <c r="A161" s="2" t="inlineStr">
        <is>
          <t>6e7ee65fbd306c7f</t>
        </is>
      </c>
      <c r="B161" s="2" t="inlineStr">
        <is>
          <t>2026-09-24 15:49</t>
        </is>
      </c>
      <c r="C161" s="3" t="inlineStr">
        <is>
          <t>Psicólogo/a especialista en sst - riesgo psicosocial / quirón</t>
        </is>
      </c>
      <c r="D161" s="3" t="inlineStr">
        <is>
          <t>Quirón Prevención Colombia S.A.S</t>
        </is>
      </c>
      <c r="E161" s="7" t="n">
        <v>0.55</v>
      </c>
      <c r="F161" s="2" t="inlineStr">
        <is>
          <t>Remoto</t>
        </is>
      </c>
      <c r="G161" s="5">
        <f>HYPERLINK("https://www.elempleo.com/co/ofertas-trabajo/psicologo-a-especialista-en-sst-riesgo-psicosocial-quiron-1886767749", "Ver Vacante")</f>
        <v/>
      </c>
      <c r="H161" s="6" t="inlineStr"/>
      <c r="I161" s="3" t="inlineStr">
        <is>
          <t>[Afinidad: 55/100 - Afinidad Moderada] Afinidad parcial en seguridad y salud ocupacional. Modalidad: 100% Remoto en Colombia confirmado.</t>
        </is>
      </c>
      <c r="J161" s="2" t="inlineStr">
        <is>
          <t>Nueva</t>
        </is>
      </c>
      <c r="K161" s="3" t="inlineStr"/>
    </row>
    <row r="162" ht="22" customHeight="1">
      <c r="A162" s="2" t="inlineStr">
        <is>
          <t>bc45c56229e78e6b</t>
        </is>
      </c>
      <c r="B162" s="2" t="inlineStr">
        <is>
          <t>2026-09-24 15:49</t>
        </is>
      </c>
      <c r="C162" s="3" t="inlineStr">
        <is>
          <t>Ingeniero químico especialista en sst- medellin</t>
        </is>
      </c>
      <c r="D162" s="3" t="inlineStr">
        <is>
          <t>CROMA MEDICAL IPS SAS</t>
        </is>
      </c>
      <c r="E162" s="7" t="n">
        <v>0.55</v>
      </c>
      <c r="F162" s="2" t="inlineStr">
        <is>
          <t>Remoto</t>
        </is>
      </c>
      <c r="G162" s="5">
        <f>HYPERLINK("https://www.elempleo.com/co/ofertas-trabajo/ingeniero-quimico-especialista-en-sst-medellin-1886754312", "Ver Vacante")</f>
        <v/>
      </c>
      <c r="H162" s="6" t="inlineStr"/>
      <c r="I162" s="3" t="inlineStr">
        <is>
          <t>[Afinidad: 55/100 - Afinidad Moderada] Afinidad parcial en seguridad y salud ocupacional. Modalidad: 100% Remoto en Colombia confirmado.</t>
        </is>
      </c>
      <c r="J162" s="2" t="inlineStr">
        <is>
          <t>Nueva</t>
        </is>
      </c>
      <c r="K162" s="3" t="inlineStr"/>
    </row>
    <row r="163" ht="22" customHeight="1">
      <c r="A163" s="2" t="inlineStr">
        <is>
          <t>4bf629c3f3bdff86</t>
        </is>
      </c>
      <c r="B163" s="2" t="inlineStr">
        <is>
          <t>2026-09-24 15:49</t>
        </is>
      </c>
      <c r="C163" s="3" t="inlineStr">
        <is>
          <t>Especialista sst</t>
        </is>
      </c>
      <c r="D163" s="3" t="inlineStr">
        <is>
          <t>Confidencial</t>
        </is>
      </c>
      <c r="E163" s="7" t="n">
        <v>0.55</v>
      </c>
      <c r="F163" s="2" t="inlineStr">
        <is>
          <t>Remoto</t>
        </is>
      </c>
      <c r="G163" s="5">
        <f>HYPERLINK("https://www.elempleo.com/co/ofertas-trabajo/especialista-sst-1886771182", "Ver Vacante")</f>
        <v/>
      </c>
      <c r="H163" s="6" t="inlineStr"/>
      <c r="I163" s="3" t="inlineStr">
        <is>
          <t>[Afinidad: 55/100 - Afinidad Moderada] Afinidad parcial en seguridad y salud ocupacional. Modalidad: 100% Remoto en Colombia confirmado.</t>
        </is>
      </c>
      <c r="J163" s="2" t="inlineStr">
        <is>
          <t>Nueva</t>
        </is>
      </c>
      <c r="K163" s="3" t="inlineStr"/>
    </row>
    <row r="164" ht="22" customHeight="1">
      <c r="A164" s="2" t="inlineStr">
        <is>
          <t>20a50935767e8aaa</t>
        </is>
      </c>
      <c r="B164" s="2" t="inlineStr">
        <is>
          <t>2026-09-24 15:49</t>
        </is>
      </c>
      <c r="C164" s="3" t="inlineStr">
        <is>
          <t>Cali -consultor psicólogo especialista sst independiente</t>
        </is>
      </c>
      <c r="D164" s="3" t="inlineStr">
        <is>
          <t>Confidencial</t>
        </is>
      </c>
      <c r="E164" s="7" t="n">
        <v>0.55</v>
      </c>
      <c r="F164" s="2" t="inlineStr">
        <is>
          <t>Remoto</t>
        </is>
      </c>
      <c r="G164" s="5">
        <f>HYPERLINK("https://www.elempleo.com/co/ofertas-trabajo/cali-consultor-psicologo-especialista-sst-independiente-1886770879", "Ver Vacante")</f>
        <v/>
      </c>
      <c r="H164" s="6" t="inlineStr"/>
      <c r="I164" s="3" t="inlineStr">
        <is>
          <t>[Afinidad: 55/100 - Afinidad Moderada] Afinidad parcial en seguridad y salud ocupacional. Modalidad: 100% Remoto en Colombia confirmado.</t>
        </is>
      </c>
      <c r="J164" s="2" t="inlineStr">
        <is>
          <t>Nueva</t>
        </is>
      </c>
      <c r="K164" s="3" t="inlineStr"/>
    </row>
    <row r="165" ht="22" customHeight="1">
      <c r="A165" s="2" t="inlineStr">
        <is>
          <t>8496043691452a59</t>
        </is>
      </c>
      <c r="B165" s="2" t="inlineStr">
        <is>
          <t>2026-09-24 15:49</t>
        </is>
      </c>
      <c r="C165" s="3" t="inlineStr">
        <is>
          <t>Bogota- psicólogo especialista sst consultor independiente sabana norte</t>
        </is>
      </c>
      <c r="D165" s="3" t="inlineStr">
        <is>
          <t>Confidencial</t>
        </is>
      </c>
      <c r="E165" s="7" t="n">
        <v>0.55</v>
      </c>
      <c r="F165" s="2" t="inlineStr">
        <is>
          <t>Remoto</t>
        </is>
      </c>
      <c r="G165" s="5">
        <f>HYPERLINK("https://www.elempleo.com/co/ofertas-trabajo/bogota-psicologo-especialista-sst-consultor-independiente-sabana-norte-1886744298", "Ver Vacante")</f>
        <v/>
      </c>
      <c r="H165" s="6" t="inlineStr"/>
      <c r="I165" s="3" t="inlineStr">
        <is>
          <t>[Afinidad: 55/100 - Afinidad Moderada] Afinidad parcial en seguridad y salud ocupacional. Modalidad: 100% Remoto en Colombia confirmado.</t>
        </is>
      </c>
      <c r="J165" s="2" t="inlineStr">
        <is>
          <t>Nueva</t>
        </is>
      </c>
      <c r="K165" s="3" t="inlineStr"/>
    </row>
    <row r="166" ht="22" customHeight="1">
      <c r="A166" s="2" t="inlineStr">
        <is>
          <t>522e1c263a3fd11c</t>
        </is>
      </c>
      <c r="B166" s="2" t="inlineStr">
        <is>
          <t>2026-09-24 15:49</t>
        </is>
      </c>
      <c r="C166" s="3" t="inlineStr">
        <is>
          <t>Medellin - psicólogo especialista sst consultor independiente</t>
        </is>
      </c>
      <c r="D166" s="3" t="inlineStr">
        <is>
          <t>Confidencial</t>
        </is>
      </c>
      <c r="E166" s="7" t="n">
        <v>0.55</v>
      </c>
      <c r="F166" s="2" t="inlineStr">
        <is>
          <t>Remoto</t>
        </is>
      </c>
      <c r="G166" s="5">
        <f>HYPERLINK("https://www.elempleo.com/co/ofertas-trabajo/medellin-psicologo-especialista-sst-consultor-independiente-1886745051", "Ver Vacante")</f>
        <v/>
      </c>
      <c r="H166" s="6" t="inlineStr"/>
      <c r="I166" s="3" t="inlineStr">
        <is>
          <t>[Afinidad: 55/100 - Afinidad Moderada] Afinidad parcial en seguridad y salud ocupacional. Modalidad: 100% Remoto en Colombia confirmado.</t>
        </is>
      </c>
      <c r="J166" s="2" t="inlineStr">
        <is>
          <t>Nueva</t>
        </is>
      </c>
      <c r="K166" s="3" t="inlineStr"/>
    </row>
    <row r="167" ht="22" customHeight="1">
      <c r="A167" s="2" t="inlineStr">
        <is>
          <t>1a7c07516ac16e1d</t>
        </is>
      </c>
      <c r="B167" s="2" t="inlineStr">
        <is>
          <t>2026-09-24 15:49</t>
        </is>
      </c>
      <c r="C167" s="3" t="inlineStr">
        <is>
          <t>Bogota- psicólogo especialista sst consultor independiente</t>
        </is>
      </c>
      <c r="D167" s="3" t="inlineStr">
        <is>
          <t>Confidencial</t>
        </is>
      </c>
      <c r="E167" s="7" t="n">
        <v>0.55</v>
      </c>
      <c r="F167" s="2" t="inlineStr">
        <is>
          <t>Remoto</t>
        </is>
      </c>
      <c r="G167" s="5">
        <f>HYPERLINK("https://www.elempleo.com/co/ofertas-trabajo/bogota-psicologo-especialista-sst-consultor-independiente-1886770878", "Ver Vacante")</f>
        <v/>
      </c>
      <c r="H167" s="6" t="inlineStr"/>
      <c r="I167" s="3" t="inlineStr">
        <is>
          <t>[Afinidad: 55/100 - Afinidad Moderada] Afinidad parcial en seguridad y salud ocupacional. Modalidad: 100% Remoto en Colombia confirmado.</t>
        </is>
      </c>
      <c r="J167" s="2" t="inlineStr">
        <is>
          <t>Nueva</t>
        </is>
      </c>
      <c r="K167" s="3" t="inlineStr"/>
    </row>
    <row r="168" ht="22" customHeight="1">
      <c r="A168" s="2" t="inlineStr">
        <is>
          <t>2d3540702126046e</t>
        </is>
      </c>
      <c r="B168" s="2" t="inlineStr">
        <is>
          <t>2026-09-24 15:49</t>
        </is>
      </c>
      <c r="C168" s="3" t="inlineStr">
        <is>
          <t>Fisioterapeuta especialista en seguridad y salud en el trabajo | sector de seguridad privada</t>
        </is>
      </c>
      <c r="D168" s="3" t="inlineStr">
        <is>
          <t>ADECCO COLOMBIA S A</t>
        </is>
      </c>
      <c r="E168" s="7" t="n">
        <v>0.55</v>
      </c>
      <c r="F168" s="2" t="inlineStr">
        <is>
          <t>Remoto</t>
        </is>
      </c>
      <c r="G168" s="5">
        <f>HYPERLINK("https://www.elempleo.com/co/ofertas-trabajo/fisioterapeuta-especialista-en-seguridad-y-salud-en-el-trabajo-sector-de-seguridad-privada-1886745139", "Ver Vacante")</f>
        <v/>
      </c>
      <c r="H168" s="6" t="inlineStr"/>
      <c r="I168" s="3" t="inlineStr">
        <is>
          <t>[Afinidad: 55/100 - Afinidad Moderada] Afinidad parcial en seguridad y salud ocupacional. Modalidad: 100% Remoto en Colombia confirmado.</t>
        </is>
      </c>
      <c r="J168" s="2" t="inlineStr">
        <is>
          <t>Nueva</t>
        </is>
      </c>
      <c r="K168" s="3" t="inlineStr"/>
    </row>
    <row r="169" ht="22" customHeight="1">
      <c r="A169" s="2" t="inlineStr">
        <is>
          <t>087cb5a49add2662</t>
        </is>
      </c>
      <c r="B169" s="2" t="inlineStr">
        <is>
          <t>2026-09-24 15:50</t>
        </is>
      </c>
      <c r="C169" s="3" t="inlineStr">
        <is>
          <t>Coordinador de Infraestructura Colombia</t>
        </is>
      </c>
      <c r="D169" s="3" t="inlineStr">
        <is>
          <t>Camposol</t>
        </is>
      </c>
      <c r="E169" s="7" t="n">
        <v>0.55</v>
      </c>
      <c r="F169" s="2" t="inlineStr">
        <is>
          <t>Remoto</t>
        </is>
      </c>
      <c r="G169" s="5">
        <f>HYPERLINK("https://co.linkedin.com/jobs/view/coordinador-de-infraestructura-colombia-at-camposol-s-a-4466226718", "Ver Vacante")</f>
        <v/>
      </c>
      <c r="H169" s="6" t="inlineStr"/>
      <c r="I169" s="3" t="inlineStr">
        <is>
          <t>[Afinidad: 55/100 - Afinidad Moderada] Afinidad parcial en infraestructura vial y transporte. Modalidad: 100% Remoto en Colombia confirmado.</t>
        </is>
      </c>
      <c r="J169" s="2" t="inlineStr">
        <is>
          <t>Nueva</t>
        </is>
      </c>
      <c r="K169" s="3" t="inlineStr"/>
    </row>
    <row r="170" ht="22" customHeight="1">
      <c r="A170" s="2" t="inlineStr">
        <is>
          <t>bc8cf3f9407cb00a</t>
        </is>
      </c>
      <c r="B170" s="2" t="inlineStr">
        <is>
          <t>2026-09-24 15:50</t>
        </is>
      </c>
      <c r="C170" s="3" t="inlineStr">
        <is>
          <t>Coordinador de SST</t>
        </is>
      </c>
      <c r="D170" s="3" t="inlineStr">
        <is>
          <t>Lean Solutions Group</t>
        </is>
      </c>
      <c r="E170" s="7" t="n">
        <v>0.55</v>
      </c>
      <c r="F170" s="2" t="inlineStr">
        <is>
          <t>Remoto</t>
        </is>
      </c>
      <c r="G170" s="5">
        <f>HYPERLINK("https://co.linkedin.com/jobs/view/coordinador-de-sst-at-lean-solutions-group-4463128075", "Ver Vacante")</f>
        <v/>
      </c>
      <c r="H170" s="6" t="inlineStr"/>
      <c r="I170" s="3" t="inlineStr">
        <is>
          <t>[Afinidad: 55/100 - Afinidad Moderada] Afinidad parcial en seguridad y salud ocupacional. Modalidad: 100% Remoto en Colombia confirmado.</t>
        </is>
      </c>
      <c r="J170" s="2" t="inlineStr">
        <is>
          <t>Nueva</t>
        </is>
      </c>
      <c r="K170" s="3" t="inlineStr"/>
    </row>
    <row r="171" ht="22" customHeight="1">
      <c r="A171" s="2" t="inlineStr">
        <is>
          <t>88a9bea62832d1de</t>
        </is>
      </c>
      <c r="B171" s="2" t="inlineStr">
        <is>
          <t>2026-09-25 15:50</t>
        </is>
      </c>
      <c r="C171" s="3" t="inlineStr">
        <is>
          <t>Fisioterapeuta Especialista en SST</t>
        </is>
      </c>
      <c r="D171" s="3" t="inlineStr">
        <is>
          <t>ACTIVOS S A S</t>
        </is>
      </c>
      <c r="E171" s="7" t="n">
        <v>0.55</v>
      </c>
      <c r="F171" s="2" t="inlineStr">
        <is>
          <t>Remoto</t>
        </is>
      </c>
      <c r="G171" s="5">
        <f>HYPERLINK("https://co.computrabajo.com/ofertas-de-trabajo/oferta-de-trabajo-de-fisioterapeuta-especialista-en-sst-buenaventura-en-buenaventura-1C72EFDADC97DCF161373E686DCF3405", "Ver Vacante")</f>
        <v/>
      </c>
      <c r="H171" s="6" t="inlineStr">
        <is>
          <t>$ 5.243.400,00 (Mensual)</t>
        </is>
      </c>
      <c r="I171" s="3" t="inlineStr">
        <is>
          <t>[Afinidad: 55/100 - Afinidad Moderada] Afinidad parcial en seguridad y salud ocupacional. Modalidad: 100% Remoto en Colombia confirmado.</t>
        </is>
      </c>
      <c r="J171" s="2" t="inlineStr">
        <is>
          <t>Nueva</t>
        </is>
      </c>
      <c r="K171" s="3" t="inlineStr"/>
    </row>
    <row r="172" ht="22" customHeight="1">
      <c r="A172" s="2" t="inlineStr">
        <is>
          <t>238b2616c659049c</t>
        </is>
      </c>
      <c r="B172" s="2" t="inlineStr">
        <is>
          <t>2026-09-25 15:50</t>
        </is>
      </c>
      <c r="C172" s="3" t="inlineStr">
        <is>
          <t>Psicólogo/a especialista en SST/Jamundí/ Conocimiento en riesgo psicosocial</t>
        </is>
      </c>
      <c r="D172" s="3" t="inlineStr">
        <is>
          <t>Importante empresa del sector de servicios</t>
        </is>
      </c>
      <c r="E172" s="7" t="n">
        <v>0.55</v>
      </c>
      <c r="F172" s="2" t="inlineStr">
        <is>
          <t>Remoto</t>
        </is>
      </c>
      <c r="G172" s="5">
        <f>HYPERLINK("https://co.computrabajo.com/ofertas-de-trabajo/oferta-de-trabajo-de-psicologoa-especialista-en-sstjamundi-conocimiento-en-riesgo-psicosocial-en-cali-3D2A6E3C311D176961373E686DCF3405", "Ver Vacante")</f>
        <v/>
      </c>
      <c r="H172" s="6" t="inlineStr"/>
      <c r="I172" s="3" t="inlineStr">
        <is>
          <t>[Afinidad: 55/100 - Afinidad Moderada] Afinidad parcial en seguridad y salud ocupacional. Modalidad: 100% Remoto en Colombia confirmado.</t>
        </is>
      </c>
      <c r="J172" s="2" t="inlineStr">
        <is>
          <t>Nueva</t>
        </is>
      </c>
      <c r="K172" s="3" t="inlineStr"/>
    </row>
    <row r="173" ht="22" customHeight="1">
      <c r="A173" s="2" t="inlineStr">
        <is>
          <t>cd92cac80658d1be</t>
        </is>
      </c>
      <c r="B173" s="2" t="inlineStr">
        <is>
          <t>2026-09-25 15:50</t>
        </is>
      </c>
      <c r="C173" s="3" t="inlineStr">
        <is>
          <t>Psicólogo/a Especialista en SST para Medio Tiempo</t>
        </is>
      </c>
      <c r="D173" s="3" t="inlineStr">
        <is>
          <t>ACTIVOS S A S</t>
        </is>
      </c>
      <c r="E173" s="7" t="n">
        <v>0.55</v>
      </c>
      <c r="F173" s="2" t="inlineStr">
        <is>
          <t>Remoto</t>
        </is>
      </c>
      <c r="G173" s="5">
        <f>HYPERLINK("https://co.computrabajo.com/ofertas-de-trabajo/oferta-de-trabajo-de-psicologoa-especialista-en-sst-para-medio-tiempo-en-cerrito-en-el-cerrito-220FFC97D9478B1161373E686DCF3405", "Ver Vacante")</f>
        <v/>
      </c>
      <c r="H173" s="6" t="inlineStr">
        <is>
          <t>$ 1.890.000,00 (Mensual)</t>
        </is>
      </c>
      <c r="I173" s="3" t="inlineStr">
        <is>
          <t>[Afinidad: 55/100 - Afinidad Moderada] Afinidad parcial en seguridad y salud ocupacional. Modalidad: 100% Remoto en Colombia confirmado.</t>
        </is>
      </c>
      <c r="J173" s="2" t="inlineStr">
        <is>
          <t>Nueva</t>
        </is>
      </c>
      <c r="K173" s="3" t="inlineStr"/>
    </row>
    <row r="174" ht="22" customHeight="1">
      <c r="A174" s="2" t="inlineStr">
        <is>
          <t>578747dd0b781126</t>
        </is>
      </c>
      <c r="B174" s="2" t="inlineStr">
        <is>
          <t>2026-09-25 15:50</t>
        </is>
      </c>
      <c r="C174" s="3" t="inlineStr">
        <is>
          <t>Fisioterapeuta especialista en SST Villavicencio</t>
        </is>
      </c>
      <c r="D174" s="3" t="inlineStr">
        <is>
          <t>Importante empresa del sector</t>
        </is>
      </c>
      <c r="E174" s="7" t="n">
        <v>0.55</v>
      </c>
      <c r="F174" s="2" t="inlineStr">
        <is>
          <t>Remoto</t>
        </is>
      </c>
      <c r="G174" s="5">
        <f>HYPERLINK("https://co.computrabajo.com/ofertas-de-trabajo/oferta-de-trabajo-de-fisioterapeuta-especialista-en-sst-villavicencio-experiencia-en-hidrocarburos-en-villavicencio-E445FF6BE09E9B4B61373E686DCF3405", "Ver Vacante")</f>
        <v/>
      </c>
      <c r="H174" s="6" t="inlineStr">
        <is>
          <t>Presencial y remoto</t>
        </is>
      </c>
      <c r="I174" s="3" t="inlineStr">
        <is>
          <t>[Afinidad: 55/100 - Afinidad Moderada] Afinidad parcial en seguridad y salud ocupacional. Modalidad: 100% Remoto en Colombia confirmado.</t>
        </is>
      </c>
      <c r="J174" s="2" t="inlineStr">
        <is>
          <t>Nueva</t>
        </is>
      </c>
      <c r="K174" s="3" t="inlineStr"/>
    </row>
    <row r="175" ht="22" customHeight="1">
      <c r="A175" s="2" t="inlineStr">
        <is>
          <t>97d9b015f274e137</t>
        </is>
      </c>
      <c r="B175" s="2" t="inlineStr">
        <is>
          <t>2026-09-25 15:50</t>
        </is>
      </c>
      <c r="C175" s="3" t="inlineStr">
        <is>
          <t>Psicólogo especialista en SST</t>
        </is>
      </c>
      <c r="D175" s="3" t="inlineStr">
        <is>
          <t>UNIDAD DE SALUD OCUPACIONAL S.A.S</t>
        </is>
      </c>
      <c r="E175" s="7" t="n">
        <v>0.55</v>
      </c>
      <c r="F175" s="2" t="inlineStr">
        <is>
          <t>Remoto</t>
        </is>
      </c>
      <c r="G175" s="5">
        <f>HYPERLINK("https://co.computrabajo.com/ofertas-de-trabajo/oferta-de-trabajo-de-psicologo-especialista-en-sst-bogota-en-bogota-dc-C945C7EC609EE18761373E686DCF3405", "Ver Vacante")</f>
        <v/>
      </c>
      <c r="H175" s="6" t="inlineStr"/>
      <c r="I175" s="3" t="inlineStr">
        <is>
          <t>[Afinidad: 55/100 - Afinidad Moderada] Afinidad parcial en seguridad y salud ocupacional. Modalidad: 100% Remoto en Colombia confirmado.</t>
        </is>
      </c>
      <c r="J175" s="2" t="inlineStr">
        <is>
          <t>Nueva</t>
        </is>
      </c>
      <c r="K175" s="3" t="inlineStr"/>
    </row>
    <row r="176" ht="22" customHeight="1">
      <c r="A176" s="2" t="inlineStr">
        <is>
          <t>d83791a6f0a494ef</t>
        </is>
      </c>
      <c r="B176" s="2" t="inlineStr">
        <is>
          <t>2026-09-25 15:50</t>
        </is>
      </c>
      <c r="C176" s="3" t="inlineStr">
        <is>
          <t>Ingeniero especialista en SST Licencia Vigente</t>
        </is>
      </c>
      <c r="D176" s="3" t="inlineStr">
        <is>
          <t>ACTIVOS S A S</t>
        </is>
      </c>
      <c r="E176" s="7" t="n">
        <v>0.55</v>
      </c>
      <c r="F176" s="2" t="inlineStr">
        <is>
          <t>Remoto</t>
        </is>
      </c>
      <c r="G176" s="5">
        <f>HYPERLINK("https://co.computrabajo.com/ofertas-de-trabajo/oferta-de-trabajo-de-ingeniero-especialista-en-sst-licencia-vigente-sector-hidrocarburos-pesv-en-bogota-dc-2FA9079CAA4CFA4761373E686DCF3405", "Ver Vacante")</f>
        <v/>
      </c>
      <c r="H176" s="6" t="inlineStr">
        <is>
          <t>$ 4.143.800,00 (Mensual)</t>
        </is>
      </c>
      <c r="I176" s="3" t="inlineStr">
        <is>
          <t>[Afinidad: 55/100 - Afinidad Moderada] Afinidad parcial en seguridad y salud ocupacional. Modalidad: 100% Remoto en Colombia confirmado.</t>
        </is>
      </c>
      <c r="J176" s="2" t="inlineStr">
        <is>
          <t>Nueva</t>
        </is>
      </c>
      <c r="K176" s="3" t="inlineStr"/>
    </row>
    <row r="177" ht="22" customHeight="1">
      <c r="A177" s="2" t="inlineStr">
        <is>
          <t>92c29f4e280c2071</t>
        </is>
      </c>
      <c r="B177" s="2" t="inlineStr">
        <is>
          <t>2026-09-25 15:50</t>
        </is>
      </c>
      <c r="C177" s="3" t="inlineStr">
        <is>
          <t>Fisioterapeuta especialista en SST Villavicencio</t>
        </is>
      </c>
      <c r="D177" s="3" t="inlineStr">
        <is>
          <t>Importante empresa del sector</t>
        </is>
      </c>
      <c r="E177" s="7" t="n">
        <v>0.55</v>
      </c>
      <c r="F177" s="2" t="inlineStr">
        <is>
          <t>Remoto</t>
        </is>
      </c>
      <c r="G177" s="5">
        <f>HYPERLINK("https://co.computrabajo.com/ofertas-de-trabajo/oferta-de-trabajo-de-fisioterapeuta-especialista-en-sst-villavicencio-experiencia-en-hidrocarburos-en-villavicencio-807C252D1FC6415161373E686DCF3405", "Ver Vacante")</f>
        <v/>
      </c>
      <c r="H177" s="6" t="inlineStr">
        <is>
          <t>Presencial y remoto</t>
        </is>
      </c>
      <c r="I177" s="3" t="inlineStr">
        <is>
          <t>[Afinidad: 55/100 - Afinidad Moderada] Afinidad parcial en seguridad y salud ocupacional. Modalidad: 100% Remoto en Colombia confirmado.</t>
        </is>
      </c>
      <c r="J177" s="2" t="inlineStr">
        <is>
          <t>Nueva</t>
        </is>
      </c>
      <c r="K177" s="3" t="inlineStr"/>
    </row>
    <row r="178" ht="22" customHeight="1">
      <c r="A178" s="2" t="inlineStr">
        <is>
          <t>0a9409925ce9f28b</t>
        </is>
      </c>
      <c r="B178" s="2" t="inlineStr">
        <is>
          <t>2026-09-25 15:50</t>
        </is>
      </c>
      <c r="C178" s="3" t="inlineStr">
        <is>
          <t>Fisioterapeuta o Terapeuta Ocupacional especialista en SST</t>
        </is>
      </c>
      <c r="D178" s="3" t="inlineStr">
        <is>
          <t>INTERSALUD OCUPACIONAL</t>
        </is>
      </c>
      <c r="E178" s="7" t="n">
        <v>0.55</v>
      </c>
      <c r="F178" s="2" t="inlineStr">
        <is>
          <t>Remoto</t>
        </is>
      </c>
      <c r="G178" s="5">
        <f>HYPERLINK("https://co.computrabajo.com/ofertas-de-trabajo/oferta-de-trabajo-de-fisioterapeuta-o-terapeuta-ocupacional-especialista-en-sst-experiencia-en-sector-industrial-en-cali-DD7C2DAF8D40294D61373E686DCF3405", "Ver Vacante")</f>
        <v/>
      </c>
      <c r="H178" s="6" t="inlineStr">
        <is>
          <t>$ 3.900.000,00 (Mensual)</t>
        </is>
      </c>
      <c r="I178" s="3" t="inlineStr">
        <is>
          <t>[Afinidad: 55/100 - Afinidad Moderada] Afinidad parcial en seguridad y salud ocupacional. Modalidad: 100% Remoto en Colombia confirmado.</t>
        </is>
      </c>
      <c r="J178" s="2" t="inlineStr">
        <is>
          <t>Nueva</t>
        </is>
      </c>
      <c r="K178" s="3" t="inlineStr"/>
    </row>
    <row r="179" ht="22" customHeight="1">
      <c r="A179" s="2" t="inlineStr">
        <is>
          <t>47fd332bf15a57b4</t>
        </is>
      </c>
      <c r="B179" s="2" t="inlineStr">
        <is>
          <t>2026-09-25 15:50</t>
        </is>
      </c>
      <c r="C179" s="3" t="inlineStr">
        <is>
          <t>Coordinador SST especialista en Gestión Ambiental</t>
        </is>
      </c>
      <c r="D179" s="3" t="inlineStr">
        <is>
          <t>Importante empresa del sector</t>
        </is>
      </c>
      <c r="E179" s="7" t="n">
        <v>0.55</v>
      </c>
      <c r="F179" s="2" t="inlineStr">
        <is>
          <t>Remoto</t>
        </is>
      </c>
      <c r="G179" s="5">
        <f>HYPERLINK("https://co.computrabajo.com/ofertas-de-trabajo/oferta-de-trabajo-de-coordinador-sst-especialista-en-gestion-ambiental-en-medellin-B9A15B0A7A21F23A61373E686DCF3405", "Ver Vacante")</f>
        <v/>
      </c>
      <c r="H179" s="6" t="inlineStr">
        <is>
          <t>$ 350.000,00 (Mensual)</t>
        </is>
      </c>
      <c r="I179" s="3" t="inlineStr">
        <is>
          <t>[Afinidad: 55/100 - Afinidad Moderada] Afinidad parcial en seguridad y salud ocupacional. Modalidad: 100% Remoto en Colombia confirmado.</t>
        </is>
      </c>
      <c r="J179" s="2" t="inlineStr">
        <is>
          <t>Nueva</t>
        </is>
      </c>
      <c r="K179" s="3" t="inlineStr"/>
    </row>
    <row r="180" ht="22" customHeight="1">
      <c r="A180" s="2" t="inlineStr">
        <is>
          <t>e5eb3260f5d87bcf</t>
        </is>
      </c>
      <c r="B180" s="2" t="inlineStr">
        <is>
          <t>2026-09-25 15:50</t>
        </is>
      </c>
      <c r="C180" s="3" t="inlineStr">
        <is>
          <t>Especialista PESV</t>
        </is>
      </c>
      <c r="D180" s="3" t="inlineStr">
        <is>
          <t>Importante empresa del sector</t>
        </is>
      </c>
      <c r="E180" s="7" t="n">
        <v>0.55</v>
      </c>
      <c r="F180" s="2" t="inlineStr">
        <is>
          <t>Remoto</t>
        </is>
      </c>
      <c r="G180" s="5">
        <f>HYPERLINK("https://co.computrabajo.com/ofertas-de-trabajo/oferta-de-trabajo-de-especialista-pesv-boyaca-en-bogota-dc-11609B278124ECD461373E686DCF3405", "Ver Vacante")</f>
        <v/>
      </c>
      <c r="H180" s="6" t="inlineStr"/>
      <c r="I180" s="3" t="inlineStr">
        <is>
          <t>[Afinidad: 55/100 - Afinidad Moderada] Afinidad parcial en infraestructura vial y transporte. Modalidad: 100% Remoto en Colombia confirmado.</t>
        </is>
      </c>
      <c r="J180" s="2" t="inlineStr">
        <is>
          <t>Nueva</t>
        </is>
      </c>
      <c r="K180" s="3" t="inlineStr"/>
    </row>
    <row r="181" ht="22" customHeight="1">
      <c r="A181" s="2" t="inlineStr">
        <is>
          <t>dac78435b7f18639</t>
        </is>
      </c>
      <c r="B181" s="2" t="inlineStr">
        <is>
          <t>2026-09-25 15:50</t>
        </is>
      </c>
      <c r="C181" s="3" t="inlineStr">
        <is>
          <t>Coordinador de sst</t>
        </is>
      </c>
      <c r="D181" s="3" t="inlineStr">
        <is>
          <t>Confidencial</t>
        </is>
      </c>
      <c r="E181" s="7" t="n">
        <v>0.55</v>
      </c>
      <c r="F181" s="2" t="inlineStr">
        <is>
          <t>Remoto</t>
        </is>
      </c>
      <c r="G181" s="5">
        <f>HYPERLINK("https://www.elempleo.com/co/ofertas-trabajo/coordinador-de-sst-1886772161", "Ver Vacante")</f>
        <v/>
      </c>
      <c r="H181" s="6" t="inlineStr"/>
      <c r="I181" s="3" t="inlineStr">
        <is>
          <t>[Afinidad: 55/100 - Afinidad Moderada] Afinidad parcial en seguridad y salud ocupacional. Modalidad: 100% Remoto en Colombia confirmado.</t>
        </is>
      </c>
      <c r="J181" s="2" t="inlineStr">
        <is>
          <t>Nueva</t>
        </is>
      </c>
      <c r="K181" s="3" t="inlineStr"/>
    </row>
    <row r="182" ht="22" customHeight="1">
      <c r="A182" s="2" t="inlineStr">
        <is>
          <t>f070f0e1701ece88</t>
        </is>
      </c>
      <c r="B182" s="2" t="inlineStr">
        <is>
          <t>2026-09-25 15:50</t>
        </is>
      </c>
      <c r="C182" s="3" t="inlineStr">
        <is>
          <t>¡impulsa tu carrera en sg-sst!</t>
        </is>
      </c>
      <c r="D182" s="3" t="inlineStr">
        <is>
          <t>Confidencial</t>
        </is>
      </c>
      <c r="E182" s="7" t="n">
        <v>0.55</v>
      </c>
      <c r="F182" s="2" t="inlineStr">
        <is>
          <t>Remoto</t>
        </is>
      </c>
      <c r="G182" s="5">
        <f>HYPERLINK("https://www.elempleo.com/co/ofertas-trabajo/impulsa-tu-carrera-en-sgsst-md-1886771759", "Ver Vacante")</f>
        <v/>
      </c>
      <c r="H182" s="6" t="inlineStr"/>
      <c r="I182" s="3" t="inlineStr">
        <is>
          <t>[Afinidad: 55/100 - Afinidad Moderada] Alta coincidencia en gestión de Seguridad y Salud en el Trabajo (SST). Modalidad: 100% Remoto en Colombia confirmado.</t>
        </is>
      </c>
      <c r="J182" s="2" t="inlineStr">
        <is>
          <t>Nueva</t>
        </is>
      </c>
      <c r="K182" s="3" t="inlineStr"/>
    </row>
    <row r="183" ht="22" customHeight="1">
      <c r="A183" s="2" t="inlineStr">
        <is>
          <t>b332ff8f489a6d6f</t>
        </is>
      </c>
      <c r="B183" s="2" t="inlineStr">
        <is>
          <t>2026-09-25 15:50</t>
        </is>
      </c>
      <c r="C183" s="3" t="inlineStr">
        <is>
          <t>¡impulsa tu carrera en sg-sst!</t>
        </is>
      </c>
      <c r="D183" s="3" t="inlineStr">
        <is>
          <t>Confidencial</t>
        </is>
      </c>
      <c r="E183" s="7" t="n">
        <v>0.55</v>
      </c>
      <c r="F183" s="2" t="inlineStr">
        <is>
          <t>Remoto</t>
        </is>
      </c>
      <c r="G183" s="5">
        <f>HYPERLINK("https://www.elempleo.com/co/ofertas-trabajo/impulsa-tu-carrera-en-sgsst-md-1886771765", "Ver Vacante")</f>
        <v/>
      </c>
      <c r="H183" s="6" t="inlineStr"/>
      <c r="I183" s="3" t="inlineStr">
        <is>
          <t>[Afinidad: 55/100 - Afinidad Moderada] Alta coincidencia en gestión de Seguridad y Salud en el Trabajo (SST). Modalidad: 100% Remoto en Colombia confirmado.</t>
        </is>
      </c>
      <c r="J183" s="2" t="inlineStr">
        <is>
          <t>Nueva</t>
        </is>
      </c>
      <c r="K183" s="3" t="inlineStr"/>
    </row>
    <row r="184" ht="22" customHeight="1">
      <c r="A184" s="2" t="inlineStr">
        <is>
          <t>91df852b2a4ac064</t>
        </is>
      </c>
      <c r="B184" s="2" t="inlineStr">
        <is>
          <t>2026-09-25 15:50</t>
        </is>
      </c>
      <c r="C184" s="3" t="inlineStr">
        <is>
          <t>Coordinador SST</t>
        </is>
      </c>
      <c r="D184" s="3" t="inlineStr">
        <is>
          <t>Grupo Espumados</t>
        </is>
      </c>
      <c r="E184" s="7" t="n">
        <v>0.55</v>
      </c>
      <c r="F184" s="2" t="inlineStr">
        <is>
          <t>Remoto</t>
        </is>
      </c>
      <c r="G184" s="5">
        <f>HYPERLINK("https://co.linkedin.com/jobs/view/coordinador-sst-at-grupo-espumados-4472001098", "Ver Vacante")</f>
        <v/>
      </c>
      <c r="H184" s="6" t="inlineStr"/>
      <c r="I184" s="3" t="inlineStr">
        <is>
          <t>[Afinidad: 55/100 - Afinidad Moderada] Afinidad parcial en seguridad y salud ocupacional. Modalidad: 100% Remoto en Colombia confirmado.</t>
        </is>
      </c>
      <c r="J184" s="2" t="inlineStr">
        <is>
          <t>Nueva</t>
        </is>
      </c>
      <c r="K184" s="3" t="inlineStr"/>
    </row>
    <row r="185" ht="22" customHeight="1">
      <c r="A185" s="2" t="inlineStr">
        <is>
          <t>1eb623fce43a3d9a</t>
        </is>
      </c>
      <c r="B185" s="2" t="inlineStr">
        <is>
          <t>2026-09-26 15:00</t>
        </is>
      </c>
      <c r="C185" s="3" t="inlineStr">
        <is>
          <t>Ingeniero Industrial Especialista SST Experiencia en riesgo laboral</t>
        </is>
      </c>
      <c r="D185" s="3" t="inlineStr">
        <is>
          <t>Importante empresa del sector</t>
        </is>
      </c>
      <c r="E185" s="7" t="n">
        <v>0.55</v>
      </c>
      <c r="F185" s="2" t="inlineStr">
        <is>
          <t>Remoto</t>
        </is>
      </c>
      <c r="G185" s="5">
        <f>HYPERLINK("https://co.computrabajo.com/ofertas-de-trabajo/oferta-de-trabajo-de-ingeniero-industrial-especialista-sst-experiencia-en-riesgo-laboral-en-bogota-dc-E71079E30BEC1C2861373E686DCF3405", "Ver Vacante")</f>
        <v/>
      </c>
      <c r="H185" s="6" t="inlineStr"/>
      <c r="I185" s="3" t="inlineStr">
        <is>
          <t>[Afinidad: 55/100 - Afinidad Moderada] Afinidad parcial en seguridad y salud ocupacional. Modalidad: 100% Remoto en Colombia confirmado.</t>
        </is>
      </c>
      <c r="J185" s="2" t="inlineStr">
        <is>
          <t>Nueva</t>
        </is>
      </c>
      <c r="K185" s="3" t="inlineStr"/>
    </row>
    <row r="186" ht="22" customHeight="1">
      <c r="A186" s="2" t="inlineStr">
        <is>
          <t>6f3983b118e693c4</t>
        </is>
      </c>
      <c r="B186" s="2" t="inlineStr">
        <is>
          <t>2026-09-26 15:00</t>
        </is>
      </c>
      <c r="C186" s="3" t="inlineStr">
        <is>
          <t>Psicólogo(a) Especialista SST Neiva</t>
        </is>
      </c>
      <c r="D186" s="3" t="inlineStr">
        <is>
          <t>EDUCASALUD S.A.S</t>
        </is>
      </c>
      <c r="E186" s="7" t="n">
        <v>0.55</v>
      </c>
      <c r="F186" s="2" t="inlineStr">
        <is>
          <t>Remoto</t>
        </is>
      </c>
      <c r="G186" s="5">
        <f>HYPERLINK("https://co.computrabajo.com/ofertas-de-trabajo/oferta-de-trabajo-de-psicologoa-especialista-sst-neiva-prestacion-de-servicios-neiva-en-neiva-E475ABE3BE5186D261373E686DCF3405", "Ver Vacante")</f>
        <v/>
      </c>
      <c r="H186" s="6" t="inlineStr"/>
      <c r="I186" s="3" t="inlineStr">
        <is>
          <t>[Afinidad: 55/100 - Afinidad Moderada] Afinidad parcial en seguridad y salud ocupacional. Modalidad: 100% Remoto en Colombia confirmado.</t>
        </is>
      </c>
      <c r="J186" s="2" t="inlineStr">
        <is>
          <t>Nueva</t>
        </is>
      </c>
      <c r="K186" s="3" t="inlineStr"/>
    </row>
    <row r="187" ht="22" customHeight="1">
      <c r="A187" s="2" t="inlineStr">
        <is>
          <t>0185470bdcf0233f</t>
        </is>
      </c>
      <c r="B187" s="2" t="inlineStr">
        <is>
          <t>2026-09-26 15:00</t>
        </is>
      </c>
      <c r="C187" s="3" t="inlineStr">
        <is>
          <t>Neiva Fisioterapeuta Especialista en SST</t>
        </is>
      </c>
      <c r="D187" s="3" t="inlineStr">
        <is>
          <t>EDUCASALUD S.A.S</t>
        </is>
      </c>
      <c r="E187" s="7" t="n">
        <v>0.55</v>
      </c>
      <c r="F187" s="2" t="inlineStr">
        <is>
          <t>Remoto</t>
        </is>
      </c>
      <c r="G187" s="5">
        <f>HYPERLINK("https://co.computrabajo.com/ofertas-de-trabajo/oferta-de-trabajo-de-neiva-fisioterapeuta-especialista-en-sst-en-bogota-dc-E4485145432D13D461373E686DCF3405", "Ver Vacante")</f>
        <v/>
      </c>
      <c r="H187" s="6" t="inlineStr">
        <is>
          <t>$ 3.040.000,00 (Mensual)</t>
        </is>
      </c>
      <c r="I187" s="3" t="inlineStr">
        <is>
          <t>[Afinidad: 55/100 - Afinidad Moderada] Afinidad parcial en seguridad y salud ocupacional. Modalidad: 100% Remoto en Colombia confirmado.</t>
        </is>
      </c>
      <c r="J187" s="2" t="inlineStr">
        <is>
          <t>Nueva</t>
        </is>
      </c>
      <c r="K187" s="3" t="inlineStr"/>
    </row>
    <row r="188" ht="22" customHeight="1">
      <c r="A188" s="2" t="inlineStr">
        <is>
          <t>6906965b541e09a9</t>
        </is>
      </c>
      <c r="B188" s="2" t="inlineStr">
        <is>
          <t>2026-09-26 15:00</t>
        </is>
      </c>
      <c r="C188" s="3" t="inlineStr">
        <is>
          <t>Fisioterapeuta especialista en SST</t>
        </is>
      </c>
      <c r="D188" s="3" t="inlineStr">
        <is>
          <t>PERMODA LTDA</t>
        </is>
      </c>
      <c r="E188" s="7" t="n">
        <v>0.55</v>
      </c>
      <c r="F188" s="2" t="inlineStr">
        <is>
          <t>Remoto</t>
        </is>
      </c>
      <c r="G188" s="5">
        <f>HYPERLINK("https://co.computrabajo.com/ofertas-de-trabajo/oferta-de-trabajo-de-fisioterapeuta-especialista-en-sst-bogota-en-bogota-dc-5B3031F01872EB9661373E686DCF3405", "Ver Vacante")</f>
        <v/>
      </c>
      <c r="H188" s="6" t="inlineStr">
        <is>
          <t>$ 2.552.000,00 (Mensual)</t>
        </is>
      </c>
      <c r="I188" s="3" t="inlineStr">
        <is>
          <t>[Afinidad: 55/100 - Afinidad Moderada] Afinidad parcial en seguridad y salud ocupacional. Modalidad: 100% Remoto en Colombia confirmado.</t>
        </is>
      </c>
      <c r="J188" s="2" t="inlineStr">
        <is>
          <t>Nueva</t>
        </is>
      </c>
      <c r="K188" s="3" t="inlineStr"/>
    </row>
    <row r="189" ht="22" customHeight="1">
      <c r="A189" s="2" t="inlineStr">
        <is>
          <t>1686ab7d1c9fa61f</t>
        </is>
      </c>
      <c r="B189" s="2" t="inlineStr">
        <is>
          <t>2026-09-26 15:00</t>
        </is>
      </c>
      <c r="C189" s="3" t="inlineStr">
        <is>
          <t>Psicólogo(a) Especialista En sst</t>
        </is>
      </c>
      <c r="D189" s="3" t="inlineStr">
        <is>
          <t>TEMPORALES PLUS EST S.A.</t>
        </is>
      </c>
      <c r="E189" s="7" t="n">
        <v>0.55</v>
      </c>
      <c r="F189" s="2" t="inlineStr">
        <is>
          <t>Remoto</t>
        </is>
      </c>
      <c r="G189" s="5">
        <f>HYPERLINK("https://co.computrabajo.com/ofertas-de-trabajo/oferta-de-trabajo-de-psicologoa-especialista-en-sst-labor-en-pasto-en-pasto-D0E65329A97D073B61373E686DCF3405", "Ver Vacante")</f>
        <v/>
      </c>
      <c r="H189" s="6" t="inlineStr">
        <is>
          <t>$ 2.800.000,00 (Mensual)</t>
        </is>
      </c>
      <c r="I189" s="3" t="inlineStr">
        <is>
          <t>[Afinidad: 55/100 - Afinidad Moderada] Afinidad parcial en seguridad y salud ocupacional. Modalidad: 100% Remoto en Colombia confirmado.</t>
        </is>
      </c>
      <c r="J189" s="2" t="inlineStr">
        <is>
          <t>Nueva</t>
        </is>
      </c>
      <c r="K189" s="3" t="inlineStr"/>
    </row>
    <row r="190" ht="22" customHeight="1">
      <c r="A190" s="2" t="inlineStr">
        <is>
          <t>74a4d442fca75e90</t>
        </is>
      </c>
      <c r="B190" s="2" t="inlineStr">
        <is>
          <t>2026-09-26 15:00</t>
        </is>
      </c>
      <c r="C190" s="3" t="inlineStr">
        <is>
          <t>Fisioterapeuta especialista en SST</t>
        </is>
      </c>
      <c r="D190" s="3" t="inlineStr">
        <is>
          <t>ACTIVOS S A S</t>
        </is>
      </c>
      <c r="E190" s="7" t="n">
        <v>0.55</v>
      </c>
      <c r="F190" s="2" t="inlineStr">
        <is>
          <t>Remoto</t>
        </is>
      </c>
      <c r="G190" s="5">
        <f>HYPERLINK("https://co.computrabajo.com/ofertas-de-trabajo/oferta-de-trabajo-de-fisioterapeuta-especialista-en-sst-riesgos-laborales-sve-en-villavicencio-10BE9324A54ECE8B61373E686DCF3405", "Ver Vacante")</f>
        <v/>
      </c>
      <c r="H190" s="6" t="inlineStr">
        <is>
          <t>$ 5.648.300,00 (Mensual)</t>
        </is>
      </c>
      <c r="I190" s="3" t="inlineStr">
        <is>
          <t>[Afinidad: 55/100 - Afinidad Moderada] Afinidad parcial en seguridad y salud ocupacional. Modalidad: 100% Remoto en Colombia confirmado.</t>
        </is>
      </c>
      <c r="J190" s="2" t="inlineStr">
        <is>
          <t>Nueva</t>
        </is>
      </c>
      <c r="K190" s="3" t="inlineStr"/>
    </row>
    <row r="191" ht="22" customHeight="1">
      <c r="A191" s="2" t="inlineStr">
        <is>
          <t>06878c1cde2e3773</t>
        </is>
      </c>
      <c r="B191" s="2" t="inlineStr">
        <is>
          <t>2026-09-26 15:00</t>
        </is>
      </c>
      <c r="C191" s="3" t="inlineStr">
        <is>
          <t>Medica Ocupacional / Especialista en SST</t>
        </is>
      </c>
      <c r="D191" s="3" t="inlineStr">
        <is>
          <t>GENTE UTIL S.A.</t>
        </is>
      </c>
      <c r="E191" s="7" t="n">
        <v>0.55</v>
      </c>
      <c r="F191" s="2" t="inlineStr">
        <is>
          <t>Remoto</t>
        </is>
      </c>
      <c r="G191" s="5">
        <f>HYPERLINK("https://co.computrabajo.com/ofertas-de-trabajo/oferta-de-trabajo-de-medica-ocupacional-especialista-en-sst-urgente-en-bogota-dc-D06CEDA0B1CD549D61373E686DCF3405", "Ver Vacante")</f>
        <v/>
      </c>
      <c r="H191" s="6" t="inlineStr">
        <is>
          <t>$ 5.430.000,00 (Mensual)</t>
        </is>
      </c>
      <c r="I191" s="3" t="inlineStr">
        <is>
          <t>[Afinidad: 55/100 - Afinidad Moderada] Afinidad parcial en seguridad y salud ocupacional. Modalidad: 100% Remoto en Colombia confirmado.</t>
        </is>
      </c>
      <c r="J191" s="2" t="inlineStr">
        <is>
          <t>Nueva</t>
        </is>
      </c>
      <c r="K191" s="3" t="inlineStr"/>
    </row>
    <row r="192" ht="22" customHeight="1">
      <c r="A192" s="2" t="inlineStr">
        <is>
          <t>88105270208abe1c</t>
        </is>
      </c>
      <c r="B192" s="2" t="inlineStr">
        <is>
          <t>2026-09-26 15:00</t>
        </is>
      </c>
      <c r="C192" s="3" t="inlineStr">
        <is>
          <t>Consultor psicólogo especialista sst independiente - cajica- tocancipa - zipaquira o zonas aledañas</t>
        </is>
      </c>
      <c r="D192" s="3" t="inlineStr">
        <is>
          <t>Confidencial</t>
        </is>
      </c>
      <c r="E192" s="7" t="n">
        <v>0.55</v>
      </c>
      <c r="F192" s="2" t="inlineStr">
        <is>
          <t>Remoto</t>
        </is>
      </c>
      <c r="G192" s="5">
        <f>HYPERLINK("https://www.elempleo.com/co/ofertas-trabajo/consultor-psicologo-especialista-sst-independiente-cajica-tocancipa-zipaquira-o-zonas-aledanas-1886763911", "Ver Vacante")</f>
        <v/>
      </c>
      <c r="H192" s="6" t="inlineStr"/>
      <c r="I192" s="3" t="inlineStr">
        <is>
          <t>[Afinidad: 55/100 - Afinidad Moderada] Afinidad parcial en seguridad y salud ocupacional. Modalidad: 100% Remoto en Colombia confirmado.</t>
        </is>
      </c>
      <c r="J192" s="2" t="inlineStr">
        <is>
          <t>Nueva</t>
        </is>
      </c>
      <c r="K192" s="3" t="inlineStr"/>
    </row>
    <row r="193" ht="22" customHeight="1">
      <c r="A193" s="2" t="inlineStr">
        <is>
          <t>529f9e6383806d92</t>
        </is>
      </c>
      <c r="B193" s="2" t="inlineStr">
        <is>
          <t>2026-09-26 15:00</t>
        </is>
      </c>
      <c r="C193" s="3" t="inlineStr">
        <is>
          <t>Coordinador de sst - tunja boyaca</t>
        </is>
      </c>
      <c r="D193" s="3" t="inlineStr">
        <is>
          <t>Clínica Medilaser S.A.S</t>
        </is>
      </c>
      <c r="E193" s="7" t="n">
        <v>0.55</v>
      </c>
      <c r="F193" s="2" t="inlineStr">
        <is>
          <t>Remoto</t>
        </is>
      </c>
      <c r="G193" s="5">
        <f>HYPERLINK("https://www.elempleo.com/co/ofertas-trabajo/coordinador-de-sst-tunja-boyaca-1886771751", "Ver Vacante")</f>
        <v/>
      </c>
      <c r="H193" s="6" t="inlineStr"/>
      <c r="I193" s="3" t="inlineStr">
        <is>
          <t>[Afinidad: 55/100 - Afinidad Moderada] Afinidad parcial en seguridad y salud ocupacional. Modalidad: 100% Remoto en Colombia confirmado.</t>
        </is>
      </c>
      <c r="J193" s="2" t="inlineStr">
        <is>
          <t>Nueva</t>
        </is>
      </c>
      <c r="K193" s="3" t="inlineStr"/>
    </row>
    <row r="194" ht="22" customHeight="1">
      <c r="A194" s="2" t="inlineStr">
        <is>
          <t>0a8a903505ae1d9a</t>
        </is>
      </c>
      <c r="B194" s="2" t="inlineStr">
        <is>
          <t>2026-09-27 15:38</t>
        </is>
      </c>
      <c r="C194" s="3" t="inlineStr">
        <is>
          <t>Psicólogo especialista SST</t>
        </is>
      </c>
      <c r="D194" s="3" t="inlineStr">
        <is>
          <t>Importante empresa del sector</t>
        </is>
      </c>
      <c r="E194" s="7" t="n">
        <v>0.55</v>
      </c>
      <c r="F194" s="2" t="inlineStr">
        <is>
          <t>Remoto</t>
        </is>
      </c>
      <c r="G194" s="5">
        <f>HYPERLINK("https://co.computrabajo.com/ofertas-de-trabajo/oferta-de-trabajo-de-psicologo-especialista-sst-medellin-en-medellin-A6F5DECAB8956D1061373E686DCF3405", "Ver Vacante")</f>
        <v/>
      </c>
      <c r="H194" s="6" t="inlineStr"/>
      <c r="I194" s="3" t="inlineStr">
        <is>
          <t>[Afinidad: 55/100 - Afinidad Moderada] Afinidad parcial en seguridad y salud ocupacional. Modalidad: 100% Remoto en Colombia confirmado.</t>
        </is>
      </c>
      <c r="J194" s="2" t="inlineStr">
        <is>
          <t>Nueva</t>
        </is>
      </c>
      <c r="K194" s="3" t="inlineStr"/>
    </row>
    <row r="195" ht="22" customHeight="1">
      <c r="A195" s="2" t="inlineStr">
        <is>
          <t>a344101b5b0f4a7a</t>
        </is>
      </c>
      <c r="B195" s="2" t="inlineStr">
        <is>
          <t>2026-09-28 18:33</t>
        </is>
      </c>
      <c r="C195" s="3" t="inlineStr">
        <is>
          <t>Especialista en diseño geométrico</t>
        </is>
      </c>
      <c r="D195" s="3" t="inlineStr">
        <is>
          <t>HMV Ingenieros</t>
        </is>
      </c>
      <c r="E195" s="7" t="n">
        <v>0.55</v>
      </c>
      <c r="F195" s="2" t="inlineStr">
        <is>
          <t>Remoto</t>
        </is>
      </c>
      <c r="G195" s="5">
        <f>HYPERLINK("https://co.computrabajo.com/ofertas-de-trabajo/oferta-de-trabajo-de-especialista-en-diseno-geometrico-bogota-en-bogota-dc-6C6A8F97CE8C567561373E686DCF3405", "Ver Vacante")</f>
        <v/>
      </c>
      <c r="H195" s="6" t="inlineStr"/>
      <c r="I195" s="3" t="inlineStr">
        <is>
          <t>[Afinidad: 55/100 - Afinidad Moderada] Afinidad parcial en infraestructura vial y transporte. Modalidad: 100% Remoto en Colombia confirmado.</t>
        </is>
      </c>
      <c r="J195" s="2" t="inlineStr">
        <is>
          <t>Nueva</t>
        </is>
      </c>
      <c r="K195" s="3" t="inlineStr"/>
    </row>
    <row r="196" ht="22" customHeight="1">
      <c r="A196" s="2" t="inlineStr">
        <is>
          <t>ff38639fc60264dd</t>
        </is>
      </c>
      <c r="B196" s="2" t="inlineStr">
        <is>
          <t>2026-09-28 18:33</t>
        </is>
      </c>
      <c r="C196" s="3" t="inlineStr">
        <is>
          <t>Especialista en SST Docente Sincelejo</t>
        </is>
      </c>
      <c r="D196" s="3" t="inlineStr">
        <is>
          <t>CUN</t>
        </is>
      </c>
      <c r="E196" s="7" t="n">
        <v>0.55</v>
      </c>
      <c r="F196" s="2" t="inlineStr">
        <is>
          <t>Remoto</t>
        </is>
      </c>
      <c r="G196" s="5">
        <f>HYPERLINK("https://co.computrabajo.com/ofertas-de-trabajo/oferta-de-trabajo-de-especialista-en-sst-docente-sincelejo-facilitador-en-sincelejo-5E87E96A745E146561373E686DCF3405", "Ver Vacante")</f>
        <v/>
      </c>
      <c r="H196" s="6" t="inlineStr">
        <is>
          <t>$ 2.000.000,00 (Mensual)</t>
        </is>
      </c>
      <c r="I196" s="3" t="inlineStr">
        <is>
          <t>[Afinidad: 55/100 - Afinidad Moderada] Afinidad parcial en seguridad y salud ocupacional. Modalidad: 100% Remoto en Colombia confirmado.</t>
        </is>
      </c>
      <c r="J196" s="2" t="inlineStr">
        <is>
          <t>Nueva</t>
        </is>
      </c>
      <c r="K196" s="3" t="inlineStr"/>
    </row>
    <row r="197" ht="22" customHeight="1">
      <c r="A197" s="2" t="inlineStr">
        <is>
          <t>92b9dd5e757a8e04</t>
        </is>
      </c>
      <c r="B197" s="2" t="inlineStr">
        <is>
          <t>2026-09-28 18:33</t>
        </is>
      </c>
      <c r="C197" s="3" t="inlineStr">
        <is>
          <t>Especialista en SST Docente Monteria</t>
        </is>
      </c>
      <c r="D197" s="3" t="inlineStr">
        <is>
          <t>CUN</t>
        </is>
      </c>
      <c r="E197" s="7" t="n">
        <v>0.55</v>
      </c>
      <c r="F197" s="2" t="inlineStr">
        <is>
          <t>Remoto</t>
        </is>
      </c>
      <c r="G197" s="5">
        <f>HYPERLINK("https://co.computrabajo.com/ofertas-de-trabajo/oferta-de-trabajo-de-especialista-en-sst-docente-monteria-facilitador-en-monteria-5D84D07CF0D9AC0561373E686DCF3405", "Ver Vacante")</f>
        <v/>
      </c>
      <c r="H197" s="6" t="inlineStr">
        <is>
          <t>$ 2.000.000,00 (Mensual)</t>
        </is>
      </c>
      <c r="I197" s="3" t="inlineStr">
        <is>
          <t>[Afinidad: 55/100 - Afinidad Moderada] Afinidad parcial en seguridad y salud ocupacional. Modalidad: 100% Remoto en Colombia confirmado.</t>
        </is>
      </c>
      <c r="J197" s="2" t="inlineStr">
        <is>
          <t>Nueva</t>
        </is>
      </c>
      <c r="K197" s="3" t="inlineStr"/>
    </row>
    <row r="198" ht="22" customHeight="1">
      <c r="A198" s="2" t="inlineStr">
        <is>
          <t>5dd6621bec61c6b5</t>
        </is>
      </c>
      <c r="B198" s="2" t="inlineStr">
        <is>
          <t>2026-09-28 18:33</t>
        </is>
      </c>
      <c r="C198" s="3" t="inlineStr">
        <is>
          <t>Ingeniero mecánico o eléctrico especialista SST</t>
        </is>
      </c>
      <c r="D198" s="3" t="inlineStr">
        <is>
          <t>ACTIVOS S A S</t>
        </is>
      </c>
      <c r="E198" s="7" t="n">
        <v>0.55</v>
      </c>
      <c r="F198" s="2" t="inlineStr">
        <is>
          <t>Remoto</t>
        </is>
      </c>
      <c r="G198" s="5">
        <f>HYPERLINK("https://co.computrabajo.com/ofertas-de-trabajo/oferta-de-trabajo-de-ingeniero-mecanico-o-electrico-especialista-sst-en-barranquilla-05F2384CC982292161373E686DCF3405", "Ver Vacante")</f>
        <v/>
      </c>
      <c r="H198" s="6" t="inlineStr">
        <is>
          <t>$ 3.456.000,00 (Mensual)</t>
        </is>
      </c>
      <c r="I198" s="3" t="inlineStr">
        <is>
          <t>[Afinidad: 55/100 - Afinidad Moderada] Afinidad parcial en seguridad y salud ocupacional. Modalidad: 100% Remoto en Colombia confirmado.</t>
        </is>
      </c>
      <c r="J198" s="2" t="inlineStr">
        <is>
          <t>Nueva</t>
        </is>
      </c>
      <c r="K198" s="3" t="inlineStr"/>
    </row>
    <row r="199" ht="22" customHeight="1">
      <c r="A199" s="2" t="inlineStr">
        <is>
          <t>fa4e0cae15b26bc8</t>
        </is>
      </c>
      <c r="B199" s="2" t="inlineStr">
        <is>
          <t>2026-09-28 18:33</t>
        </is>
      </c>
      <c r="C199" s="3" t="inlineStr">
        <is>
          <t>Ingeniero industrial especialista en sst - bogotá</t>
        </is>
      </c>
      <c r="D199" s="3" t="inlineStr">
        <is>
          <t>Quirón Prevención Colombia S.A.S</t>
        </is>
      </c>
      <c r="E199" s="7" t="n">
        <v>0.55</v>
      </c>
      <c r="F199" s="2" t="inlineStr">
        <is>
          <t>Remoto</t>
        </is>
      </c>
      <c r="G199" s="5">
        <f>HYPERLINK("https://www.elempleo.com/co/ofertas-trabajo/ingeniero-industrial-especialista-en-sst-bogota-1886772921", "Ver Vacante")</f>
        <v/>
      </c>
      <c r="H199" s="6" t="inlineStr"/>
      <c r="I199" s="3" t="inlineStr">
        <is>
          <t>[Afinidad: 55/100 - Afinidad Moderada] Afinidad parcial en seguridad y salud ocupacional. Modalidad: 100% Remoto en Colombia confirmado.</t>
        </is>
      </c>
      <c r="J199" s="2" t="inlineStr">
        <is>
          <t>Nueva</t>
        </is>
      </c>
      <c r="K199" s="3" t="inlineStr"/>
    </row>
    <row r="200" ht="22" customHeight="1">
      <c r="A200" s="2" t="inlineStr">
        <is>
          <t>d65c1cc857108f0f</t>
        </is>
      </c>
      <c r="B200" s="2" t="inlineStr">
        <is>
          <t>2026-09-29 16:56</t>
        </is>
      </c>
      <c r="C200" s="3" t="inlineStr">
        <is>
          <t>Psicólogo(a) – Especialista en Seguridad y Salud en el Trabajo</t>
        </is>
      </c>
      <c r="D200" s="3" t="inlineStr">
        <is>
          <t>Grupo Balboa</t>
        </is>
      </c>
      <c r="E200" s="7" t="n">
        <v>0.55</v>
      </c>
      <c r="F200" s="2" t="inlineStr">
        <is>
          <t>Remoto</t>
        </is>
      </c>
      <c r="G200" s="5">
        <f>HYPERLINK("https://co.computrabajo.com/ofertas-de-trabajo/oferta-de-trabajo-de-psicologoa--especialista-en-seguridad-y-salud-en-el-trabajo-en-medellin-519604EADB78337F61373E686DCF3405", "Ver Vacante")</f>
        <v/>
      </c>
      <c r="H200" s="6" t="inlineStr">
        <is>
          <t>Remoto</t>
        </is>
      </c>
      <c r="I200" s="3" t="inlineStr">
        <is>
          <t>[Afinidad: 55/100 - Afinidad Moderada] Afinidad parcial en seguridad y salud ocupacional. Modalidad: 100% Remoto en Colombia confirmado.</t>
        </is>
      </c>
      <c r="J200" s="2" t="inlineStr">
        <is>
          <t>Nueva</t>
        </is>
      </c>
      <c r="K200" s="3" t="inlineStr"/>
    </row>
    <row r="201" ht="22" customHeight="1">
      <c r="A201" s="2" t="inlineStr">
        <is>
          <t>73f0999274b794ef</t>
        </is>
      </c>
      <c r="B201" s="2" t="inlineStr">
        <is>
          <t>2026-09-29 16:56</t>
        </is>
      </c>
      <c r="C201" s="3" t="inlineStr">
        <is>
          <t>Analista Senior de SST y People Operations</t>
        </is>
      </c>
      <c r="D201" s="3" t="inlineStr">
        <is>
          <t>Bia Energy</t>
        </is>
      </c>
      <c r="E201" s="7" t="n">
        <v>0.55</v>
      </c>
      <c r="F201" s="2" t="inlineStr">
        <is>
          <t>Remoto</t>
        </is>
      </c>
      <c r="G201" s="5">
        <f>HYPERLINK("https://co.linkedin.com/jobs/view/analista-senior-de-sst-y-people-operations-at-bia-energy-4473265463", "Ver Vacante")</f>
        <v/>
      </c>
      <c r="H201" s="6" t="inlineStr"/>
      <c r="I201" s="3" t="inlineStr">
        <is>
          <t>[Afinidad: 55/100 - Afinidad Moderada] Afinidad parcial en seguridad y salud ocupacional. Modalidad: 100% Remoto en Colombia confirmado.</t>
        </is>
      </c>
      <c r="J201" s="2" t="inlineStr">
        <is>
          <t>Nueva</t>
        </is>
      </c>
      <c r="K201" s="3" t="inlineStr"/>
    </row>
    <row r="202" ht="22" customHeight="1">
      <c r="A202" s="2" t="inlineStr">
        <is>
          <t>ff2d859fb620d93b</t>
        </is>
      </c>
      <c r="B202" s="2" t="inlineStr">
        <is>
          <t>2026-09-30 16:46</t>
        </is>
      </c>
      <c r="C202" s="3" t="inlineStr">
        <is>
          <t>Ingenieros Civiles Arquitectos profesionales SST</t>
        </is>
      </c>
      <c r="D202" s="3" t="inlineStr">
        <is>
          <t>Consorcio 419 – Conexión Colombia</t>
        </is>
      </c>
      <c r="E202" s="7" t="n">
        <v>0.55</v>
      </c>
      <c r="F202" s="2" t="inlineStr">
        <is>
          <t>Remoto</t>
        </is>
      </c>
      <c r="G202" s="5">
        <f>HYPERLINK("https://co.computrabajo.com/ofertas-de-trabajo/oferta-de-trabajo-de-ingenieros-civiles-arquitectos-profesionales-sst-el-turno-de-dia-en-ipiales-F8A49747E29F2EAB61373E686DCF3405", "Ver Vacante")</f>
        <v/>
      </c>
      <c r="H202" s="6" t="inlineStr">
        <is>
          <t>$ 4.800.000,00 (Mensual)</t>
        </is>
      </c>
      <c r="I202" s="3" t="inlineStr">
        <is>
          <t>[Afinidad: 55/100 - Afinidad Moderada] Afinidad parcial en seguridad y salud ocupacional. Modalidad: 100% Remoto en Colombia confirmado.</t>
        </is>
      </c>
      <c r="J202" s="2" t="inlineStr">
        <is>
          <t>Nueva</t>
        </is>
      </c>
      <c r="K202" s="3" t="inlineStr"/>
    </row>
    <row r="203" ht="22" customHeight="1">
      <c r="A203" s="2" t="inlineStr">
        <is>
          <t>9c4fd6bca3eb379f</t>
        </is>
      </c>
      <c r="B203" s="2" t="inlineStr">
        <is>
          <t>2026-09-30 16:46</t>
        </is>
      </c>
      <c r="C203" s="3" t="inlineStr">
        <is>
          <t>Cartagena -consultor psicólogo especialista sst independiente</t>
        </is>
      </c>
      <c r="D203" s="3" t="inlineStr">
        <is>
          <t>Confidencial</t>
        </is>
      </c>
      <c r="E203" s="7" t="n">
        <v>0.55</v>
      </c>
      <c r="F203" s="2" t="inlineStr">
        <is>
          <t>Remoto</t>
        </is>
      </c>
      <c r="G203" s="5">
        <f>HYPERLINK("https://www.elempleo.com/co/ofertas-trabajo/cartagena-consultor-psicologo-especialista-sst-independiente-1886774292", "Ver Vacante")</f>
        <v/>
      </c>
      <c r="H203" s="6" t="inlineStr"/>
      <c r="I203" s="3" t="inlineStr">
        <is>
          <t>[Afinidad: 55/100 - Afinidad Moderada] Afinidad parcial en seguridad y salud ocupacional. Modalidad: 100% Remoto en Colombia confirmado.</t>
        </is>
      </c>
      <c r="J203" s="2" t="inlineStr">
        <is>
          <t>Nueva</t>
        </is>
      </c>
      <c r="K203" s="3" t="inlineStr"/>
    </row>
    <row r="204" ht="22" customHeight="1">
      <c r="A204" s="2" t="inlineStr">
        <is>
          <t>bbcd294132cb1561</t>
        </is>
      </c>
      <c r="B204" s="2" t="inlineStr">
        <is>
          <t>2026-09-30 16:46</t>
        </is>
      </c>
      <c r="C204" s="3" t="inlineStr">
        <is>
          <t>Medellin- psicólogo especialista sst consultor independiente</t>
        </is>
      </c>
      <c r="D204" s="3" t="inlineStr">
        <is>
          <t>Confidencial</t>
        </is>
      </c>
      <c r="E204" s="7" t="n">
        <v>0.55</v>
      </c>
      <c r="F204" s="2" t="inlineStr">
        <is>
          <t>Remoto</t>
        </is>
      </c>
      <c r="G204" s="5">
        <f>HYPERLINK("https://www.elempleo.com/co/ofertas-trabajo/medellin-psicologo-especialista-sst-consultor-independiente-1886772092", "Ver Vacante")</f>
        <v/>
      </c>
      <c r="H204" s="6" t="inlineStr"/>
      <c r="I204" s="3" t="inlineStr">
        <is>
          <t>[Afinidad: 55/100 - Afinidad Moderada] Afinidad parcial en seguridad y salud ocupacional. Modalidad: 100% Remoto en Colombia confirmado.</t>
        </is>
      </c>
      <c r="J204" s="2" t="inlineStr">
        <is>
          <t>Nueva</t>
        </is>
      </c>
      <c r="K204" s="3" t="inlineStr"/>
    </row>
    <row r="205" ht="22" customHeight="1">
      <c r="A205" s="2" t="inlineStr">
        <is>
          <t>cd5d6fd7502ef4df</t>
        </is>
      </c>
      <c r="B205" s="2" t="inlineStr">
        <is>
          <t>2026-09-30 16:46</t>
        </is>
      </c>
      <c r="C205" s="3" t="inlineStr">
        <is>
          <t>Coordinador de sst</t>
        </is>
      </c>
      <c r="D205" s="3" t="inlineStr">
        <is>
          <t>Confidencial</t>
        </is>
      </c>
      <c r="E205" s="7" t="n">
        <v>0.55</v>
      </c>
      <c r="F205" s="2" t="inlineStr">
        <is>
          <t>Remoto</t>
        </is>
      </c>
      <c r="G205" s="5">
        <f>HYPERLINK("https://www.elempleo.com/co/ofertas-trabajo/coordinador-de-sst-1886774183", "Ver Vacante")</f>
        <v/>
      </c>
      <c r="H205" s="6" t="inlineStr"/>
      <c r="I205" s="3" t="inlineStr">
        <is>
          <t>[Afinidad: 55/100 - Afinidad Moderada] Afinidad parcial en seguridad y salud ocupacional. Modalidad: 100% Remoto en Colombia confirmado.</t>
        </is>
      </c>
      <c r="J205" s="2" t="inlineStr">
        <is>
          <t>Nueva</t>
        </is>
      </c>
      <c r="K205" s="3" t="inlineStr"/>
    </row>
    <row r="206" ht="22" customHeight="1">
      <c r="A206" s="2" t="inlineStr">
        <is>
          <t>44940133e6fe16f4</t>
        </is>
      </c>
      <c r="B206" s="2" t="inlineStr">
        <is>
          <t>2026-09-30 16:46</t>
        </is>
      </c>
      <c r="C206" s="3" t="inlineStr">
        <is>
          <t>Asistente sg-sst - soacha - asistente sg-sst - soacha</t>
        </is>
      </c>
      <c r="D206" s="3" t="inlineStr">
        <is>
          <t>AGENCIA DE EMPLEO Y FOMENTO EMPRESARIAL COMPENSAR</t>
        </is>
      </c>
      <c r="E206" s="7" t="n">
        <v>0.55</v>
      </c>
      <c r="F206" s="2" t="inlineStr">
        <is>
          <t>Remoto</t>
        </is>
      </c>
      <c r="G206" s="5">
        <f>HYPERLINK("https://www.elempleo.com/co/ofertas-trabajo/asistente-sgsst-soacha-asistente-sgsst-soacha-1886773337", "Ver Vacante")</f>
        <v/>
      </c>
      <c r="H206" s="6" t="inlineStr"/>
      <c r="I206" s="3" t="inlineStr">
        <is>
          <t>[Afinidad: 55/100 - Afinidad Moderada] Alta coincidencia en gestión de Seguridad y Salud en el Trabajo (SST). Modalidad: 100% Remoto en Colombia confirmado.</t>
        </is>
      </c>
      <c r="J206" s="2" t="inlineStr">
        <is>
          <t>Nueva</t>
        </is>
      </c>
      <c r="K206" s="3" t="inlineStr"/>
    </row>
    <row r="207" ht="22" customHeight="1">
      <c r="A207" s="2" t="inlineStr">
        <is>
          <t>abd2b5b95445291b</t>
        </is>
      </c>
      <c r="B207" s="2" t="inlineStr">
        <is>
          <t>2026-09-30 16:46</t>
        </is>
      </c>
      <c r="C207" s="3" t="inlineStr">
        <is>
          <t>Coordinador SST</t>
        </is>
      </c>
      <c r="D207" s="3" t="inlineStr">
        <is>
          <t>GAVAR SAS</t>
        </is>
      </c>
      <c r="E207" s="7" t="n">
        <v>0.55</v>
      </c>
      <c r="F207" s="2" t="inlineStr">
        <is>
          <t>Remoto</t>
        </is>
      </c>
      <c r="G207" s="5">
        <f>HYPERLINK("https://co.linkedin.com/jobs/view/coordinador-sst-at-gavar-sas-4471923919", "Ver Vacante")</f>
        <v/>
      </c>
      <c r="H207" s="6" t="inlineStr"/>
      <c r="I207" s="3" t="inlineStr">
        <is>
          <t>[Afinidad: 55/100 - Afinidad Moderada] Afinidad parcial en seguridad y salud ocupacional. Modalidad: 100% Remoto en Colombia confirmado.</t>
        </is>
      </c>
      <c r="J207" s="2" t="inlineStr">
        <is>
          <t>Nueva</t>
        </is>
      </c>
      <c r="K207" s="3" t="inlineStr"/>
    </row>
    <row r="208" ht="22" customHeight="1">
      <c r="A208" s="2" t="inlineStr">
        <is>
          <t>8021213227e2b515</t>
        </is>
      </c>
      <c r="B208" s="2" t="inlineStr">
        <is>
          <t>2026-10-01 17:23</t>
        </is>
      </c>
      <c r="C208" s="3" t="inlineStr">
        <is>
          <t>Especialista de seguridad y salud en el trabajo</t>
        </is>
      </c>
      <c r="D208" s="3" t="inlineStr">
        <is>
          <t>Confidencial</t>
        </is>
      </c>
      <c r="E208" s="7" t="n">
        <v>0.55</v>
      </c>
      <c r="F208" s="2" t="inlineStr">
        <is>
          <t>Remoto</t>
        </is>
      </c>
      <c r="G208" s="5">
        <f>HYPERLINK("https://www.elempleo.com/co/ofertas-trabajo/especialista-de-seguridad-y-salud-en-el-trabajo-1886774979", "Ver Vacante")</f>
        <v/>
      </c>
      <c r="H208" s="6" t="inlineStr"/>
      <c r="I208" s="3" t="inlineStr">
        <is>
          <t>[Afinidad: 55/100 - Afinidad Moderada] Afinidad parcial en seguridad y salud ocupacional. Modalidad: 100% Remoto en Colombia confirmado.</t>
        </is>
      </c>
      <c r="J208" s="2" t="inlineStr">
        <is>
          <t>Nueva</t>
        </is>
      </c>
      <c r="K208" s="3" t="inlineStr"/>
    </row>
    <row r="209" ht="22" customHeight="1">
      <c r="A209" s="2" t="inlineStr">
        <is>
          <t>2611237237a58dd6</t>
        </is>
      </c>
      <c r="B209" s="2" t="inlineStr">
        <is>
          <t>2026-10-01 17:23</t>
        </is>
      </c>
      <c r="C209" s="3" t="inlineStr">
        <is>
          <t>Coordinador sst</t>
        </is>
      </c>
      <c r="D209" s="3" t="inlineStr">
        <is>
          <t>ATCG DE COLOMBIA S.A.S</t>
        </is>
      </c>
      <c r="E209" s="7" t="n">
        <v>0.55</v>
      </c>
      <c r="F209" s="2" t="inlineStr">
        <is>
          <t>Remoto</t>
        </is>
      </c>
      <c r="G209" s="5">
        <f>HYPERLINK("https://www.elempleo.com/co/ofertas-trabajo/coordinador-sst-1886774773", "Ver Vacante")</f>
        <v/>
      </c>
      <c r="H209" s="6" t="inlineStr"/>
      <c r="I209" s="3" t="inlineStr">
        <is>
          <t>[Afinidad: 55/100 - Afinidad Moderada] Afinidad parcial en seguridad y salud ocupacional. Modalidad: 100% Remoto en Colombia confirmado.</t>
        </is>
      </c>
      <c r="J209" s="2" t="inlineStr">
        <is>
          <t>Nueva</t>
        </is>
      </c>
      <c r="K209" s="3" t="inlineStr"/>
    </row>
    <row r="210" ht="22" customHeight="1">
      <c r="A210" s="2" t="inlineStr">
        <is>
          <t>32e652a03fe4dfa8</t>
        </is>
      </c>
      <c r="B210" s="2" t="inlineStr">
        <is>
          <t>2026-10-01 17:23</t>
        </is>
      </c>
      <c r="C210" s="3" t="inlineStr">
        <is>
          <t>Especialista en sst docente barranquilla</t>
        </is>
      </c>
      <c r="D210" s="3" t="inlineStr">
        <is>
          <t>CUN</t>
        </is>
      </c>
      <c r="E210" s="7" t="n">
        <v>0.55</v>
      </c>
      <c r="F210" s="2" t="inlineStr">
        <is>
          <t>Remoto</t>
        </is>
      </c>
      <c r="G210" s="5">
        <f>HYPERLINK("https://www.elempleo.com/co/ofertas-trabajo/especialista-en-sst-docente-barranquilla-1886774692", "Ver Vacante")</f>
        <v/>
      </c>
      <c r="H210" s="6" t="inlineStr"/>
      <c r="I210" s="3" t="inlineStr">
        <is>
          <t>[Afinidad: 55/100 - Afinidad Moderada] Afinidad parcial en seguridad y salud ocupacional. Modalidad: 100% Remoto en Colombia confirmado.</t>
        </is>
      </c>
      <c r="J210" s="2" t="inlineStr">
        <is>
          <t>Nueva</t>
        </is>
      </c>
      <c r="K210" s="3" t="inlineStr"/>
    </row>
    <row r="211" ht="22" customHeight="1">
      <c r="A211" s="2" t="inlineStr">
        <is>
          <t>0b1ee9a885959574</t>
        </is>
      </c>
      <c r="B211" s="2" t="inlineStr">
        <is>
          <t>2026-10-02 16:36</t>
        </is>
      </c>
      <c r="C211" s="3" t="inlineStr">
        <is>
          <t>Tecnologo SST sector ingenieria</t>
        </is>
      </c>
      <c r="D211" s="3" t="inlineStr">
        <is>
          <t>ACTIVOS S A S</t>
        </is>
      </c>
      <c r="E211" s="7" t="n">
        <v>0.55</v>
      </c>
      <c r="F211" s="2" t="inlineStr">
        <is>
          <t>Remoto</t>
        </is>
      </c>
      <c r="G211" s="5">
        <f>HYPERLINK("https://co.computrabajo.com/ofertas-de-trabajo/oferta-de-trabajo-de-tecnologo-sst-sector-ingenieria-en-bogota-dc-6E8435538348E5DB61373E686DCF3405", "Ver Vacante")</f>
        <v/>
      </c>
      <c r="H211" s="6" t="inlineStr">
        <is>
          <t>$ 2.052.000,00 (Mensual)</t>
        </is>
      </c>
      <c r="I211" s="3" t="inlineStr">
        <is>
          <t>[Afinidad: 55/100 - Afinidad Moderada] Afinidad parcial en seguridad y salud ocupacional. Modalidad: 100% Remoto en Colombia confirmado.</t>
        </is>
      </c>
      <c r="J211" s="2" t="inlineStr">
        <is>
          <t>Nueva</t>
        </is>
      </c>
      <c r="K211" s="3" t="inlineStr"/>
    </row>
    <row r="212" ht="22" customHeight="1">
      <c r="A212" s="2" t="inlineStr">
        <is>
          <t>93361efb8457f810</t>
        </is>
      </c>
      <c r="B212" s="2" t="inlineStr">
        <is>
          <t>2026-10-02 16:36</t>
        </is>
      </c>
      <c r="C212" s="3" t="inlineStr">
        <is>
          <t>Coordinador sst</t>
        </is>
      </c>
      <c r="D212" s="3" t="inlineStr">
        <is>
          <t>Confidencial</t>
        </is>
      </c>
      <c r="E212" s="7" t="n">
        <v>0.55</v>
      </c>
      <c r="F212" s="2" t="inlineStr">
        <is>
          <t>Remoto</t>
        </is>
      </c>
      <c r="G212" s="5">
        <f>HYPERLINK("https://www.elempleo.com/co/ofertas-trabajo/coordinador-sst-1886711882", "Ver Vacante")</f>
        <v/>
      </c>
      <c r="H212" s="6" t="inlineStr"/>
      <c r="I212" s="3" t="inlineStr">
        <is>
          <t>[Afinidad: 55/100 - Afinidad Moderada] Afinidad parcial en seguridad y salud ocupacional. Modalidad: 100% Remoto en Colombia confirmado.</t>
        </is>
      </c>
      <c r="J212" s="2" t="inlineStr">
        <is>
          <t>Nueva</t>
        </is>
      </c>
      <c r="K212" s="3" t="inlineStr"/>
    </row>
    <row r="213" ht="22" customHeight="1">
      <c r="A213" s="2" t="inlineStr">
        <is>
          <t>0cea5237d8dcd102</t>
        </is>
      </c>
      <c r="B213" s="2" t="inlineStr">
        <is>
          <t>2026-10-02 16:36</t>
        </is>
      </c>
      <c r="C213" s="3" t="inlineStr">
        <is>
          <t>Coordinador SST</t>
        </is>
      </c>
      <c r="D213" s="3" t="inlineStr">
        <is>
          <t>Otis Elevator Co.</t>
        </is>
      </c>
      <c r="E213" s="7" t="n">
        <v>0.55</v>
      </c>
      <c r="F213" s="2" t="inlineStr">
        <is>
          <t>Remoto</t>
        </is>
      </c>
      <c r="G213" s="5">
        <f>HYPERLINK("https://co.linkedin.com/jobs/view/coordinador-sst-at-otis-elevator-co-4472865024", "Ver Vacante")</f>
        <v/>
      </c>
      <c r="H213" s="6" t="inlineStr"/>
      <c r="I213" s="3" t="inlineStr">
        <is>
          <t>[Afinidad: 55/100 - Afinidad Moderada] Afinidad parcial en seguridad y salud ocupacional. Modalidad: 100% Remoto en Colombia confirmado.</t>
        </is>
      </c>
      <c r="J213" s="2" t="inlineStr">
        <is>
          <t>Nueva</t>
        </is>
      </c>
      <c r="K213" s="3" t="inlineStr"/>
    </row>
    <row r="214" ht="22" customHeight="1">
      <c r="A214" s="2" t="inlineStr">
        <is>
          <t>fb33e34222012dbe</t>
        </is>
      </c>
      <c r="B214" s="2" t="inlineStr">
        <is>
          <t>2026-10-03 15:09</t>
        </is>
      </c>
      <c r="C214" s="3" t="inlineStr">
        <is>
          <t>Analista seguridad y salud en el trabajo (obras e infraestructura) [híbrido] - bogotá</t>
        </is>
      </c>
      <c r="D214" s="3" t="inlineStr">
        <is>
          <t>ADECCO COLOMBIA S A</t>
        </is>
      </c>
      <c r="E214" s="7" t="n">
        <v>0.55</v>
      </c>
      <c r="F214" s="2" t="inlineStr">
        <is>
          <t>Hibrido</t>
        </is>
      </c>
      <c r="G214" s="5">
        <f>HYPERLINK("https://www.elempleo.com/co/ofertas-trabajo/analista-seguridad-y-salud-en-el-trabajo-obras-e-infraestructura-hibrido-bogota-1886764883", "Ver Vacante")</f>
        <v/>
      </c>
      <c r="H214" s="6" t="inlineStr"/>
      <c r="I214" s="3" t="inlineStr">
        <is>
          <t>[Afinidad: 55/100 - Afinidad Moderada] Afinidad moderada con componentes de vías e infraestructura y seguridad laboral. Modalidad: Modalidad híbrida / parcial. Alerta: Modalidad híbrida puede requerir presencia ocasional.</t>
        </is>
      </c>
      <c r="J214" s="2" t="inlineStr">
        <is>
          <t>Nueva</t>
        </is>
      </c>
      <c r="K214" s="3" t="inlineStr"/>
    </row>
    <row r="215" ht="22" customHeight="1">
      <c r="A215" s="2" t="inlineStr">
        <is>
          <t>0998c67bb50d781b</t>
        </is>
      </c>
      <c r="B215" s="2" t="inlineStr">
        <is>
          <t>2026-10-03 15:09</t>
        </is>
      </c>
      <c r="C215" s="3" t="inlineStr">
        <is>
          <t>Especialista seguridad y salud en el trabajo cucuta</t>
        </is>
      </c>
      <c r="D215" s="3" t="inlineStr">
        <is>
          <t>Pro TALENTI</t>
        </is>
      </c>
      <c r="E215" s="7" t="n">
        <v>0.55</v>
      </c>
      <c r="F215" s="2" t="inlineStr">
        <is>
          <t>Remoto</t>
        </is>
      </c>
      <c r="G215" s="5">
        <f>HYPERLINK("https://www.elempleo.com/co/ofertas-trabajo/especialista-seguridad-y-salud-en-el-trabajo-cucuta-1886774608", "Ver Vacante")</f>
        <v/>
      </c>
      <c r="H215" s="6" t="inlineStr"/>
      <c r="I215" s="3" t="inlineStr">
        <is>
          <t>[Afinidad: 55/100 - Afinidad Moderada] Afinidad parcial en seguridad y salud ocupacional. Modalidad: 100% Remoto en Colombia confirmado.</t>
        </is>
      </c>
      <c r="J215" s="2" t="inlineStr">
        <is>
          <t>Nueva</t>
        </is>
      </c>
      <c r="K215" s="3" t="inlineStr"/>
    </row>
    <row r="216" ht="22" customHeight="1">
      <c r="A216" s="2" t="inlineStr">
        <is>
          <t>1658c2894343e093</t>
        </is>
      </c>
      <c r="B216" s="2" t="inlineStr">
        <is>
          <t>2026-10-03 15:09</t>
        </is>
      </c>
      <c r="C216" s="3" t="inlineStr">
        <is>
          <t>Director(a) Técnico(a) Comercial de Riesgos Laborales y SST</t>
        </is>
      </c>
      <c r="D216" s="3" t="inlineStr">
        <is>
          <t>Centro de Empleo y Talento</t>
        </is>
      </c>
      <c r="E216" s="7" t="n">
        <v>0.55</v>
      </c>
      <c r="F216" s="2" t="inlineStr">
        <is>
          <t>Remoto</t>
        </is>
      </c>
      <c r="G216" s="5">
        <f>HYPERLINK("https://co.linkedin.com/jobs/view/director-a-t%C3%A9cnico-a-comercial-de-riesgos-laborales-y-sst-at-centro-de-empleo-y-talento-4473392505", "Ver Vacante")</f>
        <v/>
      </c>
      <c r="H216" s="6" t="inlineStr"/>
      <c r="I216" s="3" t="inlineStr">
        <is>
          <t>[Afinidad: 55/100 - Afinidad Moderada] Afinidad parcial en seguridad y salud ocupacional. Modalidad: 100% Remoto en Colombia confirmado.</t>
        </is>
      </c>
      <c r="J216" s="2" t="inlineStr">
        <is>
          <t>Nueva</t>
        </is>
      </c>
      <c r="K216" s="3" t="inlineStr"/>
    </row>
    <row r="217" ht="22" customHeight="1">
      <c r="A217" s="2" t="inlineStr">
        <is>
          <t>3da56563a4d73f1f</t>
        </is>
      </c>
      <c r="B217" s="2" t="inlineStr">
        <is>
          <t>2026-10-04 15:45</t>
        </is>
      </c>
      <c r="C217" s="3" t="inlineStr">
        <is>
          <t>Ingeniero/a civil Infraestructura Cali</t>
        </is>
      </c>
      <c r="D217" s="3" t="inlineStr">
        <is>
          <t>Eficacia</t>
        </is>
      </c>
      <c r="E217" s="7" t="n">
        <v>0.55</v>
      </c>
      <c r="F217" s="2" t="inlineStr">
        <is>
          <t>Remoto</t>
        </is>
      </c>
      <c r="G217" s="5">
        <f>HYPERLINK("https://co.computrabajo.com/ofertas-de-trabajo/oferta-de-trabajo-de-ingenieroa-civil-infraestructura-cali-en-cali-D6A0F31400398F8061373E686DCF3405", "Ver Vacante")</f>
        <v/>
      </c>
      <c r="H217" s="6" t="inlineStr">
        <is>
          <t>$ 5.455.388,00 (Mensual)</t>
        </is>
      </c>
      <c r="I217" s="3" t="inlineStr">
        <is>
          <t>[Afinidad: 55/100 - Afinidad Moderada] Afinidad parcial en infraestructura vial y transporte. Modalidad: 100% Remoto en Colombia confirmado.</t>
        </is>
      </c>
      <c r="J217" s="2" t="inlineStr">
        <is>
          <t>Nueva</t>
        </is>
      </c>
      <c r="K217" s="3" t="inlineStr"/>
    </row>
    <row r="218" ht="22" customHeight="1">
      <c r="A218" s="2" t="inlineStr">
        <is>
          <t>584f078878fc45ef</t>
        </is>
      </c>
      <c r="B218" s="2" t="inlineStr">
        <is>
          <t>2026-10-04 15:45</t>
        </is>
      </c>
      <c r="C218" s="3" t="inlineStr">
        <is>
          <t>Ingeniero quimico especialista en sst bogota</t>
        </is>
      </c>
      <c r="D218" s="3" t="inlineStr">
        <is>
          <t>JOBANDTALENT CO SAS</t>
        </is>
      </c>
      <c r="E218" s="7" t="n">
        <v>0.55</v>
      </c>
      <c r="F218" s="2" t="inlineStr">
        <is>
          <t>Remoto</t>
        </is>
      </c>
      <c r="G218" s="5">
        <f>HYPERLINK("https://www.elempleo.com/co/ofertas-trabajo/ingeniero-quimico-especialista-en-sst-bogota-1886750724", "Ver Vacante")</f>
        <v/>
      </c>
      <c r="H218" s="6" t="inlineStr"/>
      <c r="I218" s="3" t="inlineStr">
        <is>
          <t>[Afinidad: 55/100 - Afinidad Moderada] Afinidad parcial en seguridad y salud ocupacional. Modalidad: 100% Remoto en Colombia confirmado.</t>
        </is>
      </c>
      <c r="J218" s="2" t="inlineStr">
        <is>
          <t>Nueva</t>
        </is>
      </c>
      <c r="K218" s="3" t="inlineStr"/>
    </row>
    <row r="219" ht="22" customHeight="1">
      <c r="A219" s="2" t="inlineStr">
        <is>
          <t>c203c75c1ef556b6</t>
        </is>
      </c>
      <c r="B219" s="2" t="inlineStr">
        <is>
          <t>2026-10-05 19:42</t>
        </is>
      </c>
      <c r="C219" s="3" t="inlineStr">
        <is>
          <t>Especialista en diseño Geométrico</t>
        </is>
      </c>
      <c r="D219" s="3" t="inlineStr">
        <is>
          <t>CASAHIDALGO CONSTRUCTORES S.A.S</t>
        </is>
      </c>
      <c r="E219" s="7" t="n">
        <v>0.55</v>
      </c>
      <c r="F219" s="2" t="inlineStr">
        <is>
          <t>Remoto</t>
        </is>
      </c>
      <c r="G219" s="5">
        <f>HYPERLINK("https://co.computrabajo.com/ofertas-de-trabajo/oferta-de-trabajo-de-especialista-en-diseno-geometrico-en-malaga-977BE1C8A1B900FF61373E686DCF3405", "Ver Vacante")</f>
        <v/>
      </c>
      <c r="H219" s="6" t="inlineStr"/>
      <c r="I219" s="3" t="inlineStr">
        <is>
          <t>[Afinidad: 55/100 - Afinidad Moderada] Afinidad parcial en infraestructura vial y transporte. Modalidad: 100% Remoto en Colombia confirmado.</t>
        </is>
      </c>
      <c r="J219" s="2" t="inlineStr">
        <is>
          <t>Nueva</t>
        </is>
      </c>
      <c r="K219" s="3" t="inlineStr"/>
    </row>
    <row r="220" ht="22" customHeight="1">
      <c r="A220" s="2" t="inlineStr">
        <is>
          <t>687eef4890489e78</t>
        </is>
      </c>
      <c r="B220" s="2" t="inlineStr">
        <is>
          <t>2026-10-05 19:42</t>
        </is>
      </c>
      <c r="C220" s="3" t="inlineStr">
        <is>
          <t>Especialista en SST Docente Barranquilla</t>
        </is>
      </c>
      <c r="D220" s="3" t="inlineStr">
        <is>
          <t>CUN</t>
        </is>
      </c>
      <c r="E220" s="7" t="n">
        <v>0.55</v>
      </c>
      <c r="F220" s="2" t="inlineStr">
        <is>
          <t>Remoto</t>
        </is>
      </c>
      <c r="G220" s="5">
        <f>HYPERLINK("https://co.computrabajo.com/ofertas-de-trabajo/oferta-de-trabajo-de-especialista-en-sst-docente-barranquilla-seguridad-y-salud-en-el-trabajo-en-bogota-dc-54EDEE5BF076EBE461373E686DCF3405", "Ver Vacante")</f>
        <v/>
      </c>
      <c r="H220" s="6" t="inlineStr">
        <is>
          <t>$ 1.100.000,00 (Mensual)</t>
        </is>
      </c>
      <c r="I220" s="3" t="inlineStr">
        <is>
          <t>[Afinidad: 55/100 - Afinidad Moderada] Afinidad parcial en seguridad y salud ocupacional. Modalidad: 100% Remoto en Colombia confirmado.</t>
        </is>
      </c>
      <c r="J220" s="2" t="inlineStr">
        <is>
          <t>Nueva</t>
        </is>
      </c>
      <c r="K220" s="3" t="inlineStr"/>
    </row>
    <row r="221" ht="22" customHeight="1">
      <c r="A221" s="2" t="inlineStr">
        <is>
          <t>ffddee02fc3381c7</t>
        </is>
      </c>
      <c r="B221" s="2" t="inlineStr">
        <is>
          <t>2026-10-05 19:42</t>
        </is>
      </c>
      <c r="C221" s="3" t="inlineStr">
        <is>
          <t>Especialista en Pavimentos</t>
        </is>
      </c>
      <c r="D221" s="3" t="inlineStr">
        <is>
          <t>Jeoprobe SAS</t>
        </is>
      </c>
      <c r="E221" s="7" t="n">
        <v>0.55</v>
      </c>
      <c r="F221" s="2" t="inlineStr">
        <is>
          <t>Remoto</t>
        </is>
      </c>
      <c r="G221" s="5">
        <f>HYPERLINK("https://co.linkedin.com/jobs/view/especialista-en-pavimentos-at-jeoprobe-sas-4475594495", "Ver Vacante")</f>
        <v/>
      </c>
      <c r="H221" s="6" t="inlineStr"/>
      <c r="I221" s="3" t="inlineStr">
        <is>
          <t>[Afinidad: 55/100 - Afinidad Moderada] Afinidad parcial en infraestructura vial y transporte. Modalidad: 100% Remoto en Colombia confirmado.</t>
        </is>
      </c>
      <c r="J221" s="2" t="inlineStr">
        <is>
          <t>Nueva</t>
        </is>
      </c>
      <c r="K221" s="3" t="inlineStr"/>
    </row>
    <row r="222" ht="22" customHeight="1">
      <c r="A222" s="2" t="inlineStr">
        <is>
          <t>18a692d6d8333fe9</t>
        </is>
      </c>
      <c r="B222" s="2" t="inlineStr">
        <is>
          <t>2026-10-06 17:09</t>
        </is>
      </c>
      <c r="C222" s="3" t="inlineStr">
        <is>
          <t>Residente SST Obra Civil</t>
        </is>
      </c>
      <c r="D222" s="3" t="inlineStr">
        <is>
          <t>Dextera IT Services</t>
        </is>
      </c>
      <c r="E222" s="7" t="n">
        <v>0.55</v>
      </c>
      <c r="F222" s="2" t="inlineStr">
        <is>
          <t>Remoto</t>
        </is>
      </c>
      <c r="G222" s="5">
        <f>HYPERLINK("https://co.linkedin.com/jobs/view/residente-sst-obra-civil-at-dextera-it-services-4476189119", "Ver Vacante")</f>
        <v/>
      </c>
      <c r="H222" s="6" t="inlineStr"/>
      <c r="I222" s="3" t="inlineStr">
        <is>
          <t>[Afinidad: 55/100 - Afinidad Moderada] Afinidad parcial en seguridad y salud ocupacional. Modalidad: 100% Remoto en Colombia confirmado.</t>
        </is>
      </c>
      <c r="J222" s="2" t="inlineStr">
        <is>
          <t>Nueva</t>
        </is>
      </c>
      <c r="K222" s="3" t="inlineStr"/>
    </row>
    <row r="223" ht="22" customHeight="1">
      <c r="A223" s="2" t="inlineStr">
        <is>
          <t>d0207ac2c764d16c</t>
        </is>
      </c>
      <c r="B223" s="2" t="inlineStr">
        <is>
          <t>2026-10-06 17:09</t>
        </is>
      </c>
      <c r="C223" s="3" t="inlineStr">
        <is>
          <t>Residente SST Obra Civil</t>
        </is>
      </c>
      <c r="D223" s="3" t="inlineStr">
        <is>
          <t>Dextera IT Services</t>
        </is>
      </c>
      <c r="E223" s="7" t="n">
        <v>0.55</v>
      </c>
      <c r="F223" s="2" t="inlineStr">
        <is>
          <t>Remoto</t>
        </is>
      </c>
      <c r="G223" s="5">
        <f>HYPERLINK("https://co.linkedin.com/jobs/view/residente-sst-obra-civil-at-dextera-it-services-4476190086", "Ver Vacante")</f>
        <v/>
      </c>
      <c r="H223" s="6" t="inlineStr"/>
      <c r="I223" s="3" t="inlineStr">
        <is>
          <t>[Afinidad: 55/100 - Afinidad Moderada] Afinidad parcial en seguridad y salud ocupacional. Modalidad: 100% Remoto en Colombia confirmado.</t>
        </is>
      </c>
      <c r="J223" s="2" t="inlineStr">
        <is>
          <t>Nueva</t>
        </is>
      </c>
      <c r="K223" s="3" t="inlineStr"/>
    </row>
    <row r="224" ht="22" customHeight="1">
      <c r="A224" s="2" t="inlineStr">
        <is>
          <t>4569f95420c4cb7b</t>
        </is>
      </c>
      <c r="B224" s="2" t="inlineStr">
        <is>
          <t>2026-10-06 17:09</t>
        </is>
      </c>
      <c r="C224" s="3" t="inlineStr">
        <is>
          <t>Coordinador de SST</t>
        </is>
      </c>
      <c r="D224" s="3" t="inlineStr">
        <is>
          <t>Gente Útil S.A.</t>
        </is>
      </c>
      <c r="E224" s="7" t="n">
        <v>0.55</v>
      </c>
      <c r="F224" s="2" t="inlineStr">
        <is>
          <t>Remoto</t>
        </is>
      </c>
      <c r="G224" s="5">
        <f>HYPERLINK("https://co.linkedin.com/jobs/view/coordinador-de-sst-at-gente-%C3%BAtil-s-a-4454518285", "Ver Vacante")</f>
        <v/>
      </c>
      <c r="H224" s="6" t="inlineStr"/>
      <c r="I224" s="3" t="inlineStr">
        <is>
          <t>[Afinidad: 55/100 - Afinidad Moderada] Afinidad parcial en seguridad y salud ocupacional. Modalidad: 100% Remoto en Colombia confirmado.</t>
        </is>
      </c>
      <c r="J224" s="2" t="inlineStr">
        <is>
          <t>Nueva</t>
        </is>
      </c>
      <c r="K224" s="3" t="inlineStr"/>
    </row>
    <row r="225" ht="22" customHeight="1">
      <c r="A225" s="2" t="inlineStr">
        <is>
          <t>64232f6773b7709b</t>
        </is>
      </c>
      <c r="B225" s="2" t="inlineStr">
        <is>
          <t>2026-10-08 17:49</t>
        </is>
      </c>
      <c r="C225" s="3" t="inlineStr">
        <is>
          <t>Ingeniero Industrial Especialista SST</t>
        </is>
      </c>
      <c r="D225" s="3" t="inlineStr">
        <is>
          <t>Adecco Colombia S.A.</t>
        </is>
      </c>
      <c r="E225" s="7" t="n">
        <v>0.55</v>
      </c>
      <c r="F225" s="2" t="inlineStr">
        <is>
          <t>Remoto</t>
        </is>
      </c>
      <c r="G225" s="5">
        <f>HYPERLINK("https://co.computrabajo.com/ofertas-de-trabajo/oferta-de-trabajo-de-ingeniero-industrial-especialista-sst-en-bogota-dc-8C607423263A1B5261373E686DCF3405", "Ver Vacante")</f>
        <v/>
      </c>
      <c r="H225" s="6" t="inlineStr">
        <is>
          <t>$ 4.536.000,00 (Mensual)</t>
        </is>
      </c>
      <c r="I225" s="3" t="inlineStr">
        <is>
          <t>[Afinidad: 55/100 - Afinidad Moderada] Afinidad parcial en seguridad y salud ocupacional. Modalidad: 100% Remoto en Colombia confirmado.</t>
        </is>
      </c>
      <c r="J225" s="2" t="inlineStr">
        <is>
          <t>Nueva</t>
        </is>
      </c>
      <c r="K225" s="3" t="inlineStr"/>
    </row>
    <row r="226" ht="22" customHeight="1">
      <c r="A226" s="2" t="inlineStr">
        <is>
          <t>f27b1169f27052f4</t>
        </is>
      </c>
      <c r="B226" s="2" t="inlineStr">
        <is>
          <t>2026-10-08 17:49</t>
        </is>
      </c>
      <c r="C226" s="3" t="inlineStr">
        <is>
          <t>Responsable Hseq Medio Ambiente / Profesional en Ingeniería Industrial</t>
        </is>
      </c>
      <c r="D226" s="3" t="inlineStr">
        <is>
          <t>Importante empresa del sector</t>
        </is>
      </c>
      <c r="E226" s="7" t="n">
        <v>0.55</v>
      </c>
      <c r="F226" s="2" t="inlineStr">
        <is>
          <t>Remoto</t>
        </is>
      </c>
      <c r="G226" s="5">
        <f>HYPERLINK("https://co.computrabajo.com/ofertas-de-trabajo/oferta-de-trabajo-de-responsable-hseq-medio-ambiente-profesional-en-ingenieria-industrial-en-barranquilla-9DF171E9BFEBE41461373E686DCF3405", "Ver Vacante")</f>
        <v/>
      </c>
      <c r="H226" s="6" t="inlineStr">
        <is>
          <t>$ 2.700.000,00 (Mensual)</t>
        </is>
      </c>
      <c r="I226" s="3" t="inlineStr">
        <is>
          <t>[Afinidad: 55/100 - Afinidad Moderada] Afinidad parcial en seguridad y salud ocupacional. Modalidad: 100% Remoto en Colombia confirmado.</t>
        </is>
      </c>
      <c r="J226" s="2" t="inlineStr">
        <is>
          <t>Nueva</t>
        </is>
      </c>
      <c r="K226" s="3" t="inlineStr"/>
    </row>
    <row r="227" ht="22" customHeight="1">
      <c r="A227" s="2" t="inlineStr">
        <is>
          <t>b3718764bc7ab946</t>
        </is>
      </c>
      <c r="B227" s="2" t="inlineStr">
        <is>
          <t>2026-10-08 17:49</t>
        </is>
      </c>
      <c r="C227" s="3" t="inlineStr">
        <is>
          <t>Coordinador SST- Santander de Quilichao</t>
        </is>
      </c>
      <c r="D227" s="3" t="inlineStr">
        <is>
          <t>Otis Elevator Company Colombia</t>
        </is>
      </c>
      <c r="E227" s="7" t="n">
        <v>0.55</v>
      </c>
      <c r="F227" s="2" t="inlineStr">
        <is>
          <t>Remoto</t>
        </is>
      </c>
      <c r="G227" s="5">
        <f>HYPERLINK("https://co.linkedin.com/jobs/view/coordinador-sst-santander-de-quilichao-temporal-at-otis-elevator-company-colombia-4475478709", "Ver Vacante")</f>
        <v/>
      </c>
      <c r="H227" s="6" t="inlineStr"/>
      <c r="I227" s="3" t="inlineStr">
        <is>
          <t>[Afinidad: 55/100 - Afinidad Moderada] Afinidad parcial en seguridad y salud ocupacional. Modalidad: 100% Remoto en Colombia confirmado.</t>
        </is>
      </c>
      <c r="J227" s="2" t="inlineStr">
        <is>
          <t>Nueva</t>
        </is>
      </c>
      <c r="K227" s="3" t="inlineStr"/>
    </row>
    <row r="228" ht="22" customHeight="1">
      <c r="A228" s="2" t="inlineStr">
        <is>
          <t>f7a7809d78736280</t>
        </is>
      </c>
      <c r="B228" s="2" t="inlineStr">
        <is>
          <t>2026-10-08 17:49</t>
        </is>
      </c>
      <c r="C228" s="3" t="inlineStr">
        <is>
          <t>Analista sénior SST</t>
        </is>
      </c>
      <c r="D228" s="3" t="inlineStr">
        <is>
          <t>Confidencial</t>
        </is>
      </c>
      <c r="E228" s="7" t="n">
        <v>0.55</v>
      </c>
      <c r="F228" s="2" t="inlineStr">
        <is>
          <t>Remoto</t>
        </is>
      </c>
      <c r="G228" s="5">
        <f>HYPERLINK("https://co.linkedin.com/jobs/view/analista-s%C3%A9nior-sst-at-empresa-confidencial-4476942728", "Ver Vacante")</f>
        <v/>
      </c>
      <c r="H228" s="6" t="inlineStr"/>
      <c r="I228" s="3" t="inlineStr">
        <is>
          <t>[Afinidad: 55/100 - Afinidad Moderada] Afinidad parcial en seguridad y salud ocupacional. Modalidad: 100% Remoto en Colombia confirmado.</t>
        </is>
      </c>
      <c r="J228" s="2" t="inlineStr">
        <is>
          <t>Nueva</t>
        </is>
      </c>
      <c r="K228" s="3" t="inlineStr"/>
    </row>
    <row r="229" ht="22" customHeight="1">
      <c r="A229" s="2" t="inlineStr">
        <is>
          <t>77a44979a748c320</t>
        </is>
      </c>
      <c r="B229" s="2" t="inlineStr">
        <is>
          <t>2026-10-09 17:24</t>
        </is>
      </c>
      <c r="C229" s="3" t="inlineStr">
        <is>
          <t>Ingeniero especialista sst - sector hidrocarburos 635870</t>
        </is>
      </c>
      <c r="D229" s="3" t="inlineStr">
        <is>
          <t>JOBANDTALENT CO SAS</t>
        </is>
      </c>
      <c r="E229" s="7" t="n">
        <v>0.55</v>
      </c>
      <c r="F229" s="2" t="inlineStr">
        <is>
          <t>Remoto</t>
        </is>
      </c>
      <c r="G229" s="5">
        <f>HYPERLINK("https://www.elempleo.com/co/ofertas-trabajo/ingeniero-especialista-sst-sector-hidrocarburos-635870-1886778569", "Ver Vacante")</f>
        <v/>
      </c>
      <c r="H229" s="6" t="inlineStr"/>
      <c r="I229" s="3" t="inlineStr">
        <is>
          <t>[Afinidad: 55/100 - Afinidad Moderada] Afinidad parcial en seguridad y salud ocupacional. Modalidad: 100% Remoto en Colombia confirmado.</t>
        </is>
      </c>
      <c r="J229" s="2" t="inlineStr">
        <is>
          <t>Nueva</t>
        </is>
      </c>
      <c r="K229" s="3" t="inlineStr"/>
    </row>
    <row r="230" ht="22" customHeight="1">
      <c r="A230" s="2" t="inlineStr">
        <is>
          <t>7713a490ddcaf64b</t>
        </is>
      </c>
      <c r="B230" s="2" t="inlineStr">
        <is>
          <t>2026-10-09 17:24</t>
        </is>
      </c>
      <c r="C230" s="3" t="inlineStr">
        <is>
          <t>Especialista en Seguridad y Salud en el Trabajo</t>
        </is>
      </c>
      <c r="D230" s="3" t="inlineStr">
        <is>
          <t>SANY Group</t>
        </is>
      </c>
      <c r="E230" s="7" t="n">
        <v>0.55</v>
      </c>
      <c r="F230" s="2" t="inlineStr">
        <is>
          <t>Remoto</t>
        </is>
      </c>
      <c r="G230" s="5">
        <f>HYPERLINK("https://co.linkedin.com/jobs/view/especialista-en-seguridad-y-salud-en-el-trabajo-at-sany-group-4476803608", "Ver Vacante")</f>
        <v/>
      </c>
      <c r="H230" s="6" t="inlineStr"/>
      <c r="I230" s="3" t="inlineStr">
        <is>
          <t>[Afinidad: 55/100 - Afinidad Moderada] Afinidad parcial en seguridad y salud ocupacional. Modalidad: 100% Remoto en Colombia confirmado.</t>
        </is>
      </c>
      <c r="J230" s="2" t="inlineStr">
        <is>
          <t>Nueva</t>
        </is>
      </c>
      <c r="K230" s="3" t="inlineStr"/>
    </row>
    <row r="231" ht="22" customHeight="1">
      <c r="A231" s="2" t="inlineStr">
        <is>
          <t>f1f4afc8c1d914bd</t>
        </is>
      </c>
      <c r="B231" s="2" t="inlineStr">
        <is>
          <t>2026-10-11 16:39</t>
        </is>
      </c>
      <c r="C231" s="3" t="inlineStr">
        <is>
          <t>Fisioterapeuta especialista en seguridad y salud en el trabajo - soacha | sector industrial</t>
        </is>
      </c>
      <c r="D231" s="3" t="inlineStr">
        <is>
          <t>ADECCO COLOMBIA S A</t>
        </is>
      </c>
      <c r="E231" s="7" t="n">
        <v>0.55</v>
      </c>
      <c r="F231" s="2" t="inlineStr">
        <is>
          <t>Remoto</t>
        </is>
      </c>
      <c r="G231" s="5">
        <f>HYPERLINK("https://www.elempleo.com/co/ofertas-trabajo/fisioterapeuta-especialista-en-seguridad-y-salud-en-el-trabajo-soacha-sector-industrial-1886756129", "Ver Vacante")</f>
        <v/>
      </c>
      <c r="H231" s="6" t="inlineStr"/>
      <c r="I231" s="3" t="inlineStr">
        <is>
          <t>[Afinidad: 55/100 - Afinidad Moderada] Afinidad parcial en seguridad y salud ocupacional. Modalidad: 100% Remoto en Colombia confirmado.</t>
        </is>
      </c>
      <c r="J231" s="2" t="inlineStr">
        <is>
          <t>Nueva</t>
        </is>
      </c>
      <c r="K231" s="3" t="inlineStr"/>
    </row>
    <row r="232" ht="22" customHeight="1">
      <c r="A232" s="2" t="inlineStr">
        <is>
          <t>b06a3441df4c2e66</t>
        </is>
      </c>
      <c r="B232" s="2" t="inlineStr">
        <is>
          <t>2026-10-11 16:39</t>
        </is>
      </c>
      <c r="C232" s="3" t="inlineStr">
        <is>
          <t>Sabana de bogota y bogota - consultor psicólogo especialista sst independiente</t>
        </is>
      </c>
      <c r="D232" s="3" t="inlineStr">
        <is>
          <t>Confidencial</t>
        </is>
      </c>
      <c r="E232" s="7" t="n">
        <v>0.55</v>
      </c>
      <c r="F232" s="2" t="inlineStr">
        <is>
          <t>Remoto</t>
        </is>
      </c>
      <c r="G232" s="5">
        <f>HYPERLINK("https://www.elempleo.com/co/ofertas-trabajo/sabana-de-bogota-y-bogota-consultor-psicologo-especialista-sst-independiente-1886764892", "Ver Vacante")</f>
        <v/>
      </c>
      <c r="H232" s="6" t="inlineStr"/>
      <c r="I232" s="3" t="inlineStr">
        <is>
          <t>[Afinidad: 55/100 - Afinidad Moderada] Afinidad parcial en seguridad y salud ocupacional. Modalidad: 100% Remoto en Colombia confirmado.</t>
        </is>
      </c>
      <c r="J232" s="2" t="inlineStr">
        <is>
          <t>Nueva</t>
        </is>
      </c>
      <c r="K232" s="3" t="inlineStr"/>
    </row>
    <row r="233" ht="22" customHeight="1">
      <c r="A233" s="2" t="inlineStr">
        <is>
          <t>115da1e269ecddbb</t>
        </is>
      </c>
      <c r="B233" s="2" t="inlineStr">
        <is>
          <t>2026-10-11 16:39</t>
        </is>
      </c>
      <c r="C233" s="3" t="inlineStr">
        <is>
          <t>Sabana de bogota y bogota - consultor psicólogo especialista sst independiente</t>
        </is>
      </c>
      <c r="D233" s="3" t="inlineStr">
        <is>
          <t>Confidencial</t>
        </is>
      </c>
      <c r="E233" s="7" t="n">
        <v>0.55</v>
      </c>
      <c r="F233" s="2" t="inlineStr">
        <is>
          <t>Remoto</t>
        </is>
      </c>
      <c r="G233" s="5">
        <f>HYPERLINK("https://www.elempleo.com/co/ofertas-trabajo/sabana-de-bogota-y-bogota-consultor-psicologo-especialista-sst-independiente-1886763914", "Ver Vacante")</f>
        <v/>
      </c>
      <c r="H233" s="6" t="inlineStr"/>
      <c r="I233" s="3" t="inlineStr">
        <is>
          <t>[Afinidad: 55/100 - Afinidad Moderada] Afinidad parcial en seguridad y salud ocupacional. Modalidad: 100% Remoto en Colombia confirmado.</t>
        </is>
      </c>
      <c r="J233" s="2" t="inlineStr">
        <is>
          <t>Nueva</t>
        </is>
      </c>
      <c r="K233" s="3" t="inlineStr"/>
    </row>
    <row r="234" ht="22" customHeight="1">
      <c r="A234" s="2" t="inlineStr">
        <is>
          <t>54efa031ca59b87b</t>
        </is>
      </c>
      <c r="B234" s="2" t="inlineStr">
        <is>
          <t>2026-10-12 20:14</t>
        </is>
      </c>
      <c r="C234" s="3" t="inlineStr">
        <is>
          <t>Psicologo especialista en SST</t>
        </is>
      </c>
      <c r="D234" s="3" t="inlineStr">
        <is>
          <t>TRANSFORMANDO</t>
        </is>
      </c>
      <c r="E234" s="7" t="n">
        <v>0.55</v>
      </c>
      <c r="F234" s="2" t="inlineStr">
        <is>
          <t>Remoto</t>
        </is>
      </c>
      <c r="G234" s="5">
        <f>HYPERLINK("https://co.computrabajo.com/ofertas-de-trabajo/oferta-de-trabajo-de-psicologo-especialista-en-sst-en-barranquilla-CDF8802415DB65A661373E686DCF3405", "Ver Vacante")</f>
        <v/>
      </c>
      <c r="H234" s="6" t="inlineStr">
        <is>
          <t>$ 2.500.000,00 (Mensual)</t>
        </is>
      </c>
      <c r="I234" s="3" t="inlineStr">
        <is>
          <t>[Afinidad: 55/100 - Afinidad Moderada] Afinidad parcial en seguridad y salud ocupacional. Modalidad: 100% Remoto en Colombia confirmado.</t>
        </is>
      </c>
      <c r="J234" s="2" t="inlineStr">
        <is>
          <t>Nueva</t>
        </is>
      </c>
      <c r="K234" s="3" t="inlineStr"/>
    </row>
    <row r="235" ht="22" customHeight="1">
      <c r="A235" s="2" t="inlineStr">
        <is>
          <t>825c540f2067a72e</t>
        </is>
      </c>
      <c r="B235" s="2" t="inlineStr">
        <is>
          <t>2026-10-14 15:48</t>
        </is>
      </c>
      <c r="C235" s="3" t="inlineStr">
        <is>
          <t>Ingeniero civil-Infraestructura y Obras Civiles</t>
        </is>
      </c>
      <c r="D235" s="3" t="inlineStr">
        <is>
          <t>TSG The IT Experts</t>
        </is>
      </c>
      <c r="E235" s="7" t="n">
        <v>0.55</v>
      </c>
      <c r="F235" s="2" t="inlineStr">
        <is>
          <t>Remoto</t>
        </is>
      </c>
      <c r="G235" s="5">
        <f>HYPERLINK("https://co.linkedin.com/jobs/view/ingeniero-civil-infraestructura-y-obras-civiles-at-tsg-the-it-experts-4478127388", "Ver Vacante")</f>
        <v/>
      </c>
      <c r="H235" s="6" t="inlineStr"/>
      <c r="I235" s="3" t="inlineStr">
        <is>
          <t>[Afinidad: 55/100 - Afinidad Moderada] Afinidad parcial en infraestructura vial y transporte. Modalidad: 100% Remoto en Colombia confirmado.</t>
        </is>
      </c>
      <c r="J235" s="2" t="inlineStr">
        <is>
          <t>Nueva</t>
        </is>
      </c>
      <c r="K235" s="3" t="inlineStr"/>
    </row>
    <row r="236" ht="22" customHeight="1">
      <c r="A236" s="2" t="inlineStr">
        <is>
          <t>972b6f5dc32e6291</t>
        </is>
      </c>
      <c r="B236" s="2" t="inlineStr">
        <is>
          <t>2026-10-15 15:36</t>
        </is>
      </c>
      <c r="C236" s="3" t="inlineStr">
        <is>
          <t>Profesional en sg-sst</t>
        </is>
      </c>
      <c r="D236" s="3" t="inlineStr">
        <is>
          <t>Confidencial</t>
        </is>
      </c>
      <c r="E236" s="7" t="n">
        <v>0.55</v>
      </c>
      <c r="F236" s="2" t="inlineStr">
        <is>
          <t>Remoto</t>
        </is>
      </c>
      <c r="G236" s="5">
        <f>HYPERLINK("https://www.elempleo.com/co/ofertas-trabajo/profesional-en-sgsst-1886780299", "Ver Vacante")</f>
        <v/>
      </c>
      <c r="H236" s="6" t="inlineStr"/>
      <c r="I236" s="3" t="inlineStr">
        <is>
          <t>[Afinidad: 55/100 - Afinidad Moderada] Alta coincidencia en gestión de Seguridad y Salud en el Trabajo (SST). Modalidad: 100% Remoto en Colombia confirmado.</t>
        </is>
      </c>
      <c r="J236" s="2" t="inlineStr">
        <is>
          <t>Nueva</t>
        </is>
      </c>
      <c r="K236" s="3" t="inlineStr"/>
    </row>
    <row r="237" ht="22" customHeight="1">
      <c r="A237" s="2" t="inlineStr">
        <is>
          <t>fdcdc9464ae3ac04</t>
        </is>
      </c>
      <c r="B237" s="2" t="inlineStr">
        <is>
          <t>2026-10-17 14:12</t>
        </is>
      </c>
      <c r="C237" s="3" t="inlineStr">
        <is>
          <t>Psicólogo/a especialista en Seguridad y Salud en el Trabajo</t>
        </is>
      </c>
      <c r="D237" s="3" t="inlineStr">
        <is>
          <t>BRAIN HUNTER</t>
        </is>
      </c>
      <c r="E237" s="7" t="n">
        <v>0.55</v>
      </c>
      <c r="F237" s="2" t="inlineStr">
        <is>
          <t>Remoto</t>
        </is>
      </c>
      <c r="G237" s="5">
        <f>HYPERLINK("https://co.computrabajo.com/ofertas-de-trabajo/oferta-de-trabajo-de-psicologoa-especialista-en-seguridad-y-salud-en-el-trabajo-en-bogota-dc-A445D5662D3F5F8961373E686DCF3405", "Ver Vacante")</f>
        <v/>
      </c>
      <c r="H237" s="6" t="inlineStr">
        <is>
          <t>Remoto</t>
        </is>
      </c>
      <c r="I237" s="3" t="inlineStr">
        <is>
          <t>[Afinidad: 55/100 - Afinidad Moderada] Afinidad parcial en seguridad y salud ocupacional. Modalidad: 100% Remoto en Colombia confirmado.</t>
        </is>
      </c>
      <c r="J237" s="2" t="inlineStr">
        <is>
          <t>Nueva</t>
        </is>
      </c>
      <c r="K237" s="3" t="inlineStr"/>
    </row>
    <row r="238" ht="22" customHeight="1">
      <c r="A238" s="2" t="inlineStr">
        <is>
          <t>770dc4d2b81c7890</t>
        </is>
      </c>
      <c r="B238" s="2" t="inlineStr">
        <is>
          <t>2026-10-17 14:12</t>
        </is>
      </c>
      <c r="C238" s="3" t="inlineStr">
        <is>
          <t>Coordinador SST / Sector Construcción / Experiencia en RUC</t>
        </is>
      </c>
      <c r="D238" s="3" t="inlineStr">
        <is>
          <t>ORGANIZACIÓN SERVICIOS Y ASESORIAS S.A.S.</t>
        </is>
      </c>
      <c r="E238" s="7" t="n">
        <v>0.55</v>
      </c>
      <c r="F238" s="2" t="inlineStr">
        <is>
          <t>Remoto</t>
        </is>
      </c>
      <c r="G238" s="5">
        <f>HYPERLINK("https://co.computrabajo.com/ofertas-de-trabajo/oferta-de-trabajo-de-coordinador-sst-sector-construccion-experiencia-en-ruc-cali-en-cali-1ED43EAAB46CE6BD61373E686DCF3405", "Ver Vacante")</f>
        <v/>
      </c>
      <c r="H238" s="6" t="inlineStr">
        <is>
          <t>$ 4.000.000,00 (Mensual)</t>
        </is>
      </c>
      <c r="I238" s="3" t="inlineStr">
        <is>
          <t>[Afinidad: 55/100 - Afinidad Moderada] Afinidad parcial en seguridad y salud ocupacional. Modalidad: 100% Remoto en Colombia confirmado.</t>
        </is>
      </c>
      <c r="J238" s="2" t="inlineStr">
        <is>
          <t>Nueva</t>
        </is>
      </c>
      <c r="K238" s="3" t="inlineStr"/>
    </row>
    <row r="239" ht="22" customHeight="1">
      <c r="A239" s="2" t="inlineStr">
        <is>
          <t>0f462b510ed35f6a</t>
        </is>
      </c>
      <c r="B239" s="2" t="inlineStr">
        <is>
          <t>2026-10-20 15:40</t>
        </is>
      </c>
      <c r="C239" s="3" t="inlineStr">
        <is>
          <t>Psicólogo especialista en sst - medellín</t>
        </is>
      </c>
      <c r="D239" s="3" t="inlineStr">
        <is>
          <t>Quirón Prevención Colombia S.A.S</t>
        </is>
      </c>
      <c r="E239" s="7" t="n">
        <v>0.55</v>
      </c>
      <c r="F239" s="2" t="inlineStr">
        <is>
          <t>Remoto</t>
        </is>
      </c>
      <c r="G239" s="5">
        <f>HYPERLINK("https://www.elempleo.com/co/ofertas-trabajo/psicologo-especialista-en-sst-medellin-1886782580", "Ver Vacante")</f>
        <v/>
      </c>
      <c r="H239" s="6" t="inlineStr"/>
      <c r="I239" s="3" t="inlineStr">
        <is>
          <t>[Afinidad: 55/100 - Afinidad Moderada] Afinidad parcial en seguridad y salud ocupacional. Modalidad: 100% Remoto en Colombia confirmado.</t>
        </is>
      </c>
      <c r="J239" s="2" t="inlineStr">
        <is>
          <t>Nueva</t>
        </is>
      </c>
      <c r="K239" s="3" t="inlineStr"/>
    </row>
    <row r="240" ht="22" customHeight="1">
      <c r="A240" s="2" t="inlineStr">
        <is>
          <t>a59f7e9b1d51d16d</t>
        </is>
      </c>
      <c r="B240" s="2" t="inlineStr">
        <is>
          <t>2026-10-20 15:40</t>
        </is>
      </c>
      <c r="C240" s="3" t="inlineStr">
        <is>
          <t>Asistente de recursos humanos y sg-sst,</t>
        </is>
      </c>
      <c r="D240" s="3" t="inlineStr">
        <is>
          <t>SERO SAS</t>
        </is>
      </c>
      <c r="E240" s="7" t="n">
        <v>0.55</v>
      </c>
      <c r="F240" s="2" t="inlineStr">
        <is>
          <t>Remoto</t>
        </is>
      </c>
      <c r="G240" s="5">
        <f>HYPERLINK("https://www.elempleo.com/co/ofertas-trabajo/asistente-de-recursos-humanos-y-sgsst-1886782559", "Ver Vacante")</f>
        <v/>
      </c>
      <c r="H240" s="6" t="inlineStr"/>
      <c r="I240" s="3" t="inlineStr">
        <is>
          <t>[Afinidad: 55/100 - Afinidad Moderada] Alta coincidencia en gestión de Seguridad y Salud en el Trabajo (SST). Modalidad: 100% Remoto en Colombia confirmado.</t>
        </is>
      </c>
      <c r="J240" s="2" t="inlineStr">
        <is>
          <t>Nueva</t>
        </is>
      </c>
      <c r="K240" s="3" t="inlineStr"/>
    </row>
    <row r="241" ht="22" customHeight="1">
      <c r="A241" s="2" t="inlineStr">
        <is>
          <t>e08c929d8c35cabb</t>
        </is>
      </c>
      <c r="B241" s="2" t="inlineStr">
        <is>
          <t>2026-10-20 15:40</t>
        </is>
      </c>
      <c r="C241" s="3" t="inlineStr">
        <is>
          <t>Civil 3D Modeler</t>
        </is>
      </c>
      <c r="D241" s="3" t="inlineStr">
        <is>
          <t>WSP en Colombia</t>
        </is>
      </c>
      <c r="E241" s="7" t="n">
        <v>0.55</v>
      </c>
      <c r="F241" s="2" t="inlineStr">
        <is>
          <t>Remoto</t>
        </is>
      </c>
      <c r="G241" s="5">
        <f>HYPERLINK("https://co.linkedin.com/jobs/view/civil-3d-modeler-at-wsp-en-colombia-4481279201", "Ver Vacante")</f>
        <v/>
      </c>
      <c r="H241" s="6" t="inlineStr"/>
      <c r="I241" s="3" t="inlineStr">
        <is>
          <t>[Afinidad: 55/100 - Afinidad Moderada] Afinidad parcial en infraestructura vial y transporte. Modalidad: 100% Remoto en Colombia confirmado.</t>
        </is>
      </c>
      <c r="J241" s="2" t="inlineStr">
        <is>
          <t>Nueva</t>
        </is>
      </c>
      <c r="K241" s="3" t="inlineStr"/>
    </row>
    <row r="242" ht="22" customHeight="1">
      <c r="A242" s="2" t="inlineStr">
        <is>
          <t>740973504bc18c71</t>
        </is>
      </c>
      <c r="B242" s="2" t="inlineStr">
        <is>
          <t>2026-10-21 15:56</t>
        </is>
      </c>
      <c r="C242" s="3" t="inlineStr">
        <is>
          <t>Psicólogo/a Especialista en SST</t>
        </is>
      </c>
      <c r="D242" s="3" t="inlineStr">
        <is>
          <t>BRAIN HUNTER</t>
        </is>
      </c>
      <c r="E242" s="7" t="n">
        <v>0.55</v>
      </c>
      <c r="F242" s="2" t="inlineStr">
        <is>
          <t>Remoto</t>
        </is>
      </c>
      <c r="G242" s="5">
        <f>HYPERLINK("https://co.computrabajo.com/ofertas-de-trabajo/oferta-de-trabajo-de-psicologoa-especialista-en-sst-consultoria-riesgo-psicosocial-en-bogota-dc-0C23E5A3CB55A12761373E686DCF3405", "Ver Vacante")</f>
        <v/>
      </c>
      <c r="H242" s="6" t="inlineStr">
        <is>
          <t>Remoto</t>
        </is>
      </c>
      <c r="I242" s="3" t="inlineStr">
        <is>
          <t>[Afinidad: 55/100 - Afinidad Moderada] Afinidad parcial en seguridad y salud ocupacional. Modalidad: 100% Remoto en Colombia confirmado.</t>
        </is>
      </c>
      <c r="J242" s="2" t="inlineStr">
        <is>
          <t>Nueva</t>
        </is>
      </c>
      <c r="K242" s="3" t="inlineStr"/>
    </row>
    <row r="243" ht="22" customHeight="1">
      <c r="A243" s="2" t="inlineStr">
        <is>
          <t>8093c4a88f1699b2</t>
        </is>
      </c>
      <c r="B243" s="2" t="inlineStr">
        <is>
          <t>2026-10-21 15:56</t>
        </is>
      </c>
      <c r="C243" s="3" t="inlineStr">
        <is>
          <t>Optómetra especialista en sst - medellín</t>
        </is>
      </c>
      <c r="D243" s="3" t="inlineStr">
        <is>
          <t>Quirón Prevención Colombia S.A.S</t>
        </is>
      </c>
      <c r="E243" s="7" t="n">
        <v>0.55</v>
      </c>
      <c r="F243" s="2" t="inlineStr">
        <is>
          <t>Remoto</t>
        </is>
      </c>
      <c r="G243" s="5">
        <f>HYPERLINK("https://www.elempleo.com/co/ofertas-trabajo/optometra-especialista-en-sst-medellin-1886782671", "Ver Vacante")</f>
        <v/>
      </c>
      <c r="H243" s="6" t="inlineStr"/>
      <c r="I243" s="3" t="inlineStr">
        <is>
          <t>[Afinidad: 55/100 - Afinidad Moderada] Afinidad parcial en seguridad y salud ocupacional. Modalidad: 100% Remoto en Colombia confirmado.</t>
        </is>
      </c>
      <c r="J243" s="2" t="inlineStr">
        <is>
          <t>Nueva</t>
        </is>
      </c>
      <c r="K243" s="3" t="inlineStr"/>
    </row>
    <row r="244" ht="22" customHeight="1">
      <c r="A244" s="2" t="inlineStr">
        <is>
          <t>dc3882942fd93b3e</t>
        </is>
      </c>
      <c r="B244" s="2" t="inlineStr">
        <is>
          <t>2026-10-21 15:56</t>
        </is>
      </c>
      <c r="C244" s="3" t="inlineStr">
        <is>
          <t>Psicólogo (a) especialista en sst</t>
        </is>
      </c>
      <c r="D244" s="3" t="inlineStr">
        <is>
          <t>CODESS</t>
        </is>
      </c>
      <c r="E244" s="7" t="n">
        <v>0.55</v>
      </c>
      <c r="F244" s="2" t="inlineStr">
        <is>
          <t>Remoto</t>
        </is>
      </c>
      <c r="G244" s="5">
        <f>HYPERLINK("https://www.elempleo.com/co/ofertas-trabajo/psicologo-a-especialista-en-sst-1886770116", "Ver Vacante")</f>
        <v/>
      </c>
      <c r="H244" s="6" t="inlineStr"/>
      <c r="I244" s="3" t="inlineStr">
        <is>
          <t>[Afinidad: 55/100 - Afinidad Moderada] Afinidad parcial en seguridad y salud ocupacional. Modalidad: 100% Remoto en Colombia confirmado.</t>
        </is>
      </c>
      <c r="J244" s="2" t="inlineStr">
        <is>
          <t>Nueva</t>
        </is>
      </c>
      <c r="K244" s="3" t="inlineStr"/>
    </row>
    <row r="245" ht="22" customHeight="1">
      <c r="A245" s="2" t="inlineStr">
        <is>
          <t>5dbc1d4d5803abfd</t>
        </is>
      </c>
      <c r="B245" s="2" t="inlineStr">
        <is>
          <t>2026-10-21 15:56</t>
        </is>
      </c>
      <c r="C245" s="3" t="inlineStr">
        <is>
          <t>Psicólogo (a) especialista en sst</t>
        </is>
      </c>
      <c r="D245" s="3" t="inlineStr">
        <is>
          <t>CODESS</t>
        </is>
      </c>
      <c r="E245" s="7" t="n">
        <v>0.55</v>
      </c>
      <c r="F245" s="2" t="inlineStr">
        <is>
          <t>Remoto</t>
        </is>
      </c>
      <c r="G245" s="5">
        <f>HYPERLINK("https://www.elempleo.com/co/ofertas-trabajo/psicologo-a-especialista-en-sst-1886768726", "Ver Vacante")</f>
        <v/>
      </c>
      <c r="H245" s="6" t="inlineStr"/>
      <c r="I245" s="3" t="inlineStr">
        <is>
          <t>[Afinidad: 55/100 - Afinidad Moderada] Afinidad parcial en seguridad y salud ocupacional. Modalidad: 100% Remoto en Colombia confirmado.</t>
        </is>
      </c>
      <c r="J245" s="2" t="inlineStr">
        <is>
          <t>Nueva</t>
        </is>
      </c>
      <c r="K245" s="3" t="inlineStr"/>
    </row>
    <row r="246" ht="22" customHeight="1">
      <c r="A246" s="2" t="inlineStr">
        <is>
          <t>ae0cbd93f7cb9d1f</t>
        </is>
      </c>
      <c r="B246" s="2" t="inlineStr">
        <is>
          <t>2026-10-21 15:56</t>
        </is>
      </c>
      <c r="C246" s="3" t="inlineStr">
        <is>
          <t>Coordinador SST- Temporal</t>
        </is>
      </c>
      <c r="D246" s="3" t="inlineStr">
        <is>
          <t>Otis Elevator Co.</t>
        </is>
      </c>
      <c r="E246" s="7" t="n">
        <v>0.55</v>
      </c>
      <c r="F246" s="2" t="inlineStr">
        <is>
          <t>Remoto</t>
        </is>
      </c>
      <c r="G246" s="5">
        <f>HYPERLINK("https://co.linkedin.com/jobs/view/coordinador-sst-temporal-at-otis-elevator-co-4472858236", "Ver Vacante")</f>
        <v/>
      </c>
      <c r="H246" s="6" t="inlineStr"/>
      <c r="I246" s="3" t="inlineStr">
        <is>
          <t>[Afinidad: 55/100 - Afinidad Moderada] Afinidad parcial en seguridad y salud ocupacional. Modalidad: 100% Remoto en Colombia confirmado.</t>
        </is>
      </c>
      <c r="J246" s="2" t="inlineStr">
        <is>
          <t>Nueva</t>
        </is>
      </c>
      <c r="K246" s="3" t="inlineStr"/>
    </row>
    <row r="247" ht="22" customHeight="1">
      <c r="A247" s="2" t="inlineStr">
        <is>
          <t>c104b3e87c9069a6</t>
        </is>
      </c>
      <c r="B247" s="2" t="inlineStr">
        <is>
          <t>2026-10-22 15:54</t>
        </is>
      </c>
      <c r="C247" s="3" t="inlineStr">
        <is>
          <t>Especialista de SST</t>
        </is>
      </c>
      <c r="D247" s="3" t="inlineStr">
        <is>
          <t>D1 S.A.S</t>
        </is>
      </c>
      <c r="E247" s="7" t="n">
        <v>0.55</v>
      </c>
      <c r="F247" s="2" t="inlineStr">
        <is>
          <t>Remoto</t>
        </is>
      </c>
      <c r="G247" s="5">
        <f>HYPERLINK("https://co.linkedin.com/jobs/view/especialista-de-sst-at-d1-s-a-s-4482461808", "Ver Vacante")</f>
        <v/>
      </c>
      <c r="H247" s="6" t="inlineStr"/>
      <c r="I247" s="3" t="inlineStr">
        <is>
          <t>[Afinidad: 55/100 - Afinidad Moderada] Afinidad parcial en seguridad y salud ocupacional. Modalidad: 100% Remoto en Colombia confirmado.</t>
        </is>
      </c>
      <c r="J247" s="2" t="inlineStr">
        <is>
          <t>Nueva</t>
        </is>
      </c>
      <c r="K247" s="3" t="inlineStr"/>
    </row>
    <row r="248" ht="22" customHeight="1">
      <c r="A248" s="2" t="inlineStr">
        <is>
          <t>12753aacc2edbc6d</t>
        </is>
      </c>
      <c r="B248" s="2" t="inlineStr">
        <is>
          <t>2026-10-22 15:54</t>
        </is>
      </c>
      <c r="C248" s="3" t="inlineStr">
        <is>
          <t>Consultor de Riesgos Laborales y SST Senior</t>
        </is>
      </c>
      <c r="D248" s="3" t="inlineStr">
        <is>
          <t>Gallagher</t>
        </is>
      </c>
      <c r="E248" s="7" t="n">
        <v>0.55</v>
      </c>
      <c r="F248" s="2" t="inlineStr">
        <is>
          <t>Remoto</t>
        </is>
      </c>
      <c r="G248" s="5">
        <f>HYPERLINK("https://co.linkedin.com/jobs/view/consultor-de-riesgos-laborales-y-sst-senior-at-gallagher-4482136757", "Ver Vacante")</f>
        <v/>
      </c>
      <c r="H248" s="6" t="inlineStr"/>
      <c r="I248" s="3" t="inlineStr">
        <is>
          <t>[Afinidad: 55/100 - Afinidad Moderada] Afinidad parcial en seguridad y salud ocupacional. Modalidad: 100% Remoto en Colombia confirmado.</t>
        </is>
      </c>
      <c r="J248" s="2" t="inlineStr">
        <is>
          <t>Nueva</t>
        </is>
      </c>
      <c r="K248" s="3" t="inlineStr"/>
    </row>
    <row r="249" ht="22" customHeight="1">
      <c r="A249" s="2" t="inlineStr">
        <is>
          <t>5d8b28fb59d7eb29</t>
        </is>
      </c>
      <c r="B249" s="2" t="inlineStr">
        <is>
          <t>2026-10-22 15:54</t>
        </is>
      </c>
      <c r="C249" s="3" t="inlineStr">
        <is>
          <t>Analista Senior de SST y People Operations</t>
        </is>
      </c>
      <c r="D249" s="3" t="inlineStr">
        <is>
          <t>Bia Energy</t>
        </is>
      </c>
      <c r="E249" s="7" t="n">
        <v>0.55</v>
      </c>
      <c r="F249" s="2" t="inlineStr">
        <is>
          <t>Remoto</t>
        </is>
      </c>
      <c r="G249" s="5">
        <f>HYPERLINK("https://co.linkedin.com/jobs/view/analista-senior-de-sst-y-people-operations-at-bia-energy-4479419811", "Ver Vacante")</f>
        <v/>
      </c>
      <c r="H249" s="6" t="inlineStr"/>
      <c r="I249" s="3" t="inlineStr">
        <is>
          <t>[Afinidad: 55/100 - Afinidad Moderada] Afinidad parcial en seguridad y salud ocupacional. Modalidad: 100% Remoto en Colombia confirmado.</t>
        </is>
      </c>
      <c r="J249" s="2" t="inlineStr">
        <is>
          <t>Nueva</t>
        </is>
      </c>
      <c r="K249" s="3" t="inlineStr"/>
    </row>
    <row r="250" ht="22" customHeight="1">
      <c r="A250" s="2" t="inlineStr">
        <is>
          <t>3cbe044b124adb25</t>
        </is>
      </c>
      <c r="B250" s="2" t="inlineStr">
        <is>
          <t>2026-09-22 05:09</t>
        </is>
      </c>
      <c r="C250" s="3" t="inlineStr">
        <is>
          <t>Coordinador/a Plan estratégico de seguridad vial</t>
        </is>
      </c>
      <c r="D250" s="3" t="inlineStr">
        <is>
          <t>EMPRESA TRANSPORTADORA SAN GABRIEL SAS</t>
        </is>
      </c>
      <c r="E250" s="7" t="n">
        <v>0.53</v>
      </c>
      <c r="F250" s="2" t="inlineStr">
        <is>
          <t>Remoto</t>
        </is>
      </c>
      <c r="G250" s="5">
        <f>HYPERLINK("https://co.computrabajo.com/ofertas-de-trabajo/oferta-de-trabajo-de-coordinadora-plan-estrategico-de-seguridad-vial-pesv-bogota-en-bogota-dc-2AE9BF94CB16F8FA61373E686DCF3405", "Ver Vacante")</f>
        <v/>
      </c>
      <c r="H250" s="6" t="inlineStr">
        <is>
          <t>$ 3.710.000,00 (Mensual)</t>
        </is>
      </c>
      <c r="I250" s="3" t="inlineStr">
        <is>
          <t>[Afinidad: 53/100 - Afinidad Moderada] Alta coincidencia técnica en infraestructura vial, diseño geométrico y pavimentos. Modalidad: 100% Remoto en Colombia confirmado.</t>
        </is>
      </c>
      <c r="J250" s="2" t="inlineStr">
        <is>
          <t>Nueva</t>
        </is>
      </c>
      <c r="K250" s="3" t="inlineStr"/>
    </row>
    <row r="251" ht="22" customHeight="1">
      <c r="A251" s="2" t="inlineStr">
        <is>
          <t>f93c2e5eedb2fde7</t>
        </is>
      </c>
      <c r="B251" s="2" t="inlineStr">
        <is>
          <t>2026-09-22 05:09</t>
        </is>
      </c>
      <c r="C251" s="3" t="inlineStr">
        <is>
          <t>Coordinador seguridad industrial y sst - plantas de producción</t>
        </is>
      </c>
      <c r="D251" s="3" t="inlineStr">
        <is>
          <t>Confidencial</t>
        </is>
      </c>
      <c r="E251" s="7" t="n">
        <v>0.53</v>
      </c>
      <c r="F251" s="2" t="inlineStr">
        <is>
          <t>Remoto</t>
        </is>
      </c>
      <c r="G251" s="5">
        <f>HYPERLINK("https://www.elempleo.com/co/ofertas-trabajo/coordinador-seguridad-industrial-y-sst-plantas-de-produccion-1886745985", "Ver Vacante")</f>
        <v/>
      </c>
      <c r="H251" s="6" t="inlineStr"/>
      <c r="I251" s="3" t="inlineStr">
        <is>
          <t>[Afinidad: 53/100 - Afinidad Moderada] Alta coincidencia en gestión de Seguridad y Salud en el Trabajo (SST). Modalidad: 100% Remoto en Colombia confirmado.</t>
        </is>
      </c>
      <c r="J251" s="2" t="inlineStr">
        <is>
          <t>Nueva</t>
        </is>
      </c>
      <c r="K251" s="3" t="inlineStr"/>
    </row>
    <row r="252" ht="22" customHeight="1">
      <c r="A252" s="2" t="inlineStr">
        <is>
          <t>a1c66287744c7791</t>
        </is>
      </c>
      <c r="B252" s="2" t="inlineStr">
        <is>
          <t>2026-09-22 05:09</t>
        </is>
      </c>
      <c r="C252" s="3" t="inlineStr">
        <is>
          <t>Coordinador/a Plan estratégico de seguridad vial</t>
        </is>
      </c>
      <c r="D252" s="3" t="inlineStr">
        <is>
          <t>Empresa Transportadora San Gabriel S.A.S.</t>
        </is>
      </c>
      <c r="E252" s="7" t="n">
        <v>0.53</v>
      </c>
      <c r="F252" s="2" t="inlineStr">
        <is>
          <t>Remoto</t>
        </is>
      </c>
      <c r="G252" s="5">
        <f>HYPERLINK("https://co.linkedin.com/jobs/view/coordinador-a-plan-estrat%C3%A9gico-de-seguridad-vial-pesv-at-empresa-transportadora-san-gabriel-s-a-s-4469263436", "Ver Vacante")</f>
        <v/>
      </c>
      <c r="H252" s="6" t="inlineStr"/>
      <c r="I252" s="3" t="inlineStr">
        <is>
          <t>[Afinidad: 53/100 - Afinidad Moderada] Alta coincidencia técnica en infraestructura vial, diseño geométrico y pavimentos. Modalidad: 100% Remoto en Colombia confirmado.</t>
        </is>
      </c>
      <c r="J252" s="2" t="inlineStr">
        <is>
          <t>Nueva</t>
        </is>
      </c>
      <c r="K252" s="3" t="inlineStr"/>
    </row>
    <row r="253" ht="22" customHeight="1">
      <c r="A253" s="2" t="inlineStr">
        <is>
          <t>336177464dac0014</t>
        </is>
      </c>
      <c r="B253" s="2" t="inlineStr">
        <is>
          <t>2026-09-23 10:17</t>
        </is>
      </c>
      <c r="C253" s="3" t="inlineStr">
        <is>
          <t>Coordinador/a PESV / Plan estratégico de seguridad vial</t>
        </is>
      </c>
      <c r="D253" s="3" t="inlineStr">
        <is>
          <t>AGENCIA DE EMPLEO COMFAMA</t>
        </is>
      </c>
      <c r="E253" s="7" t="n">
        <v>0.53</v>
      </c>
      <c r="F253" s="2" t="inlineStr">
        <is>
          <t>Remoto</t>
        </is>
      </c>
      <c r="G253" s="5">
        <f>HYPERLINK("https://co.computrabajo.com/ofertas-de-trabajo/oferta-de-trabajo-de-coordinadora-pesv-plan-estrategico-de-seguridad-vial-seguridad-y-salud-en-el-trabajo-en-medellin-5081CD2DD6E3583F61373E686DCF3405", "Ver Vacante")</f>
        <v/>
      </c>
      <c r="H253" s="6" t="inlineStr">
        <is>
          <t>$ 2.800.000,00 (Mensual)</t>
        </is>
      </c>
      <c r="I253" s="3" t="inlineStr">
        <is>
          <t>[Afinidad: 53/100 - Afinidad Moderada] Alta coincidencia técnica en infraestructura vial, diseño geométrico y pavimentos. Modalidad: 100% Remoto en Colombia confirmado.</t>
        </is>
      </c>
      <c r="J253" s="2" t="inlineStr">
        <is>
          <t>Nueva</t>
        </is>
      </c>
      <c r="K253" s="3" t="inlineStr"/>
    </row>
    <row r="254" ht="22" customHeight="1">
      <c r="A254" s="2" t="inlineStr">
        <is>
          <t>0f38d72fbe51d491</t>
        </is>
      </c>
      <c r="B254" s="2" t="inlineStr">
        <is>
          <t>2026-09-24 15:49</t>
        </is>
      </c>
      <c r="C254" s="3" t="inlineStr">
        <is>
          <t>Coordinador PESV Plan Estratégico de Seguridad Vial/ Cubrimiento Licencia de Maternidad</t>
        </is>
      </c>
      <c r="D254" s="3" t="inlineStr">
        <is>
          <t>Eulen Colombia S.A</t>
        </is>
      </c>
      <c r="E254" s="7" t="n">
        <v>0.53</v>
      </c>
      <c r="F254" s="2" t="inlineStr">
        <is>
          <t>Remoto</t>
        </is>
      </c>
      <c r="G254" s="5">
        <f>HYPERLINK("https://co.computrabajo.com/ofertas-de-trabajo/oferta-de-trabajo-de-coordinador-pesv-plan-estrategico-de-seguridad-vial-cubrimiento-licencia-de-maternidad-en-bogota-dc-2BC3B40C1B36AB5561373E686DCF3405", "Ver Vacante")</f>
        <v/>
      </c>
      <c r="H254" s="6" t="inlineStr">
        <is>
          <t>$ 2.105.000,00 (Mensual)</t>
        </is>
      </c>
      <c r="I254" s="3" t="inlineStr">
        <is>
          <t>[Afinidad: 53/100 - Afinidad Moderada] Alta coincidencia técnica en infraestructura vial, diseño geométrico y pavimentos. Modalidad: 100% Remoto en Colombia confirmado.</t>
        </is>
      </c>
      <c r="J254" s="2" t="inlineStr">
        <is>
          <t>Nueva</t>
        </is>
      </c>
      <c r="K254" s="3" t="inlineStr"/>
    </row>
    <row r="255" ht="22" customHeight="1">
      <c r="A255" s="2" t="inlineStr">
        <is>
          <t>fb215e5097ec76c6</t>
        </is>
      </c>
      <c r="B255" s="2" t="inlineStr">
        <is>
          <t>2026-09-25 15:50</t>
        </is>
      </c>
      <c r="C255" s="3" t="inlineStr">
        <is>
          <t>Coordinador(a) de Seguridad y Salud en el Trabajo</t>
        </is>
      </c>
      <c r="D255" s="3" t="inlineStr">
        <is>
          <t>Importante empresa del sector LOGISTICO</t>
        </is>
      </c>
      <c r="E255" s="7" t="n">
        <v>0.53</v>
      </c>
      <c r="F255" s="2" t="inlineStr">
        <is>
          <t>Remoto</t>
        </is>
      </c>
      <c r="G255" s="5">
        <f>HYPERLINK("https://co.computrabajo.com/ofertas-de-trabajo/oferta-de-trabajo-de-coordinadora-de-seguridad-y-salud-en-el-trabajo-sst-barranquilla-en-barranquilla-C2287C727D6B7D0A61373E686DCF3405", "Ver Vacante")</f>
        <v/>
      </c>
      <c r="H255" s="6" t="inlineStr"/>
      <c r="I255" s="3" t="inlineStr">
        <is>
          <t>[Afinidad: 53/100 - Afinidad Moderada] Alta coincidencia en gestión de Seguridad y Salud en el Trabajo (SST). Modalidad: 100% Remoto en Colombia confirmado.</t>
        </is>
      </c>
      <c r="J255" s="2" t="inlineStr">
        <is>
          <t>Nueva</t>
        </is>
      </c>
      <c r="K255" s="3" t="inlineStr"/>
    </row>
    <row r="256" ht="22" customHeight="1">
      <c r="A256" s="2" t="inlineStr">
        <is>
          <t>a910b243bb001dc2</t>
        </is>
      </c>
      <c r="B256" s="2" t="inlineStr">
        <is>
          <t>2026-09-29 16:56</t>
        </is>
      </c>
      <c r="C256" s="3" t="inlineStr">
        <is>
          <t>Coordinadora de seguridad y salud en el trabajo</t>
        </is>
      </c>
      <c r="D256" s="3" t="inlineStr">
        <is>
          <t>IPS SERVICIOS MEDICOS FAMEDIC S.A.S</t>
        </is>
      </c>
      <c r="E256" s="7" t="n">
        <v>0.53</v>
      </c>
      <c r="F256" s="2" t="inlineStr">
        <is>
          <t>Remoto</t>
        </is>
      </c>
      <c r="G256" s="5">
        <f>HYPERLINK("https://www.elempleo.com/co/ofertas-trabajo/coordinadora-de-seguridad-y-salud-en-el-trabajo-sst-1886749461", "Ver Vacante")</f>
        <v/>
      </c>
      <c r="H256" s="6" t="inlineStr"/>
      <c r="I256" s="3" t="inlineStr">
        <is>
          <t>[Afinidad: 53/100 - Afinidad Moderada] Alta coincidencia en gestión de Seguridad y Salud en el Trabajo (SST). Modalidad: 100% Remoto en Colombia confirmado.</t>
        </is>
      </c>
      <c r="J256" s="2" t="inlineStr">
        <is>
          <t>Nueva</t>
        </is>
      </c>
      <c r="K256" s="3" t="inlineStr"/>
    </row>
    <row r="257" ht="22" customHeight="1">
      <c r="A257" s="2" t="inlineStr">
        <is>
          <t>a3ad931178799ae8</t>
        </is>
      </c>
      <c r="B257" s="2" t="inlineStr">
        <is>
          <t>2026-10-10 16:13</t>
        </is>
      </c>
      <c r="C257" s="3" t="inlineStr">
        <is>
          <t>Profesional / Coordinador de Seguridad y Salud en el Trabajo (SST) y Gestión Humana</t>
        </is>
      </c>
      <c r="D257" s="3" t="inlineStr">
        <is>
          <t>APG DRYWALL</t>
        </is>
      </c>
      <c r="E257" s="7" t="n">
        <v>0.53</v>
      </c>
      <c r="F257" s="2" t="inlineStr">
        <is>
          <t>Remoto</t>
        </is>
      </c>
      <c r="G257" s="5">
        <f>HYPERLINK("https://co.linkedin.com/jobs/view/profesional-coordinador-de-seguridad-y-salud-en-el-trabajo-sst-y-gesti%C3%B3n-humana-at-apg-drywall-4471756195", "Ver Vacante")</f>
        <v/>
      </c>
      <c r="H257" s="6" t="inlineStr"/>
      <c r="I257" s="3" t="inlineStr">
        <is>
          <t>[Afinidad: 53/100 - Afinidad Moderada] Alta coincidencia en gestión de Seguridad y Salud en el Trabajo (SST). Modalidad: 100% Remoto en Colombia confirmado.</t>
        </is>
      </c>
      <c r="J257" s="2" t="inlineStr">
        <is>
          <t>Nueva</t>
        </is>
      </c>
      <c r="K257" s="3" t="inlineStr"/>
    </row>
    <row r="258" ht="22" customHeight="1">
      <c r="A258" s="2" t="inlineStr">
        <is>
          <t>ffc814422821057d</t>
        </is>
      </c>
      <c r="B258" s="2" t="inlineStr">
        <is>
          <t>2026-10-11 16:39</t>
        </is>
      </c>
      <c r="C258" s="3" t="inlineStr">
        <is>
          <t>Jefe hse bilingüe</t>
        </is>
      </c>
      <c r="D258" s="3" t="inlineStr">
        <is>
          <t>Confidencial</t>
        </is>
      </c>
      <c r="E258" s="7" t="n">
        <v>0.53</v>
      </c>
      <c r="F258" s="2" t="inlineStr">
        <is>
          <t>Remoto</t>
        </is>
      </c>
      <c r="G258" s="5">
        <f>HYPERLINK("https://www.elempleo.com/co/ofertas-trabajo/jefe-hse-bilingue-sst-1886752737", "Ver Vacante")</f>
        <v/>
      </c>
      <c r="H258" s="6" t="inlineStr"/>
      <c r="I258" s="3" t="inlineStr">
        <is>
          <t>[Afinidad: 53/100 - Afinidad Moderada] Alta coincidencia en gestión de Seguridad y Salud en el Trabajo (SST). Modalidad: 100% Remoto en Colombia confirmado.</t>
        </is>
      </c>
      <c r="J258" s="2" t="inlineStr">
        <is>
          <t>Nueva</t>
        </is>
      </c>
      <c r="K258" s="3" t="inlineStr"/>
    </row>
    <row r="259" ht="22" customHeight="1">
      <c r="A259" s="2" t="inlineStr">
        <is>
          <t>aab045c9be9eca86</t>
        </is>
      </c>
      <c r="B259" s="2" t="inlineStr">
        <is>
          <t>2026-09-22 03:17</t>
        </is>
      </c>
      <c r="C259" s="3" t="inlineStr">
        <is>
          <t>Ingeniero infraestructura - bilingue - remoto</t>
        </is>
      </c>
      <c r="D259" s="3" t="inlineStr">
        <is>
          <t>MICHAEL PAGE INTERNATIONAL</t>
        </is>
      </c>
      <c r="E259" s="7" t="n">
        <v>0.5</v>
      </c>
      <c r="F259" s="2" t="inlineStr">
        <is>
          <t>Remoto</t>
        </is>
      </c>
      <c r="G259" s="5">
        <f>HYPERLINK("https://www.elempleo.com/co/ofertas-trabajo/ingeniero-infraestructura-bilingue-remoto-1886744267", "Ver Vacante")</f>
        <v/>
      </c>
      <c r="H259" s="6" t="inlineStr"/>
      <c r="I259" s="3" t="inlineStr">
        <is>
          <t>[Afinidad: 50/100 - Afinidad Moderada] Afinidad parcial en infraestructura vial y transporte. Modalidad: 100% Remoto en Colombia confirmado.</t>
        </is>
      </c>
      <c r="J259" s="2" t="inlineStr">
        <is>
          <t>Nueva</t>
        </is>
      </c>
      <c r="K259" s="3" t="inlineStr"/>
    </row>
    <row r="260" ht="22" customHeight="1">
      <c r="A260" s="2" t="inlineStr">
        <is>
          <t>1a61ce5041122a0a</t>
        </is>
      </c>
      <c r="B260" s="2" t="inlineStr">
        <is>
          <t>2026-09-22 03:17</t>
        </is>
      </c>
      <c r="C260" s="3" t="inlineStr">
        <is>
          <t>Ingeniero de infraestructura (servidores/aws) - remoto</t>
        </is>
      </c>
      <c r="D260" s="3" t="inlineStr">
        <is>
          <t>Cinte Colombia SAS</t>
        </is>
      </c>
      <c r="E260" s="7" t="n">
        <v>0.5</v>
      </c>
      <c r="F260" s="2" t="inlineStr">
        <is>
          <t>Remoto</t>
        </is>
      </c>
      <c r="G260" s="5">
        <f>HYPERLINK("https://www.elempleo.com/co/ofertas-trabajo/ingeniero-de-infraestructura-servidores-aws-remoto-1886744007", "Ver Vacante")</f>
        <v/>
      </c>
      <c r="H260" s="6" t="inlineStr"/>
      <c r="I260" s="3" t="inlineStr">
        <is>
          <t>[Afinidad: 50/100 - Afinidad Moderada] Afinidad parcial en infraestructura vial y transporte. Modalidad: 100% Remoto en Colombia confirmado.</t>
        </is>
      </c>
      <c r="J260" s="2" t="inlineStr">
        <is>
          <t>Nueva</t>
        </is>
      </c>
      <c r="K260" s="3" t="inlineStr"/>
    </row>
    <row r="261" ht="22" customHeight="1">
      <c r="A261" s="2" t="inlineStr">
        <is>
          <t>1c3cc968f8905c3e</t>
        </is>
      </c>
      <c r="B261" s="2" t="inlineStr">
        <is>
          <t>2026-09-22 03:17</t>
        </is>
      </c>
      <c r="C261" s="3" t="inlineStr">
        <is>
          <t>Ingeniero/a de infraestructura y conectividad cloud remoto</t>
        </is>
      </c>
      <c r="D261" s="3" t="inlineStr">
        <is>
          <t>TALYCAP GLOBAL SAS</t>
        </is>
      </c>
      <c r="E261" s="7" t="n">
        <v>0.5</v>
      </c>
      <c r="F261" s="2" t="inlineStr">
        <is>
          <t>Remoto</t>
        </is>
      </c>
      <c r="G261" s="5">
        <f>HYPERLINK("https://www.elempleo.com/co/ofertas-trabajo/ingeniero-a-de-infraestructura-y-conectividad-cloud-remoto-1886768627", "Ver Vacante")</f>
        <v/>
      </c>
      <c r="H261" s="6" t="inlineStr"/>
      <c r="I261" s="3" t="inlineStr">
        <is>
          <t>[Afinidad: 50/100 - Afinidad Moderada] Afinidad parcial en infraestructura vial y transporte. Modalidad: 100% Remoto en Colombia confirmado.</t>
        </is>
      </c>
      <c r="J261" s="2" t="inlineStr">
        <is>
          <t>Nueva</t>
        </is>
      </c>
      <c r="K261" s="3" t="inlineStr"/>
    </row>
    <row r="262" ht="22" customHeight="1">
      <c r="A262" s="2" t="inlineStr">
        <is>
          <t>d1d0c6736a34b513</t>
        </is>
      </c>
      <c r="B262" s="2" t="inlineStr">
        <is>
          <t>2026-09-22 03:17</t>
        </is>
      </c>
      <c r="C262" s="3" t="inlineStr">
        <is>
          <t>Ingeniero/a de infraestructura y conectividad cloud 100% remoto</t>
        </is>
      </c>
      <c r="D262" s="3" t="inlineStr">
        <is>
          <t>TALYCAP GLOBAL SAS</t>
        </is>
      </c>
      <c r="E262" s="7" t="n">
        <v>0.5</v>
      </c>
      <c r="F262" s="2" t="inlineStr">
        <is>
          <t>Remoto</t>
        </is>
      </c>
      <c r="G262" s="5">
        <f>HYPERLINK("https://www.elempleo.com/co/ofertas-trabajo/ingeniero-a-de-infraestructura-y-conectividad-cloud-100-remoto-1886768625", "Ver Vacante")</f>
        <v/>
      </c>
      <c r="H262" s="6" t="inlineStr"/>
      <c r="I262" s="3" t="inlineStr">
        <is>
          <t>[Afinidad: 50/100 - Afinidad Moderada] Afinidad parcial en infraestructura vial y transporte. Modalidad: 100% Remoto en Colombia confirmado.</t>
        </is>
      </c>
      <c r="J262" s="2" t="inlineStr">
        <is>
          <t>Nueva</t>
        </is>
      </c>
      <c r="K262" s="3" t="inlineStr"/>
    </row>
    <row r="263" ht="22" customHeight="1">
      <c r="A263" s="2" t="inlineStr">
        <is>
          <t>ec4f785d321ad6f2</t>
        </is>
      </c>
      <c r="B263" s="2" t="inlineStr">
        <is>
          <t>2026-09-22 03:17</t>
        </is>
      </c>
      <c r="C263" s="3" t="inlineStr">
        <is>
          <t>Ingeniero de infraestructura</t>
        </is>
      </c>
      <c r="D263" s="3" t="inlineStr">
        <is>
          <t>Confidencial</t>
        </is>
      </c>
      <c r="E263" s="7" t="n">
        <v>0.5</v>
      </c>
      <c r="F263" s="2" t="inlineStr">
        <is>
          <t>Remoto</t>
        </is>
      </c>
      <c r="G263" s="5">
        <f>HYPERLINK("https://www.elempleo.com/co/ofertas-trabajo/ingeniero-de-infraestructura-1886755031", "Ver Vacante")</f>
        <v/>
      </c>
      <c r="H263" s="6" t="inlineStr"/>
      <c r="I263" s="3" t="inlineStr">
        <is>
          <t>[Afinidad: 50/100 - Afinidad Moderada] Afinidad parcial en infraestructura vial y transporte. Modalidad: 100% Remoto en Colombia confirmado.</t>
        </is>
      </c>
      <c r="J263" s="2" t="inlineStr">
        <is>
          <t>Nueva</t>
        </is>
      </c>
      <c r="K263" s="3" t="inlineStr"/>
    </row>
    <row r="264" ht="22" customHeight="1">
      <c r="A264" s="2" t="inlineStr">
        <is>
          <t>0948ea95da6f92b1</t>
        </is>
      </c>
      <c r="B264" s="2" t="inlineStr">
        <is>
          <t>2026-09-22 03:17</t>
        </is>
      </c>
      <c r="C264" s="3" t="inlineStr">
        <is>
          <t>Director de interventoría concesión</t>
        </is>
      </c>
      <c r="D264" s="3" t="inlineStr">
        <is>
          <t>Confidencial</t>
        </is>
      </c>
      <c r="E264" s="7" t="n">
        <v>0.5</v>
      </c>
      <c r="F264" s="2" t="inlineStr">
        <is>
          <t>Remoto</t>
        </is>
      </c>
      <c r="G264" s="5">
        <f>HYPERLINK("https://www.elempleo.com/co/ofertas-trabajo/director-de-interventoria-concesion-1886746971", "Ver Vacante")</f>
        <v/>
      </c>
      <c r="H264" s="6" t="inlineStr"/>
      <c r="I264" s="3" t="inlineStr">
        <is>
          <t>[Afinidad: 50/100 - Afinidad Moderada] Afinidad en disciplina base (Ingeniera Civil Especialista en Vías y SST) sin especialidad directa en vías/SST. Modalidad: 100% Remoto en Colombia confirmado.</t>
        </is>
      </c>
      <c r="J264" s="2" t="inlineStr">
        <is>
          <t>Nueva</t>
        </is>
      </c>
      <c r="K264" s="3" t="inlineStr"/>
    </row>
    <row r="265" ht="22" customHeight="1">
      <c r="A265" s="2" t="inlineStr">
        <is>
          <t>c9f286b043467fde</t>
        </is>
      </c>
      <c r="B265" s="2" t="inlineStr">
        <is>
          <t>2026-09-22 03:17</t>
        </is>
      </c>
      <c r="C265" s="3" t="inlineStr">
        <is>
          <t>Director de interventoría proyectos de tecnología</t>
        </is>
      </c>
      <c r="D265" s="3" t="inlineStr">
        <is>
          <t>Confidencial</t>
        </is>
      </c>
      <c r="E265" s="7" t="n">
        <v>0.5</v>
      </c>
      <c r="F265" s="2" t="inlineStr">
        <is>
          <t>Remoto</t>
        </is>
      </c>
      <c r="G265" s="5">
        <f>HYPERLINK("https://www.elempleo.com/co/ofertas-trabajo/director-de-interventoria-proyectos-de-tecnologia-1886751669", "Ver Vacante")</f>
        <v/>
      </c>
      <c r="H265" s="6" t="inlineStr"/>
      <c r="I265" s="3" t="inlineStr">
        <is>
          <t>[Afinidad: 50/100 - Afinidad Moderada] Afinidad en disciplina base (Ingeniera Civil Especialista en Vías y SST) sin especialidad directa en vías/SST. Modalidad: 100% Remoto en Colombia confirmado.</t>
        </is>
      </c>
      <c r="J265" s="2" t="inlineStr">
        <is>
          <t>Nueva</t>
        </is>
      </c>
      <c r="K265" s="3" t="inlineStr"/>
    </row>
    <row r="266" ht="22" customHeight="1">
      <c r="A266" s="2" t="inlineStr">
        <is>
          <t>1a624bde0aabf417</t>
        </is>
      </c>
      <c r="B266" s="2" t="inlineStr">
        <is>
          <t>2026-09-22 03:17</t>
        </is>
      </c>
      <c r="C266" s="3" t="inlineStr">
        <is>
          <t>Director de interventoria civil | yumbo - valle del cauca</t>
        </is>
      </c>
      <c r="D266" s="3" t="inlineStr">
        <is>
          <t>INP PROYECTOS</t>
        </is>
      </c>
      <c r="E266" s="7" t="n">
        <v>0.5</v>
      </c>
      <c r="F266" s="2" t="inlineStr">
        <is>
          <t>Remoto</t>
        </is>
      </c>
      <c r="G266" s="5">
        <f>HYPERLINK("https://www.elempleo.com/co/ofertas-trabajo/director-de-interventoria-civil-yumbo-valle-del-cauca-1886761247", "Ver Vacante")</f>
        <v/>
      </c>
      <c r="H266" s="6" t="inlineStr"/>
      <c r="I266" s="3" t="inlineStr">
        <is>
          <t>[Afinidad: 50/100 - Afinidad Moderada] Afinidad en disciplina base (Ingeniera Civil Especialista en Vías y SST) sin especialidad directa en vías/SST. Modalidad: 100% Remoto en Colombia confirmado.</t>
        </is>
      </c>
      <c r="J266" s="2" t="inlineStr">
        <is>
          <t>Nueva</t>
        </is>
      </c>
      <c r="K266" s="3" t="inlineStr"/>
    </row>
    <row r="267" ht="22" customHeight="1">
      <c r="A267" s="2" t="inlineStr">
        <is>
          <t>5a15c71034d6360d</t>
        </is>
      </c>
      <c r="B267" s="2" t="inlineStr">
        <is>
          <t>2026-09-22 03:17</t>
        </is>
      </c>
      <c r="C267" s="3" t="inlineStr">
        <is>
          <t>Director de interventoría / mosquera, cundinamarca</t>
        </is>
      </c>
      <c r="D267" s="3" t="inlineStr">
        <is>
          <t>Confidencial</t>
        </is>
      </c>
      <c r="E267" s="7" t="n">
        <v>0.5</v>
      </c>
      <c r="F267" s="2" t="inlineStr">
        <is>
          <t>Remoto</t>
        </is>
      </c>
      <c r="G267" s="5">
        <f>HYPERLINK("https://www.elempleo.com/co/ofertas-trabajo/director-de-interventoria-mosquera-cundinamarca-1886761828", "Ver Vacante")</f>
        <v/>
      </c>
      <c r="H267" s="6" t="inlineStr"/>
      <c r="I267" s="3" t="inlineStr">
        <is>
          <t>[Afinidad: 50/100 - Afinidad Moderada] Afinidad en disciplina base (Ingeniera Civil Especialista en Vías y SST) sin especialidad directa en vías/SST. Modalidad: 100% Remoto en Colombia confirmado.</t>
        </is>
      </c>
      <c r="J267" s="2" t="inlineStr">
        <is>
          <t>Nueva</t>
        </is>
      </c>
      <c r="K267" s="3" t="inlineStr"/>
    </row>
    <row r="268" ht="22" customHeight="1">
      <c r="A268" s="2" t="inlineStr">
        <is>
          <t>deca148c608f5071</t>
        </is>
      </c>
      <c r="B268" s="2" t="inlineStr">
        <is>
          <t>2026-09-22 03:17</t>
        </is>
      </c>
      <c r="C268" s="3" t="inlineStr">
        <is>
          <t>Director hseq - chia</t>
        </is>
      </c>
      <c r="D268" s="3" t="inlineStr">
        <is>
          <t>Confidencial</t>
        </is>
      </c>
      <c r="E268" s="7" t="n">
        <v>0.5</v>
      </c>
      <c r="F268" s="2" t="inlineStr">
        <is>
          <t>Remoto</t>
        </is>
      </c>
      <c r="G268" s="5">
        <f>HYPERLINK("https://www.elempleo.com/co/ofertas-trabajo/director-hseq-chia-1886755279", "Ver Vacante")</f>
        <v/>
      </c>
      <c r="H268" s="6" t="inlineStr"/>
      <c r="I268" s="3" t="inlineStr">
        <is>
          <t>[Afinidad: 50/100 - Afinidad Moderada] Afinidad parcial en seguridad y salud ocupacional. Modalidad: 100% Remoto en Colombia confirmado.</t>
        </is>
      </c>
      <c r="J268" s="2" t="inlineStr">
        <is>
          <t>Nueva</t>
        </is>
      </c>
      <c r="K268" s="3" t="inlineStr"/>
    </row>
    <row r="269" ht="22" customHeight="1">
      <c r="A269" s="2" t="inlineStr">
        <is>
          <t>158a5b888f4835d9</t>
        </is>
      </c>
      <c r="B269" s="2" t="inlineStr">
        <is>
          <t>2026-09-22 03:17</t>
        </is>
      </c>
      <c r="C269" s="3" t="inlineStr">
        <is>
          <t>Ingeniero Civil Senior Estructural Obras Hidráulicas</t>
        </is>
      </c>
      <c r="D269" s="3" t="inlineStr">
        <is>
          <t>IDOM Consulting, Engineering, Architecture</t>
        </is>
      </c>
      <c r="E269" s="7" t="n">
        <v>0.5</v>
      </c>
      <c r="F269" s="2" t="inlineStr">
        <is>
          <t>Remoto</t>
        </is>
      </c>
      <c r="G269" s="5">
        <f>HYPERLINK("https://co.linkedin.com/jobs/view/ingeniero-civil-senior-estructural-obras-hidr%C3%A1ulicas-at-idom-consulting-engineering-architecture-4449786446", "Ver Vacante")</f>
        <v/>
      </c>
      <c r="H269" s="6" t="inlineStr"/>
      <c r="I269" s="3" t="inlineStr">
        <is>
          <t>[Afinidad: 50/100 - Afinidad Moderada] Afinidad en disciplina base (Ingeniera Civil Especialista en Vías y SST) sin especialidad directa en vías/SST. Modalidad: 100% Remoto en Colombia confirmado.</t>
        </is>
      </c>
      <c r="J269" s="2" t="inlineStr">
        <is>
          <t>Nueva</t>
        </is>
      </c>
      <c r="K269" s="3" t="inlineStr"/>
    </row>
    <row r="270" ht="22" customHeight="1">
      <c r="A270" s="2" t="inlineStr">
        <is>
          <t>f1bdba926234f67e</t>
        </is>
      </c>
      <c r="B270" s="2" t="inlineStr">
        <is>
          <t>2026-09-22 03:27</t>
        </is>
      </c>
      <c r="C270" s="3" t="inlineStr">
        <is>
          <t>Director (a) Comercial ARL y SST</t>
        </is>
      </c>
      <c r="D270" s="3" t="inlineStr">
        <is>
          <t>MASTER SST</t>
        </is>
      </c>
      <c r="E270" s="7" t="n">
        <v>0.5</v>
      </c>
      <c r="F270" s="2" t="inlineStr">
        <is>
          <t>Remoto</t>
        </is>
      </c>
      <c r="G270" s="5">
        <f>HYPERLINK("https://co.computrabajo.com/ofertas-de-trabajo/oferta-de-trabajo-de-director-a-comercial-arl-y-sst-bogota-y-zonas-aledanas-en-bogota-dc-AD10DBD96F164F8C61373E686DCF3405", "Ver Vacante")</f>
        <v/>
      </c>
      <c r="H270" s="6" t="inlineStr">
        <is>
          <t>$ 3.000.000,00 (Mensual) + Comisiones</t>
        </is>
      </c>
      <c r="I270" s="3" t="inlineStr">
        <is>
          <t>[Afinidad: 50/100 - Afinidad Moderada] Afinidad parcial en seguridad y salud ocupacional. Modalidad: 100% Remoto en Colombia confirmado.</t>
        </is>
      </c>
      <c r="J270" s="2" t="inlineStr">
        <is>
          <t>Nueva</t>
        </is>
      </c>
      <c r="K270" s="3" t="inlineStr"/>
    </row>
    <row r="271" ht="22" customHeight="1">
      <c r="A271" s="2" t="inlineStr">
        <is>
          <t>90c3670c335038e4</t>
        </is>
      </c>
      <c r="B271" s="2" t="inlineStr">
        <is>
          <t>2026-09-22 05:09</t>
        </is>
      </c>
      <c r="C271" s="3" t="inlineStr">
        <is>
          <t>Director de Proyecto</t>
        </is>
      </c>
      <c r="D271" s="3" t="inlineStr">
        <is>
          <t>ADRIAN MAFIOLI Y CIA S.A.S</t>
        </is>
      </c>
      <c r="E271" s="7" t="n">
        <v>0.5</v>
      </c>
      <c r="F271" s="2" t="inlineStr">
        <is>
          <t>Remoto</t>
        </is>
      </c>
      <c r="G271" s="5">
        <f>HYPERLINK("https://co.computrabajo.com/ofertas-de-trabajo/oferta-de-trabajo-de-director-de-proyecto-ingeniero-en-transporte-y-vias-ingeniero-civil-en-lebrija-04F373EC97EDC4CB61373E686DCF3405", "Ver Vacante")</f>
        <v/>
      </c>
      <c r="H271" s="6" t="inlineStr"/>
      <c r="I271" s="3" t="inlineStr">
        <is>
          <t>[Afinidad: 50/100 - Afinidad Moderada] Afinidad en disciplina base (Ingeniera Civil Especialista en Vías y SST) sin especialidad directa en vías/SST. Modalidad: 100% Remoto en Colombia confirmado.</t>
        </is>
      </c>
      <c r="J271" s="2" t="inlineStr">
        <is>
          <t>Nueva</t>
        </is>
      </c>
      <c r="K271" s="3" t="inlineStr"/>
    </row>
    <row r="272" ht="22" customHeight="1">
      <c r="A272" s="2" t="inlineStr">
        <is>
          <t>1af0455db2f829b8</t>
        </is>
      </c>
      <c r="B272" s="2" t="inlineStr">
        <is>
          <t>2026-09-22 05:09</t>
        </is>
      </c>
      <c r="C272" s="3" t="inlineStr">
        <is>
          <t>Consultora en Seguridad y Salud en el trabajo</t>
        </is>
      </c>
      <c r="D272" s="3" t="inlineStr">
        <is>
          <t>MEZZA Y CIA LTDA</t>
        </is>
      </c>
      <c r="E272" s="7" t="n">
        <v>0.5</v>
      </c>
      <c r="F272" s="2" t="inlineStr">
        <is>
          <t>Remoto</t>
        </is>
      </c>
      <c r="G272" s="5">
        <f>HYPERLINK("https://co.computrabajo.com/ofertas-de-trabajo/oferta-de-trabajo-de-consultora-en-seguridad-y-salud-en-el-trabajo-en-bogota-dc-07E9BF3B6742F79361373E686DCF3405", "Ver Vacante")</f>
        <v/>
      </c>
      <c r="H272" s="6" t="inlineStr">
        <is>
          <t>Presencial y remoto</t>
        </is>
      </c>
      <c r="I272" s="3" t="inlineStr">
        <is>
          <t>[Afinidad: 50/100 - Afinidad Moderada] Afinidad parcial en seguridad y salud ocupacional. Modalidad: 100% Remoto en Colombia confirmado.</t>
        </is>
      </c>
      <c r="J272" s="2" t="inlineStr">
        <is>
          <t>Nueva</t>
        </is>
      </c>
      <c r="K272" s="3" t="inlineStr"/>
    </row>
    <row r="273" ht="22" customHeight="1">
      <c r="A273" s="2" t="inlineStr">
        <is>
          <t>1feadbd74bd9bfbe</t>
        </is>
      </c>
      <c r="B273" s="2" t="inlineStr">
        <is>
          <t>2026-09-22 05:09</t>
        </is>
      </c>
      <c r="C273" s="3" t="inlineStr">
        <is>
          <t>Director de interventoría</t>
        </is>
      </c>
      <c r="D273" s="3" t="inlineStr">
        <is>
          <t>AMERICAS GBS SAS</t>
        </is>
      </c>
      <c r="E273" s="7" t="n">
        <v>0.5</v>
      </c>
      <c r="F273" s="2" t="inlineStr">
        <is>
          <t>Remoto</t>
        </is>
      </c>
      <c r="G273" s="5">
        <f>HYPERLINK("https://co.computrabajo.com/ofertas-de-trabajo/oferta-de-trabajo-de-director-de-interventoria-director-de-obra-en--643E1A399D2C177561373E686DCF3405", "Ver Vacante")</f>
        <v/>
      </c>
      <c r="H273" s="6" t="inlineStr"/>
      <c r="I273" s="3" t="inlineStr">
        <is>
          <t>[Afinidad: 50/100 - Afinidad Moderada] Afinidad en disciplina base (Ingeniera Civil Especialista en Vías y SST) sin especialidad directa en vías/SST. Modalidad: 100% Remoto en Colombia confirmado.</t>
        </is>
      </c>
      <c r="J273" s="2" t="inlineStr">
        <is>
          <t>Nueva</t>
        </is>
      </c>
      <c r="K273" s="3" t="inlineStr"/>
    </row>
    <row r="274" ht="22" customHeight="1">
      <c r="A274" s="2" t="inlineStr">
        <is>
          <t>58e1b7cc06edffaf</t>
        </is>
      </c>
      <c r="B274" s="2" t="inlineStr">
        <is>
          <t>2026-09-22 05:09</t>
        </is>
      </c>
      <c r="C274" s="3" t="inlineStr">
        <is>
          <t>Gerente de proyecto sector inmobiliario</t>
        </is>
      </c>
      <c r="D274" s="3" t="inlineStr">
        <is>
          <t>AGENCIA DE EMPLEO COMFAMA</t>
        </is>
      </c>
      <c r="E274" s="7" t="n">
        <v>0.5</v>
      </c>
      <c r="F274" s="2" t="inlineStr">
        <is>
          <t>Remoto</t>
        </is>
      </c>
      <c r="G274" s="5">
        <f>HYPERLINK("https://co.computrabajo.com/ofertas-de-trabajo/oferta-de-trabajo-de-gerente-de-proyecto-sector-inmobiliario-en-medellin-1D6BC514AC61985761373E686DCF3405", "Ver Vacante")</f>
        <v/>
      </c>
      <c r="H274" s="6" t="inlineStr">
        <is>
          <t>$ 12.000.000,00 (Mensual)</t>
        </is>
      </c>
      <c r="I274" s="3" t="inlineStr">
        <is>
          <t>[Afinidad: 50/100 - Afinidad Moderada] Afinidad en disciplina base (Ingeniera Civil Especialista en Vías y SST) sin especialidad directa en vías/SST. Modalidad: 100% Remoto en Colombia confirmado.</t>
        </is>
      </c>
      <c r="J274" s="2" t="inlineStr">
        <is>
          <t>Nueva</t>
        </is>
      </c>
      <c r="K274" s="3" t="inlineStr"/>
    </row>
    <row r="275" ht="22" customHeight="1">
      <c r="A275" s="2" t="inlineStr">
        <is>
          <t>511ca640d20d7c32</t>
        </is>
      </c>
      <c r="B275" s="2" t="inlineStr">
        <is>
          <t>2026-09-22 05:09</t>
        </is>
      </c>
      <c r="C275" s="3" t="inlineStr">
        <is>
          <t>Ingeniero infraestructura - bilingue - remoto</t>
        </is>
      </c>
      <c r="D275" s="3" t="inlineStr">
        <is>
          <t>MICHAEL PAGE INTERNATIONAL</t>
        </is>
      </c>
      <c r="E275" s="7" t="n">
        <v>0.5</v>
      </c>
      <c r="F275" s="2" t="inlineStr">
        <is>
          <t>Remoto</t>
        </is>
      </c>
      <c r="G275" s="5">
        <f>HYPERLINK("https://www.elempleo.com/co/ofertas-trabajo/ingeniero-infraestructura-bilingue-remoto-1886744267", "Ver Vacante")</f>
        <v/>
      </c>
      <c r="H275" s="6" t="inlineStr"/>
      <c r="I275" s="3" t="inlineStr">
        <is>
          <t>[Afinidad: 50/100 - Afinidad Moderada] Afinidad parcial en infraestructura vial y transporte. Modalidad: 100% Remoto en Colombia confirmado.</t>
        </is>
      </c>
      <c r="J275" s="2" t="inlineStr">
        <is>
          <t>Nueva</t>
        </is>
      </c>
      <c r="K275" s="3" t="inlineStr"/>
    </row>
    <row r="276" ht="22" customHeight="1">
      <c r="A276" s="2" t="inlineStr">
        <is>
          <t>c4c55096ea3e18ec</t>
        </is>
      </c>
      <c r="B276" s="2" t="inlineStr">
        <is>
          <t>2026-09-22 05:09</t>
        </is>
      </c>
      <c r="C276" s="3" t="inlineStr">
        <is>
          <t>Ingeniero de infraestructura (servidores/aws) - remoto</t>
        </is>
      </c>
      <c r="D276" s="3" t="inlineStr">
        <is>
          <t>Cinte Colombia SAS</t>
        </is>
      </c>
      <c r="E276" s="7" t="n">
        <v>0.5</v>
      </c>
      <c r="F276" s="2" t="inlineStr">
        <is>
          <t>Remoto</t>
        </is>
      </c>
      <c r="G276" s="5">
        <f>HYPERLINK("https://www.elempleo.com/co/ofertas-trabajo/ingeniero-de-infraestructura-servidores-aws-remoto-1886744007", "Ver Vacante")</f>
        <v/>
      </c>
      <c r="H276" s="6" t="inlineStr"/>
      <c r="I276" s="3" t="inlineStr">
        <is>
          <t>[Afinidad: 50/100 - Afinidad Moderada] Afinidad parcial en infraestructura vial y transporte. Modalidad: 100% Remoto en Colombia confirmado.</t>
        </is>
      </c>
      <c r="J276" s="2" t="inlineStr">
        <is>
          <t>Nueva</t>
        </is>
      </c>
      <c r="K276" s="3" t="inlineStr"/>
    </row>
    <row r="277" ht="22" customHeight="1">
      <c r="A277" s="2" t="inlineStr">
        <is>
          <t>9bf756e884703fa1</t>
        </is>
      </c>
      <c r="B277" s="2" t="inlineStr">
        <is>
          <t>2026-09-22 05:09</t>
        </is>
      </c>
      <c r="C277" s="3" t="inlineStr">
        <is>
          <t>Ingeniero/a de infraestructura y conectividad cloud remoto</t>
        </is>
      </c>
      <c r="D277" s="3" t="inlineStr">
        <is>
          <t>TALYCAP GLOBAL SAS</t>
        </is>
      </c>
      <c r="E277" s="7" t="n">
        <v>0.5</v>
      </c>
      <c r="F277" s="2" t="inlineStr">
        <is>
          <t>Remoto</t>
        </is>
      </c>
      <c r="G277" s="5">
        <f>HYPERLINK("https://www.elempleo.com/co/ofertas-trabajo/ingeniero-a-de-infraestructura-y-conectividad-cloud-remoto-1886768627", "Ver Vacante")</f>
        <v/>
      </c>
      <c r="H277" s="6" t="inlineStr"/>
      <c r="I277" s="3" t="inlineStr">
        <is>
          <t>[Afinidad: 50/100 - Afinidad Moderada] Afinidad parcial en infraestructura vial y transporte. Modalidad: 100% Remoto en Colombia confirmado.</t>
        </is>
      </c>
      <c r="J277" s="2" t="inlineStr">
        <is>
          <t>Nueva</t>
        </is>
      </c>
      <c r="K277" s="3" t="inlineStr"/>
    </row>
    <row r="278" ht="22" customHeight="1">
      <c r="A278" s="2" t="inlineStr">
        <is>
          <t>6f66992aface828b</t>
        </is>
      </c>
      <c r="B278" s="2" t="inlineStr">
        <is>
          <t>2026-09-22 05:09</t>
        </is>
      </c>
      <c r="C278" s="3" t="inlineStr">
        <is>
          <t>Ingeniero/a de infraestructura y conectividad cloud 100% remoto</t>
        </is>
      </c>
      <c r="D278" s="3" t="inlineStr">
        <is>
          <t>TALYCAP GLOBAL SAS</t>
        </is>
      </c>
      <c r="E278" s="7" t="n">
        <v>0.5</v>
      </c>
      <c r="F278" s="2" t="inlineStr">
        <is>
          <t>Remoto</t>
        </is>
      </c>
      <c r="G278" s="5">
        <f>HYPERLINK("https://www.elempleo.com/co/ofertas-trabajo/ingeniero-a-de-infraestructura-y-conectividad-cloud-100-remoto-1886768625", "Ver Vacante")</f>
        <v/>
      </c>
      <c r="H278" s="6" t="inlineStr"/>
      <c r="I278" s="3" t="inlineStr">
        <is>
          <t>[Afinidad: 50/100 - Afinidad Moderada] Afinidad parcial en infraestructura vial y transporte. Modalidad: 100% Remoto en Colombia confirmado.</t>
        </is>
      </c>
      <c r="J278" s="2" t="inlineStr">
        <is>
          <t>Nueva</t>
        </is>
      </c>
      <c r="K278" s="3" t="inlineStr"/>
    </row>
    <row r="279" ht="22" customHeight="1">
      <c r="A279" s="2" t="inlineStr">
        <is>
          <t>aa9466dfe7d6ea2b</t>
        </is>
      </c>
      <c r="B279" s="2" t="inlineStr">
        <is>
          <t>2026-09-22 05:09</t>
        </is>
      </c>
      <c r="C279" s="3" t="inlineStr">
        <is>
          <t>Ingeniero de infraestructura</t>
        </is>
      </c>
      <c r="D279" s="3" t="inlineStr">
        <is>
          <t>Confidencial</t>
        </is>
      </c>
      <c r="E279" s="7" t="n">
        <v>0.5</v>
      </c>
      <c r="F279" s="2" t="inlineStr">
        <is>
          <t>Remoto</t>
        </is>
      </c>
      <c r="G279" s="5">
        <f>HYPERLINK("https://www.elempleo.com/co/ofertas-trabajo/ingeniero-de-infraestructura-1886755031", "Ver Vacante")</f>
        <v/>
      </c>
      <c r="H279" s="6" t="inlineStr"/>
      <c r="I279" s="3" t="inlineStr">
        <is>
          <t>[Afinidad: 50/100 - Afinidad Moderada] Afinidad parcial en infraestructura vial y transporte. Modalidad: 100% Remoto en Colombia confirmado.</t>
        </is>
      </c>
      <c r="J279" s="2" t="inlineStr">
        <is>
          <t>Nueva</t>
        </is>
      </c>
      <c r="K279" s="3" t="inlineStr"/>
    </row>
    <row r="280" ht="22" customHeight="1">
      <c r="A280" s="2" t="inlineStr">
        <is>
          <t>b6b37cabc98817e3</t>
        </is>
      </c>
      <c r="B280" s="2" t="inlineStr">
        <is>
          <t>2026-09-22 05:09</t>
        </is>
      </c>
      <c r="C280" s="3" t="inlineStr">
        <is>
          <t>Director de interventoría concesión</t>
        </is>
      </c>
      <c r="D280" s="3" t="inlineStr">
        <is>
          <t>Confidencial</t>
        </is>
      </c>
      <c r="E280" s="7" t="n">
        <v>0.5</v>
      </c>
      <c r="F280" s="2" t="inlineStr">
        <is>
          <t>Remoto</t>
        </is>
      </c>
      <c r="G280" s="5">
        <f>HYPERLINK("https://www.elempleo.com/co/ofertas-trabajo/director-de-interventoria-concesion-1886746971", "Ver Vacante")</f>
        <v/>
      </c>
      <c r="H280" s="6" t="inlineStr"/>
      <c r="I280" s="3" t="inlineStr">
        <is>
          <t>[Afinidad: 50/100 - Afinidad Moderada] Afinidad en disciplina base (Ingeniera Civil Especialista en Vías y SST) sin especialidad directa en vías/SST. Modalidad: 100% Remoto en Colombia confirmado.</t>
        </is>
      </c>
      <c r="J280" s="2" t="inlineStr">
        <is>
          <t>Nueva</t>
        </is>
      </c>
      <c r="K280" s="3" t="inlineStr"/>
    </row>
    <row r="281" ht="22" customHeight="1">
      <c r="A281" s="2" t="inlineStr">
        <is>
          <t>ce17946994d038a1</t>
        </is>
      </c>
      <c r="B281" s="2" t="inlineStr">
        <is>
          <t>2026-09-22 05:09</t>
        </is>
      </c>
      <c r="C281" s="3" t="inlineStr">
        <is>
          <t>Director de interventoría proyectos de tecnología</t>
        </is>
      </c>
      <c r="D281" s="3" t="inlineStr">
        <is>
          <t>Confidencial</t>
        </is>
      </c>
      <c r="E281" s="7" t="n">
        <v>0.5</v>
      </c>
      <c r="F281" s="2" t="inlineStr">
        <is>
          <t>Remoto</t>
        </is>
      </c>
      <c r="G281" s="5">
        <f>HYPERLINK("https://www.elempleo.com/co/ofertas-trabajo/director-de-interventoria-proyectos-de-tecnologia-1886751669", "Ver Vacante")</f>
        <v/>
      </c>
      <c r="H281" s="6" t="inlineStr"/>
      <c r="I281" s="3" t="inlineStr">
        <is>
          <t>[Afinidad: 50/100 - Afinidad Moderada] Afinidad en disciplina base (Ingeniera Civil Especialista en Vías y SST) sin especialidad directa en vías/SST. Modalidad: 100% Remoto en Colombia confirmado.</t>
        </is>
      </c>
      <c r="J281" s="2" t="inlineStr">
        <is>
          <t>Nueva</t>
        </is>
      </c>
      <c r="K281" s="3" t="inlineStr"/>
    </row>
    <row r="282" ht="22" customHeight="1">
      <c r="A282" s="2" t="inlineStr">
        <is>
          <t>bda13b98253a2a50</t>
        </is>
      </c>
      <c r="B282" s="2" t="inlineStr">
        <is>
          <t>2026-09-22 05:09</t>
        </is>
      </c>
      <c r="C282" s="3" t="inlineStr">
        <is>
          <t>Director de interventoria civil | yumbo - valle del cauca</t>
        </is>
      </c>
      <c r="D282" s="3" t="inlineStr">
        <is>
          <t>INP PROYECTOS</t>
        </is>
      </c>
      <c r="E282" s="7" t="n">
        <v>0.5</v>
      </c>
      <c r="F282" s="2" t="inlineStr">
        <is>
          <t>Remoto</t>
        </is>
      </c>
      <c r="G282" s="5">
        <f>HYPERLINK("https://www.elempleo.com/co/ofertas-trabajo/director-de-interventoria-civil-yumbo-valle-del-cauca-1886761247", "Ver Vacante")</f>
        <v/>
      </c>
      <c r="H282" s="6" t="inlineStr"/>
      <c r="I282" s="3" t="inlineStr">
        <is>
          <t>[Afinidad: 50/100 - Afinidad Moderada] Afinidad en disciplina base (Ingeniera Civil Especialista en Vías y SST) sin especialidad directa en vías/SST. Modalidad: 100% Remoto en Colombia confirmado.</t>
        </is>
      </c>
      <c r="J282" s="2" t="inlineStr">
        <is>
          <t>Nueva</t>
        </is>
      </c>
      <c r="K282" s="3" t="inlineStr"/>
    </row>
    <row r="283" ht="22" customHeight="1">
      <c r="A283" s="2" t="inlineStr">
        <is>
          <t>5f9ea780b98f8c1e</t>
        </is>
      </c>
      <c r="B283" s="2" t="inlineStr">
        <is>
          <t>2026-09-22 05:09</t>
        </is>
      </c>
      <c r="C283" s="3" t="inlineStr">
        <is>
          <t>Director de interventoría / mosquera, cundinamarca</t>
        </is>
      </c>
      <c r="D283" s="3" t="inlineStr">
        <is>
          <t>Confidencial</t>
        </is>
      </c>
      <c r="E283" s="7" t="n">
        <v>0.5</v>
      </c>
      <c r="F283" s="2" t="inlineStr">
        <is>
          <t>Remoto</t>
        </is>
      </c>
      <c r="G283" s="5">
        <f>HYPERLINK("https://www.elempleo.com/co/ofertas-trabajo/director-de-interventoria-mosquera-cundinamarca-1886761828", "Ver Vacante")</f>
        <v/>
      </c>
      <c r="H283" s="6" t="inlineStr"/>
      <c r="I283" s="3" t="inlineStr">
        <is>
          <t>[Afinidad: 50/100 - Afinidad Moderada] Afinidad en disciplina base (Ingeniera Civil Especialista en Vías y SST) sin especialidad directa en vías/SST. Modalidad: 100% Remoto en Colombia confirmado.</t>
        </is>
      </c>
      <c r="J283" s="2" t="inlineStr">
        <is>
          <t>Nueva</t>
        </is>
      </c>
      <c r="K283" s="3" t="inlineStr"/>
    </row>
    <row r="284" ht="22" customHeight="1">
      <c r="A284" s="2" t="inlineStr">
        <is>
          <t>fc3b5b2ce1bd6c85</t>
        </is>
      </c>
      <c r="B284" s="2" t="inlineStr">
        <is>
          <t>2026-09-22 05:09</t>
        </is>
      </c>
      <c r="C284" s="3" t="inlineStr">
        <is>
          <t>Director hseq - chia</t>
        </is>
      </c>
      <c r="D284" s="3" t="inlineStr">
        <is>
          <t>Confidencial</t>
        </is>
      </c>
      <c r="E284" s="7" t="n">
        <v>0.5</v>
      </c>
      <c r="F284" s="2" t="inlineStr">
        <is>
          <t>Remoto</t>
        </is>
      </c>
      <c r="G284" s="5">
        <f>HYPERLINK("https://www.elempleo.com/co/ofertas-trabajo/director-hseq-chia-1886755279", "Ver Vacante")</f>
        <v/>
      </c>
      <c r="H284" s="6" t="inlineStr"/>
      <c r="I284" s="3" t="inlineStr">
        <is>
          <t>[Afinidad: 50/100 - Afinidad Moderada] Afinidad parcial en seguridad y salud ocupacional. Modalidad: 100% Remoto en Colombia confirmado.</t>
        </is>
      </c>
      <c r="J284" s="2" t="inlineStr">
        <is>
          <t>Nueva</t>
        </is>
      </c>
      <c r="K284" s="3" t="inlineStr"/>
    </row>
    <row r="285" ht="22" customHeight="1">
      <c r="A285" s="2" t="inlineStr">
        <is>
          <t>7d9a8688b4af9ac9</t>
        </is>
      </c>
      <c r="B285" s="2" t="inlineStr">
        <is>
          <t>2026-09-22 05:09</t>
        </is>
      </c>
      <c r="C285" s="3" t="inlineStr">
        <is>
          <t>Ingeniero hseq - neiva</t>
        </is>
      </c>
      <c r="D285" s="3" t="inlineStr">
        <is>
          <t>ICONTEC</t>
        </is>
      </c>
      <c r="E285" s="7" t="n">
        <v>0.5</v>
      </c>
      <c r="F285" s="2" t="inlineStr">
        <is>
          <t>Remoto</t>
        </is>
      </c>
      <c r="G285" s="5">
        <f>HYPERLINK("https://www.elempleo.com/co/ofertas-trabajo/ingeniero-hseq-neiva-1886744084", "Ver Vacante")</f>
        <v/>
      </c>
      <c r="H285" s="6" t="inlineStr"/>
      <c r="I285" s="3" t="inlineStr">
        <is>
          <t>[Afinidad: 50/100 - Afinidad Moderada] Afinidad parcial en seguridad y salud ocupacional. Modalidad: 100% Remoto en Colombia confirmado.</t>
        </is>
      </c>
      <c r="J285" s="2" t="inlineStr">
        <is>
          <t>Nueva</t>
        </is>
      </c>
      <c r="K285" s="3" t="inlineStr"/>
    </row>
    <row r="286" ht="22" customHeight="1">
      <c r="A286" s="2" t="inlineStr">
        <is>
          <t>9672c07df7f7c273</t>
        </is>
      </c>
      <c r="B286" s="2" t="inlineStr">
        <is>
          <t>2026-09-22 05:09</t>
        </is>
      </c>
      <c r="C286" s="3" t="inlineStr">
        <is>
          <t>Bogota - consultor de sistemas de gestion - hseq</t>
        </is>
      </c>
      <c r="D286" s="3" t="inlineStr">
        <is>
          <t>Confidencial</t>
        </is>
      </c>
      <c r="E286" s="7" t="n">
        <v>0.5</v>
      </c>
      <c r="F286" s="2" t="inlineStr">
        <is>
          <t>Remoto</t>
        </is>
      </c>
      <c r="G286" s="5">
        <f>HYPERLINK("https://www.elempleo.com/co/ofertas-trabajo/bogota-consultor-de-sistemas-de-gestion-hseq-1886769154", "Ver Vacante")</f>
        <v/>
      </c>
      <c r="H286" s="6" t="inlineStr"/>
      <c r="I286" s="3" t="inlineStr">
        <is>
          <t>[Afinidad: 50/100 - Afinidad Moderada] Afinidad parcial en seguridad y salud ocupacional. Modalidad: 100% Remoto en Colombia confirmado.</t>
        </is>
      </c>
      <c r="J286" s="2" t="inlineStr">
        <is>
          <t>Nueva</t>
        </is>
      </c>
      <c r="K286" s="3" t="inlineStr"/>
    </row>
    <row r="287" ht="22" customHeight="1">
      <c r="A287" s="2" t="inlineStr">
        <is>
          <t>0a1acb8adf7421ab</t>
        </is>
      </c>
      <c r="B287" s="2" t="inlineStr">
        <is>
          <t>2026-09-22 05:09</t>
        </is>
      </c>
      <c r="C287" s="3" t="inlineStr">
        <is>
          <t>Medellin - consultor de sistemas de gestion - hseq</t>
        </is>
      </c>
      <c r="D287" s="3" t="inlineStr">
        <is>
          <t>Confidencial</t>
        </is>
      </c>
      <c r="E287" s="7" t="n">
        <v>0.5</v>
      </c>
      <c r="F287" s="2" t="inlineStr">
        <is>
          <t>Remoto</t>
        </is>
      </c>
      <c r="G287" s="5">
        <f>HYPERLINK("https://www.elempleo.com/co/ofertas-trabajo/medellin-consultor-de-sistemas-de-gestion-hseq-1886769144", "Ver Vacante")</f>
        <v/>
      </c>
      <c r="H287" s="6" t="inlineStr"/>
      <c r="I287" s="3" t="inlineStr">
        <is>
          <t>[Afinidad: 50/100 - Afinidad Moderada] Afinidad parcial en seguridad y salud ocupacional. Modalidad: 100% Remoto en Colombia confirmado.</t>
        </is>
      </c>
      <c r="J287" s="2" t="inlineStr">
        <is>
          <t>Nueva</t>
        </is>
      </c>
      <c r="K287" s="3" t="inlineStr"/>
    </row>
    <row r="288" ht="22" customHeight="1">
      <c r="A288" s="2" t="inlineStr">
        <is>
          <t>df96de49b7d10c23</t>
        </is>
      </c>
      <c r="B288" s="2" t="inlineStr">
        <is>
          <t>2026-09-22 05:09</t>
        </is>
      </c>
      <c r="C288" s="3" t="inlineStr">
        <is>
          <t>Consultor(a) sistema de gestión hseq - bucaramanga</t>
        </is>
      </c>
      <c r="D288" s="3" t="inlineStr">
        <is>
          <t>Confidencial</t>
        </is>
      </c>
      <c r="E288" s="7" t="n">
        <v>0.5</v>
      </c>
      <c r="F288" s="2" t="inlineStr">
        <is>
          <t>Remoto</t>
        </is>
      </c>
      <c r="G288" s="5">
        <f>HYPERLINK("https://www.elempleo.com/co/ofertas-trabajo/consultora-sistema-de-gestion-hseq-bucaramanga-1886759378", "Ver Vacante")</f>
        <v/>
      </c>
      <c r="H288" s="6" t="inlineStr"/>
      <c r="I288" s="3" t="inlineStr">
        <is>
          <t>[Afinidad: 50/100 - Afinidad Moderada] Afinidad parcial en seguridad y salud ocupacional. Modalidad: 100% Remoto en Colombia confirmado.</t>
        </is>
      </c>
      <c r="J288" s="2" t="inlineStr">
        <is>
          <t>Nueva</t>
        </is>
      </c>
      <c r="K288" s="3" t="inlineStr"/>
    </row>
    <row r="289" ht="22" customHeight="1">
      <c r="A289" s="2" t="inlineStr">
        <is>
          <t>40659dd2e41fd444</t>
        </is>
      </c>
      <c r="B289" s="2" t="inlineStr">
        <is>
          <t>2026-09-22 05:09</t>
        </is>
      </c>
      <c r="C289" s="3" t="inlineStr">
        <is>
          <t>Ingeniero topográfico - especialista senior</t>
        </is>
      </c>
      <c r="D289" s="3" t="inlineStr">
        <is>
          <t>Confidencial</t>
        </is>
      </c>
      <c r="E289" s="7" t="n">
        <v>0.5</v>
      </c>
      <c r="F289" s="2" t="inlineStr">
        <is>
          <t>Remoto</t>
        </is>
      </c>
      <c r="G289" s="5">
        <f>HYPERLINK("https://www.elempleo.com/co/ofertas-trabajo/ingeniero-topografico-especialista-senior-1886765054", "Ver Vacante")</f>
        <v/>
      </c>
      <c r="H289" s="6" t="inlineStr"/>
      <c r="I289" s="3" t="inlineStr">
        <is>
          <t>[Afinidad: 50/100 - Afinidad Moderada] Afinidad en disciplina base (Ingeniera Civil Especialista en Vías y SST) sin especialidad directa en vías/SST. Modalidad: 100% Remoto en Colombia confirmado.</t>
        </is>
      </c>
      <c r="J289" s="2" t="inlineStr">
        <is>
          <t>Nueva</t>
        </is>
      </c>
      <c r="K289" s="3" t="inlineStr"/>
    </row>
    <row r="290" ht="22" customHeight="1">
      <c r="A290" s="2" t="inlineStr">
        <is>
          <t>7b0f7c3850ec6f61</t>
        </is>
      </c>
      <c r="B290" s="2" t="inlineStr">
        <is>
          <t>2026-09-22 05:09</t>
        </is>
      </c>
      <c r="C290" s="3" t="inlineStr">
        <is>
          <t>Coordinador (a) senior - especialista en bioequivalencias</t>
        </is>
      </c>
      <c r="D290" s="3" t="inlineStr">
        <is>
          <t>LABORATORIOS BUSSIE</t>
        </is>
      </c>
      <c r="E290" s="7" t="n">
        <v>0.5</v>
      </c>
      <c r="F290" s="2" t="inlineStr">
        <is>
          <t>Remoto</t>
        </is>
      </c>
      <c r="G290" s="5">
        <f>HYPERLINK("https://www.elempleo.com/co/ofertas-trabajo/coordinador-a-senior-especialista-en-bioequivalencias-1886769840", "Ver Vacante")</f>
        <v/>
      </c>
      <c r="H290" s="6" t="inlineStr"/>
      <c r="I290" s="3" t="inlineStr">
        <is>
          <t>[Afinidad: 50/100 - Afinidad Moderada] Afinidad en disciplina base (Ingeniera Civil Especialista en Vías y SST) sin especialidad directa en vías/SST. Modalidad: 100% Remoto en Colombia confirmado.</t>
        </is>
      </c>
      <c r="J290" s="2" t="inlineStr">
        <is>
          <t>Nueva</t>
        </is>
      </c>
      <c r="K290" s="3" t="inlineStr"/>
    </row>
    <row r="291" ht="22" customHeight="1">
      <c r="A291" s="2" t="inlineStr">
        <is>
          <t>aeaf42aeea186cb0</t>
        </is>
      </c>
      <c r="B291" s="2" t="inlineStr">
        <is>
          <t>2026-09-22 05:09</t>
        </is>
      </c>
      <c r="C291" s="3" t="inlineStr">
        <is>
          <t>Profesional en sst o ingeniero esp en sst - rio negro</t>
        </is>
      </c>
      <c r="D291" s="3" t="inlineStr">
        <is>
          <t>Quirón Prevención Colombia S.A.S</t>
        </is>
      </c>
      <c r="E291" s="7" t="n">
        <v>0.5</v>
      </c>
      <c r="F291" s="2" t="inlineStr">
        <is>
          <t>Remoto</t>
        </is>
      </c>
      <c r="G291" s="5">
        <f>HYPERLINK("https://www.elempleo.com/co/ofertas-trabajo/profesional-en-sst-o-ingeniero-esp-en-sst-rio-negro-1886758412", "Ver Vacante")</f>
        <v/>
      </c>
      <c r="H291" s="6" t="inlineStr"/>
      <c r="I291" s="3" t="inlineStr">
        <is>
          <t>[Afinidad: 50/100 - Afinidad Moderada] Afinidad parcial en seguridad y salud ocupacional. Modalidad: 100% Remoto en Colombia confirmado.</t>
        </is>
      </c>
      <c r="J291" s="2" t="inlineStr">
        <is>
          <t>Nueva</t>
        </is>
      </c>
      <c r="K291" s="3" t="inlineStr"/>
    </row>
    <row r="292" ht="22" customHeight="1">
      <c r="A292" s="2" t="inlineStr">
        <is>
          <t>07f1ee6c04e40269</t>
        </is>
      </c>
      <c r="B292" s="2" t="inlineStr">
        <is>
          <t>2026-09-22 05:09</t>
        </is>
      </c>
      <c r="C292" s="3" t="inlineStr">
        <is>
          <t>Profesional en sst o ingeniero esp en sst - rio negro</t>
        </is>
      </c>
      <c r="D292" s="3" t="inlineStr">
        <is>
          <t>Quirón Prevención Colombia S.A.S</t>
        </is>
      </c>
      <c r="E292" s="7" t="n">
        <v>0.5</v>
      </c>
      <c r="F292" s="2" t="inlineStr">
        <is>
          <t>Remoto</t>
        </is>
      </c>
      <c r="G292" s="5">
        <f>HYPERLINK("https://www.elempleo.com/co/ofertas-trabajo/profesional-en-sst-o-ingeniero-esp-en-sst-rio-negro-1886752068", "Ver Vacante")</f>
        <v/>
      </c>
      <c r="H292" s="6" t="inlineStr"/>
      <c r="I292" s="3" t="inlineStr">
        <is>
          <t>[Afinidad: 50/100 - Afinidad Moderada] Afinidad parcial en seguridad y salud ocupacional. Modalidad: 100% Remoto en Colombia confirmado.</t>
        </is>
      </c>
      <c r="J292" s="2" t="inlineStr">
        <is>
          <t>Nueva</t>
        </is>
      </c>
      <c r="K292" s="3" t="inlineStr"/>
    </row>
    <row r="293" ht="22" customHeight="1">
      <c r="A293" s="2" t="inlineStr">
        <is>
          <t>09443eef5570ce96</t>
        </is>
      </c>
      <c r="B293" s="2" t="inlineStr">
        <is>
          <t>2026-09-22 05:09</t>
        </is>
      </c>
      <c r="C293" s="3" t="inlineStr">
        <is>
          <t>Director de proyecto movilidad</t>
        </is>
      </c>
      <c r="D293" s="3" t="inlineStr">
        <is>
          <t>JAHV MC GREGOR S.A.S</t>
        </is>
      </c>
      <c r="E293" s="7" t="n">
        <v>0.5</v>
      </c>
      <c r="F293" s="2" t="inlineStr">
        <is>
          <t>Remoto</t>
        </is>
      </c>
      <c r="G293" s="5">
        <f>HYPERLINK("https://www.elempleo.com/co/ofertas-trabajo/director-de-proyecto-movilidad-1886766486", "Ver Vacante")</f>
        <v/>
      </c>
      <c r="H293" s="6" t="inlineStr"/>
      <c r="I293" s="3" t="inlineStr">
        <is>
          <t>[Afinidad: 50/100 - Afinidad Moderada] Afinidad en disciplina base (Ingeniera Civil Especialista en Vías y SST) sin especialidad directa en vías/SST. Modalidad: 100% Remoto en Colombia confirmado.</t>
        </is>
      </c>
      <c r="J293" s="2" t="inlineStr">
        <is>
          <t>Nueva</t>
        </is>
      </c>
      <c r="K293" s="3" t="inlineStr"/>
    </row>
    <row r="294" ht="22" customHeight="1">
      <c r="A294" s="2" t="inlineStr">
        <is>
          <t>b54c3610b3497128</t>
        </is>
      </c>
      <c r="B294" s="2" t="inlineStr">
        <is>
          <t>2026-09-22 05:09</t>
        </is>
      </c>
      <c r="C294" s="3" t="inlineStr">
        <is>
          <t>Líder proyectos e ingeniería</t>
        </is>
      </c>
      <c r="D294" s="3" t="inlineStr">
        <is>
          <t>SinapSer</t>
        </is>
      </c>
      <c r="E294" s="7" t="n">
        <v>0.5</v>
      </c>
      <c r="F294" s="2" t="inlineStr">
        <is>
          <t>Remoto</t>
        </is>
      </c>
      <c r="G294" s="5">
        <f>HYPERLINK("https://www.elempleo.com/co/ofertas-trabajo/lider-proyectos-e-ingenieria-1886749715", "Ver Vacante")</f>
        <v/>
      </c>
      <c r="H294" s="6" t="inlineStr"/>
      <c r="I294" s="3" t="inlineStr">
        <is>
          <t>[Afinidad: 50/100 - Afinidad Moderada] Afinidad en disciplina base (Ingeniera Civil Especialista en Vías y SST) sin especialidad directa en vías/SST. Modalidad: 100% Remoto en Colombia confirmado.</t>
        </is>
      </c>
      <c r="J294" s="2" t="inlineStr">
        <is>
          <t>Nueva</t>
        </is>
      </c>
      <c r="K294" s="3" t="inlineStr"/>
    </row>
    <row r="295" ht="22" customHeight="1">
      <c r="A295" s="2" t="inlineStr">
        <is>
          <t>d554349d14476076</t>
        </is>
      </c>
      <c r="B295" s="2" t="inlineStr">
        <is>
          <t>2026-09-22 05:09</t>
        </is>
      </c>
      <c r="C295" s="3" t="inlineStr">
        <is>
          <t>Director de proyecto</t>
        </is>
      </c>
      <c r="D295" s="3" t="inlineStr">
        <is>
          <t>Confidencial</t>
        </is>
      </c>
      <c r="E295" s="7" t="n">
        <v>0.5</v>
      </c>
      <c r="F295" s="2" t="inlineStr">
        <is>
          <t>Remoto</t>
        </is>
      </c>
      <c r="G295" s="5">
        <f>HYPERLINK("https://www.elempleo.com/co/ofertas-trabajo/director-de-proyecto-1886769375", "Ver Vacante")</f>
        <v/>
      </c>
      <c r="H295" s="6" t="inlineStr"/>
      <c r="I295" s="3" t="inlineStr">
        <is>
          <t>[Afinidad: 50/100 - Afinidad Moderada] Afinidad en disciplina base (Ingeniera Civil Especialista en Vías y SST) sin especialidad directa en vías/SST. Modalidad: 100% Remoto en Colombia confirmado.</t>
        </is>
      </c>
      <c r="J295" s="2" t="inlineStr">
        <is>
          <t>Nueva</t>
        </is>
      </c>
      <c r="K295" s="3" t="inlineStr"/>
    </row>
    <row r="296" ht="22" customHeight="1">
      <c r="A296" s="2" t="inlineStr">
        <is>
          <t>772da76a91611419</t>
        </is>
      </c>
      <c r="B296" s="2" t="inlineStr">
        <is>
          <t>2026-09-22 05:09</t>
        </is>
      </c>
      <c r="C296" s="3" t="inlineStr">
        <is>
          <t>Gerente de proyectos</t>
        </is>
      </c>
      <c r="D296" s="3" t="inlineStr">
        <is>
          <t>SUMMAR PRODUCTIVIDAD S.A.S</t>
        </is>
      </c>
      <c r="E296" s="7" t="n">
        <v>0.5</v>
      </c>
      <c r="F296" s="2" t="inlineStr">
        <is>
          <t>Remoto</t>
        </is>
      </c>
      <c r="G296" s="5">
        <f>HYPERLINK("https://www.elempleo.com/co/ofertas-trabajo/gerente-de-proyectos-1886767600", "Ver Vacante")</f>
        <v/>
      </c>
      <c r="H296" s="6" t="inlineStr"/>
      <c r="I296" s="3" t="inlineStr">
        <is>
          <t>[Afinidad: 50/100 - Afinidad Moderada] Afinidad en disciplina base (Ingeniera Civil Especialista en Vías y SST) sin especialidad directa en vías/SST. Modalidad: 100% Remoto en Colombia confirmado.</t>
        </is>
      </c>
      <c r="J296" s="2" t="inlineStr">
        <is>
          <t>Nueva</t>
        </is>
      </c>
      <c r="K296" s="3" t="inlineStr"/>
    </row>
    <row r="297" ht="22" customHeight="1">
      <c r="A297" s="2" t="inlineStr">
        <is>
          <t>2fb7132270011cb4</t>
        </is>
      </c>
      <c r="B297" s="2" t="inlineStr">
        <is>
          <t>2026-09-22 05:09</t>
        </is>
      </c>
      <c r="C297" s="3" t="inlineStr">
        <is>
          <t>Gerente de proyecto tic</t>
        </is>
      </c>
      <c r="D297" s="3" t="inlineStr">
        <is>
          <t>MANPOWER</t>
        </is>
      </c>
      <c r="E297" s="7" t="n">
        <v>0.5</v>
      </c>
      <c r="F297" s="2" t="inlineStr">
        <is>
          <t>Remoto</t>
        </is>
      </c>
      <c r="G297" s="5">
        <f>HYPERLINK("https://www.elempleo.com/co/ofertas-trabajo/gerente-de-proyecto-tic-1886743669", "Ver Vacante")</f>
        <v/>
      </c>
      <c r="H297" s="6" t="inlineStr"/>
      <c r="I297" s="3" t="inlineStr">
        <is>
          <t>[Afinidad: 50/100 - Afinidad Moderada] Afinidad en disciplina base (Ingeniera Civil Especialista en Vías y SST) sin especialidad directa en vías/SST. Modalidad: 100% Remoto en Colombia confirmado.</t>
        </is>
      </c>
      <c r="J297" s="2" t="inlineStr">
        <is>
          <t>Nueva</t>
        </is>
      </c>
      <c r="K297" s="3" t="inlineStr"/>
    </row>
    <row r="298" ht="22" customHeight="1">
      <c r="A298" s="2" t="inlineStr">
        <is>
          <t>3f55a2f61ab57bc3</t>
        </is>
      </c>
      <c r="B298" s="2" t="inlineStr">
        <is>
          <t>2026-09-22 05:09</t>
        </is>
      </c>
      <c r="C298" s="3" t="inlineStr">
        <is>
          <t>Gerente de proyectos para empresa de tecnología</t>
        </is>
      </c>
      <c r="D298" s="3" t="inlineStr">
        <is>
          <t>Gattaca Outsourcing S.A.S.</t>
        </is>
      </c>
      <c r="E298" s="7" t="n">
        <v>0.5</v>
      </c>
      <c r="F298" s="2" t="inlineStr">
        <is>
          <t>Remoto</t>
        </is>
      </c>
      <c r="G298" s="5">
        <f>HYPERLINK("https://www.elempleo.com/co/ofertas-trabajo/gerente-de-proyectos-para-empresa-de-tecnologia-1886747783", "Ver Vacante")</f>
        <v/>
      </c>
      <c r="H298" s="6" t="inlineStr"/>
      <c r="I298" s="3" t="inlineStr">
        <is>
          <t>[Afinidad: 50/100 - Afinidad Moderada] Afinidad en disciplina base (Ingeniera Civil Especialista en Vías y SST) sin especialidad directa en vías/SST. Modalidad: 100% Remoto en Colombia confirmado.</t>
        </is>
      </c>
      <c r="J298" s="2" t="inlineStr">
        <is>
          <t>Nueva</t>
        </is>
      </c>
      <c r="K298" s="3" t="inlineStr"/>
    </row>
    <row r="299" ht="22" customHeight="1">
      <c r="A299" s="2" t="inlineStr">
        <is>
          <t>66e63adcbcc1d616</t>
        </is>
      </c>
      <c r="B299" s="2" t="inlineStr">
        <is>
          <t>2026-09-22 05:09</t>
        </is>
      </c>
      <c r="C299" s="3" t="inlineStr">
        <is>
          <t>Consultor de soporte gestión humana y sst</t>
        </is>
      </c>
      <c r="D299" s="3" t="inlineStr">
        <is>
          <t>Confidencial</t>
        </is>
      </c>
      <c r="E299" s="7" t="n">
        <v>0.5</v>
      </c>
      <c r="F299" s="2" t="inlineStr">
        <is>
          <t>Remoto</t>
        </is>
      </c>
      <c r="G299" s="5">
        <f>HYPERLINK("https://www.elempleo.com/co/ofertas-trabajo/consultor-de-soporte-gestion-humana-y-sst-1886759036", "Ver Vacante")</f>
        <v/>
      </c>
      <c r="H299" s="6" t="inlineStr"/>
      <c r="I299" s="3" t="inlineStr">
        <is>
          <t>[Afinidad: 50/100 - Afinidad Moderada] Afinidad parcial en seguridad y salud ocupacional. Modalidad: 100% Remoto en Colombia confirmado.</t>
        </is>
      </c>
      <c r="J299" s="2" t="inlineStr">
        <is>
          <t>Nueva</t>
        </is>
      </c>
      <c r="K299" s="3" t="inlineStr"/>
    </row>
    <row r="300" ht="22" customHeight="1">
      <c r="A300" s="2" t="inlineStr">
        <is>
          <t>4b86da36a8f7b158</t>
        </is>
      </c>
      <c r="B300" s="2" t="inlineStr">
        <is>
          <t>2026-09-22 05:09</t>
        </is>
      </c>
      <c r="C300" s="3" t="inlineStr">
        <is>
          <t>Ingeniero esp en sst - palmira</t>
        </is>
      </c>
      <c r="D300" s="3" t="inlineStr">
        <is>
          <t>Quirón Prevención Colombia S.A.S</t>
        </is>
      </c>
      <c r="E300" s="7" t="n">
        <v>0.5</v>
      </c>
      <c r="F300" s="2" t="inlineStr">
        <is>
          <t>Remoto</t>
        </is>
      </c>
      <c r="G300" s="5">
        <f>HYPERLINK("https://www.elempleo.com/co/ofertas-trabajo/ingeniero-esp-en-sst-palmira-1886743728", "Ver Vacante")</f>
        <v/>
      </c>
      <c r="H300" s="6" t="inlineStr"/>
      <c r="I300" s="3" t="inlineStr">
        <is>
          <t>[Afinidad: 50/100 - Afinidad Moderada] Afinidad parcial en seguridad y salud ocupacional. Modalidad: 100% Remoto en Colombia confirmado.</t>
        </is>
      </c>
      <c r="J300" s="2" t="inlineStr">
        <is>
          <t>Nueva</t>
        </is>
      </c>
      <c r="K300" s="3" t="inlineStr"/>
    </row>
    <row r="301" ht="22" customHeight="1">
      <c r="A301" s="2" t="inlineStr">
        <is>
          <t>0a9344b068ffdb17</t>
        </is>
      </c>
      <c r="B301" s="2" t="inlineStr">
        <is>
          <t>2026-09-22 05:09</t>
        </is>
      </c>
      <c r="C301" s="3" t="inlineStr">
        <is>
          <t>Ingeniero esp en sst - palmira</t>
        </is>
      </c>
      <c r="D301" s="3" t="inlineStr">
        <is>
          <t>Quirón Prevención Colombia S.A.S</t>
        </is>
      </c>
      <c r="E301" s="7" t="n">
        <v>0.5</v>
      </c>
      <c r="F301" s="2" t="inlineStr">
        <is>
          <t>Remoto</t>
        </is>
      </c>
      <c r="G301" s="5">
        <f>HYPERLINK("https://www.elempleo.com/co/ofertas-trabajo/ingeniero-esp-en-sst-palmira-1886760865", "Ver Vacante")</f>
        <v/>
      </c>
      <c r="H301" s="6" t="inlineStr"/>
      <c r="I301" s="3" t="inlineStr">
        <is>
          <t>[Afinidad: 50/100 - Afinidad Moderada] Afinidad parcial en seguridad y salud ocupacional. Modalidad: 100% Remoto en Colombia confirmado.</t>
        </is>
      </c>
      <c r="J301" s="2" t="inlineStr">
        <is>
          <t>Nueva</t>
        </is>
      </c>
      <c r="K301" s="3" t="inlineStr"/>
    </row>
    <row r="302" ht="22" customHeight="1">
      <c r="A302" s="2" t="inlineStr">
        <is>
          <t>193cfde3b5dfbfaa</t>
        </is>
      </c>
      <c r="B302" s="2" t="inlineStr">
        <is>
          <t>2026-09-22 05:09</t>
        </is>
      </c>
      <c r="C302" s="3" t="inlineStr">
        <is>
          <t>Director(a) de talento humano y sst</t>
        </is>
      </c>
      <c r="D302" s="3" t="inlineStr">
        <is>
          <t>Confidencial</t>
        </is>
      </c>
      <c r="E302" s="7" t="n">
        <v>0.5</v>
      </c>
      <c r="F302" s="2" t="inlineStr">
        <is>
          <t>Remoto</t>
        </is>
      </c>
      <c r="G302" s="5">
        <f>HYPERLINK("https://www.elempleo.com/co/ofertas-trabajo/directora-de-talento-humano-y-sst-1886746502", "Ver Vacante")</f>
        <v/>
      </c>
      <c r="H302" s="6" t="inlineStr"/>
      <c r="I302" s="3" t="inlineStr">
        <is>
          <t>[Afinidad: 50/100 - Afinidad Moderada] Afinidad parcial en seguridad y salud ocupacional. Modalidad: 100% Remoto en Colombia confirmado.</t>
        </is>
      </c>
      <c r="J302" s="2" t="inlineStr">
        <is>
          <t>Nueva</t>
        </is>
      </c>
      <c r="K302" s="3" t="inlineStr"/>
    </row>
    <row r="303" ht="22" customHeight="1">
      <c r="A303" s="2" t="inlineStr">
        <is>
          <t>6386ae2cdd0ca648</t>
        </is>
      </c>
      <c r="B303" s="2" t="inlineStr">
        <is>
          <t>2026-09-22 05:09</t>
        </is>
      </c>
      <c r="C303" s="3" t="inlineStr">
        <is>
          <t>Ingeniero hseq - hidrocarburos</t>
        </is>
      </c>
      <c r="D303" s="3" t="inlineStr">
        <is>
          <t>ADECCO COLOMBIA S A</t>
        </is>
      </c>
      <c r="E303" s="7" t="n">
        <v>0.5</v>
      </c>
      <c r="F303" s="2" t="inlineStr">
        <is>
          <t>Remoto</t>
        </is>
      </c>
      <c r="G303" s="5">
        <f>HYPERLINK("https://www.elempleo.com/co/ofertas-trabajo/ingeniero-hseq-hidrocarburos-1886757090", "Ver Vacante")</f>
        <v/>
      </c>
      <c r="H303" s="6" t="inlineStr"/>
      <c r="I303" s="3" t="inlineStr">
        <is>
          <t>[Afinidad: 50/100 - Afinidad Moderada] Afinidad parcial en seguridad y salud ocupacional. Modalidad: 100% Remoto en Colombia confirmado.</t>
        </is>
      </c>
      <c r="J303" s="2" t="inlineStr">
        <is>
          <t>Nueva</t>
        </is>
      </c>
      <c r="K303" s="3" t="inlineStr"/>
    </row>
    <row r="304" ht="22" customHeight="1">
      <c r="A304" s="2" t="inlineStr">
        <is>
          <t>7e3a819c5137691c</t>
        </is>
      </c>
      <c r="B304" s="2" t="inlineStr">
        <is>
          <t>2026-09-22 05:09</t>
        </is>
      </c>
      <c r="C304" s="3" t="inlineStr">
        <is>
          <t>Bogota - consultor sistemas de gestión sst- con licencia en sst</t>
        </is>
      </c>
      <c r="D304" s="3" t="inlineStr">
        <is>
          <t>Confidencial</t>
        </is>
      </c>
      <c r="E304" s="7" t="n">
        <v>0.5</v>
      </c>
      <c r="F304" s="2" t="inlineStr">
        <is>
          <t>Remoto</t>
        </is>
      </c>
      <c r="G304" s="5">
        <f>HYPERLINK("https://www.elempleo.com/co/ofertas-trabajo/bogota-consultor-sistemas-de-gestion-sst-con-licencia-en-sst-1886759829", "Ver Vacante")</f>
        <v/>
      </c>
      <c r="H304" s="6" t="inlineStr"/>
      <c r="I304" s="3" t="inlineStr">
        <is>
          <t>[Afinidad: 50/100 - Afinidad Moderada] Afinidad parcial en seguridad y salud ocupacional. Modalidad: 100% Remoto en Colombia confirmado. Observación: Requiere Licencia en Seguridad y Salud en el Trabajo (SST) vigente.</t>
        </is>
      </c>
      <c r="J304" s="2" t="inlineStr">
        <is>
          <t>Nueva</t>
        </is>
      </c>
      <c r="K304" s="3" t="inlineStr"/>
    </row>
    <row r="305" ht="22" customHeight="1">
      <c r="A305" s="2" t="inlineStr">
        <is>
          <t>8a9cbfc1b1d76c90</t>
        </is>
      </c>
      <c r="B305" s="2" t="inlineStr">
        <is>
          <t>2026-09-22 05:09</t>
        </is>
      </c>
      <c r="C305" s="3" t="inlineStr">
        <is>
          <t>Bogota - consultor sistemas de gestión sst- con licencia en sst</t>
        </is>
      </c>
      <c r="D305" s="3" t="inlineStr">
        <is>
          <t>Confidencial</t>
        </is>
      </c>
      <c r="E305" s="7" t="n">
        <v>0.5</v>
      </c>
      <c r="F305" s="2" t="inlineStr">
        <is>
          <t>Remoto</t>
        </is>
      </c>
      <c r="G305" s="5">
        <f>HYPERLINK("https://www.elempleo.com/co/ofertas-trabajo/bogota-consultor-sistemas-de-gestion-sst-con-licencia-en-sst-1886764895", "Ver Vacante")</f>
        <v/>
      </c>
      <c r="H305" s="6" t="inlineStr"/>
      <c r="I305" s="3" t="inlineStr">
        <is>
          <t>[Afinidad: 50/100 - Afinidad Moderada] Afinidad parcial en seguridad y salud ocupacional. Modalidad: 100% Remoto en Colombia confirmado. Observación: Requiere Licencia en Seguridad y Salud en el Trabajo (SST) vigente.</t>
        </is>
      </c>
      <c r="J305" s="2" t="inlineStr">
        <is>
          <t>Nueva</t>
        </is>
      </c>
      <c r="K305" s="3" t="inlineStr"/>
    </row>
    <row r="306" ht="22" customHeight="1">
      <c r="A306" s="2" t="inlineStr">
        <is>
          <t>654baa524215581d</t>
        </is>
      </c>
      <c r="B306" s="2" t="inlineStr">
        <is>
          <t>2026-09-22 05:09</t>
        </is>
      </c>
      <c r="C306" s="3" t="inlineStr">
        <is>
          <t>Medellín - consultor sistemas de gestión sst- con licencia en sst</t>
        </is>
      </c>
      <c r="D306" s="3" t="inlineStr">
        <is>
          <t>Confidencial</t>
        </is>
      </c>
      <c r="E306" s="7" t="n">
        <v>0.5</v>
      </c>
      <c r="F306" s="2" t="inlineStr">
        <is>
          <t>Remoto</t>
        </is>
      </c>
      <c r="G306" s="5">
        <f>HYPERLINK("https://www.elempleo.com/co/ofertas-trabajo/medellin-consultor-sistemas-de-gestion-sst-con-licencia-en-sst-1886764969", "Ver Vacante")</f>
        <v/>
      </c>
      <c r="H306" s="6" t="inlineStr"/>
      <c r="I306" s="3" t="inlineStr">
        <is>
          <t>[Afinidad: 50/100 - Afinidad Moderada] Afinidad parcial en seguridad y salud ocupacional. Modalidad: 100% Remoto en Colombia confirmado. Observación: Requiere Licencia en Seguridad y Salud en el Trabajo (SST) vigente.</t>
        </is>
      </c>
      <c r="J306" s="2" t="inlineStr">
        <is>
          <t>Nueva</t>
        </is>
      </c>
      <c r="K306" s="3" t="inlineStr"/>
    </row>
    <row r="307" ht="22" customHeight="1">
      <c r="A307" s="2" t="inlineStr">
        <is>
          <t>cfad72f86eb60cd6</t>
        </is>
      </c>
      <c r="B307" s="2" t="inlineStr">
        <is>
          <t>2026-09-22 05:09</t>
        </is>
      </c>
      <c r="C307" s="3" t="inlineStr">
        <is>
          <t>Consultor sst freelance</t>
        </is>
      </c>
      <c r="D307" s="3" t="inlineStr">
        <is>
          <t>SELECTED HR</t>
        </is>
      </c>
      <c r="E307" s="7" t="n">
        <v>0.5</v>
      </c>
      <c r="F307" s="2" t="inlineStr">
        <is>
          <t>Remoto</t>
        </is>
      </c>
      <c r="G307" s="5">
        <f>HYPERLINK("https://www.elempleo.com/co/ofertas-trabajo/consultor-sst-freelance-1886758665", "Ver Vacante")</f>
        <v/>
      </c>
      <c r="H307" s="6" t="inlineStr"/>
      <c r="I307" s="3" t="inlineStr">
        <is>
          <t>[Afinidad: 50/100 - Afinidad Moderada] Afinidad parcial en seguridad y salud ocupacional. Modalidad: 100% Remoto en Colombia confirmado.</t>
        </is>
      </c>
      <c r="J307" s="2" t="inlineStr">
        <is>
          <t>Nueva</t>
        </is>
      </c>
      <c r="K307" s="3" t="inlineStr"/>
    </row>
    <row r="308" ht="22" customHeight="1">
      <c r="A308" s="2" t="inlineStr">
        <is>
          <t>b7e5ecf9972019b8</t>
        </is>
      </c>
      <c r="B308" s="2" t="inlineStr">
        <is>
          <t>2026-09-22 05:09</t>
        </is>
      </c>
      <c r="C308" s="3" t="inlineStr">
        <is>
          <t>Cali - consultor de sistemas de gestion sst independiente</t>
        </is>
      </c>
      <c r="D308" s="3" t="inlineStr">
        <is>
          <t>Confidencial</t>
        </is>
      </c>
      <c r="E308" s="7" t="n">
        <v>0.5</v>
      </c>
      <c r="F308" s="2" t="inlineStr">
        <is>
          <t>Remoto</t>
        </is>
      </c>
      <c r="G308" s="5">
        <f>HYPERLINK("https://www.elempleo.com/co/ofertas-trabajo/cali-consultor-de-sistemas-de-gestion-sst-independiente-1886766615", "Ver Vacante")</f>
        <v/>
      </c>
      <c r="H308" s="6" t="inlineStr"/>
      <c r="I308" s="3" t="inlineStr">
        <is>
          <t>[Afinidad: 50/100 - Afinidad Moderada] Afinidad parcial en seguridad y salud ocupacional. Modalidad: 100% Remoto en Colombia confirmado.</t>
        </is>
      </c>
      <c r="J308" s="2" t="inlineStr">
        <is>
          <t>Nueva</t>
        </is>
      </c>
      <c r="K308" s="3" t="inlineStr"/>
    </row>
    <row r="309" ht="22" customHeight="1">
      <c r="A309" s="2" t="inlineStr">
        <is>
          <t>45156e9fe504104c</t>
        </is>
      </c>
      <c r="B309" s="2" t="inlineStr">
        <is>
          <t>2026-09-22 05:09</t>
        </is>
      </c>
      <c r="C309" s="3" t="inlineStr">
        <is>
          <t>Barranquilla - consultor de sistemas de gestion sst independiente</t>
        </is>
      </c>
      <c r="D309" s="3" t="inlineStr">
        <is>
          <t>Confidencial</t>
        </is>
      </c>
      <c r="E309" s="7" t="n">
        <v>0.5</v>
      </c>
      <c r="F309" s="2" t="inlineStr">
        <is>
          <t>Remoto</t>
        </is>
      </c>
      <c r="G309" s="5">
        <f>HYPERLINK("https://www.elempleo.com/co/ofertas-trabajo/barranquilla-consultor-de-sistemas-de-gestion-sst-independiente-1886765182", "Ver Vacante")</f>
        <v/>
      </c>
      <c r="H309" s="6" t="inlineStr"/>
      <c r="I309" s="3" t="inlineStr">
        <is>
          <t>[Afinidad: 50/100 - Afinidad Moderada] Afinidad parcial en seguridad y salud ocupacional. Modalidad: 100% Remoto en Colombia confirmado.</t>
        </is>
      </c>
      <c r="J309" s="2" t="inlineStr">
        <is>
          <t>Nueva</t>
        </is>
      </c>
      <c r="K309" s="3" t="inlineStr"/>
    </row>
    <row r="310" ht="22" customHeight="1">
      <c r="A310" s="2" t="inlineStr">
        <is>
          <t>2414c05d0c98b4bf</t>
        </is>
      </c>
      <c r="B310" s="2" t="inlineStr">
        <is>
          <t>2026-09-22 05:09</t>
        </is>
      </c>
      <c r="C310" s="3" t="inlineStr">
        <is>
          <t>Consultor(a) sst - gestión del riesgo químico - barrancabermeja</t>
        </is>
      </c>
      <c r="D310" s="3" t="inlineStr">
        <is>
          <t>Confidencial</t>
        </is>
      </c>
      <c r="E310" s="7" t="n">
        <v>0.5</v>
      </c>
      <c r="F310" s="2" t="inlineStr">
        <is>
          <t>Remoto</t>
        </is>
      </c>
      <c r="G310" s="5">
        <f>HYPERLINK("https://www.elempleo.com/co/ofertas-trabajo/consultora-sst-gestion-del-riesgo-quimico-barrancabermeja-1886746280", "Ver Vacante")</f>
        <v/>
      </c>
      <c r="H310" s="6" t="inlineStr"/>
      <c r="I310" s="3" t="inlineStr">
        <is>
          <t>[Afinidad: 50/100 - Afinidad Moderada] Afinidad parcial en seguridad y salud ocupacional. Modalidad: 100% Remoto en Colombia confirmado.</t>
        </is>
      </c>
      <c r="J310" s="2" t="inlineStr">
        <is>
          <t>Nueva</t>
        </is>
      </c>
      <c r="K310" s="3" t="inlineStr"/>
    </row>
    <row r="311" ht="22" customHeight="1">
      <c r="A311" s="2" t="inlineStr">
        <is>
          <t>3d360078771e726a</t>
        </is>
      </c>
      <c r="B311" s="2" t="inlineStr">
        <is>
          <t>2026-09-22 05:09</t>
        </is>
      </c>
      <c r="C311" s="3" t="inlineStr">
        <is>
          <t>Ingeniero hseq</t>
        </is>
      </c>
      <c r="D311" s="3" t="inlineStr">
        <is>
          <t>CONCONCRETO S.A.</t>
        </is>
      </c>
      <c r="E311" s="7" t="n">
        <v>0.5</v>
      </c>
      <c r="F311" s="2" t="inlineStr">
        <is>
          <t>Remoto</t>
        </is>
      </c>
      <c r="G311" s="5">
        <f>HYPERLINK("https://www.elempleo.com/co/ofertas-trabajo/ingeniero-hseq-1886755671", "Ver Vacante")</f>
        <v/>
      </c>
      <c r="H311" s="6" t="inlineStr"/>
      <c r="I311" s="3" t="inlineStr">
        <is>
          <t>[Afinidad: 50/100 - Afinidad Moderada] Afinidad parcial en seguridad y salud ocupacional. Modalidad: 100% Remoto en Colombia confirmado.</t>
        </is>
      </c>
      <c r="J311" s="2" t="inlineStr">
        <is>
          <t>Nueva</t>
        </is>
      </c>
      <c r="K311" s="3" t="inlineStr"/>
    </row>
    <row r="312" ht="22" customHeight="1">
      <c r="A312" s="2" t="inlineStr">
        <is>
          <t>596e039a845e32eb</t>
        </is>
      </c>
      <c r="B312" s="2" t="inlineStr">
        <is>
          <t>2026-09-22 05:09</t>
        </is>
      </c>
      <c r="C312" s="3" t="inlineStr">
        <is>
          <t>Ingeniero de infraestructura ti</t>
        </is>
      </c>
      <c r="D312" s="3" t="inlineStr">
        <is>
          <t>Confidencial</t>
        </is>
      </c>
      <c r="E312" s="7" t="n">
        <v>0.5</v>
      </c>
      <c r="F312" s="2" t="inlineStr">
        <is>
          <t>Remoto</t>
        </is>
      </c>
      <c r="G312" s="5">
        <f>HYPERLINK("https://www.elempleo.com/co/ofertas-trabajo/ingeniero-de-infraestructura-ti-1886762110", "Ver Vacante")</f>
        <v/>
      </c>
      <c r="H312" s="6" t="inlineStr"/>
      <c r="I312" s="3" t="inlineStr">
        <is>
          <t>[Afinidad: 50/100 - Afinidad Moderada] Afinidad parcial en infraestructura vial y transporte. Modalidad: 100% Remoto en Colombia confirmado.</t>
        </is>
      </c>
      <c r="J312" s="2" t="inlineStr">
        <is>
          <t>Nueva</t>
        </is>
      </c>
      <c r="K312" s="3" t="inlineStr"/>
    </row>
    <row r="313" ht="22" customHeight="1">
      <c r="A313" s="2" t="inlineStr">
        <is>
          <t>eff7bc9185d1d6d6</t>
        </is>
      </c>
      <c r="B313" s="2" t="inlineStr">
        <is>
          <t>2026-09-22 05:09</t>
        </is>
      </c>
      <c r="C313" s="3" t="inlineStr">
        <is>
          <t>Avaluador - especialista senior en seguimiento, control e interventoría de obra.</t>
        </is>
      </c>
      <c r="D313" s="3" t="inlineStr">
        <is>
          <t>Confidencial</t>
        </is>
      </c>
      <c r="E313" s="7" t="n">
        <v>0.5</v>
      </c>
      <c r="F313" s="2" t="inlineStr">
        <is>
          <t>Remoto</t>
        </is>
      </c>
      <c r="G313" s="5">
        <f>HYPERLINK("https://www.elempleo.com/co/ofertas-trabajo/avaluador-especialista-senior-en-seguimiento-control-e-interventoria-de-obra-1886733468", "Ver Vacante")</f>
        <v/>
      </c>
      <c r="H313" s="6" t="inlineStr"/>
      <c r="I313" s="3" t="inlineStr">
        <is>
          <t>[Afinidad: 50/100 - Afinidad Moderada] Afinidad en disciplina base (Ingeniera Civil Especialista en Vías y SST) sin especialidad directa en vías/SST. Modalidad: 100% Remoto en Colombia confirmado.</t>
        </is>
      </c>
      <c r="J313" s="2" t="inlineStr">
        <is>
          <t>Nueva</t>
        </is>
      </c>
      <c r="K313" s="3" t="inlineStr"/>
    </row>
    <row r="314" ht="22" customHeight="1">
      <c r="A314" s="2" t="inlineStr">
        <is>
          <t>4628b75d3c64d84f</t>
        </is>
      </c>
      <c r="B314" s="2" t="inlineStr">
        <is>
          <t>2026-09-22 05:09</t>
        </is>
      </c>
      <c r="C314" s="3" t="inlineStr">
        <is>
          <t>Analista senior de control de proyectos sector inmobiliario, obra civil, construcción en bogota</t>
        </is>
      </c>
      <c r="D314" s="3" t="inlineStr">
        <is>
          <t>MANPOWER</t>
        </is>
      </c>
      <c r="E314" s="7" t="n">
        <v>0.5</v>
      </c>
      <c r="F314" s="2" t="inlineStr">
        <is>
          <t>Remoto</t>
        </is>
      </c>
      <c r="G314" s="5">
        <f>HYPERLINK("https://www.elempleo.com/co/ofertas-trabajo/analista-senior-de-control-de-proyectos-sector-inmobiliario-obra-civil-construccion-en-bogota-1886762627", "Ver Vacante")</f>
        <v/>
      </c>
      <c r="H314" s="6" t="inlineStr"/>
      <c r="I314" s="3" t="inlineStr">
        <is>
          <t>[Afinidad: 50/100 - Afinidad Moderada] Afinidad en disciplina base (Ingeniera Civil Especialista en Vías y SST) sin especialidad directa en vías/SST. Modalidad: 100% Remoto en Colombia confirmado.</t>
        </is>
      </c>
      <c r="J314" s="2" t="inlineStr">
        <is>
          <t>Nueva</t>
        </is>
      </c>
      <c r="K314" s="3" t="inlineStr"/>
    </row>
    <row r="315" ht="22" customHeight="1">
      <c r="A315" s="2" t="inlineStr">
        <is>
          <t>a3bdfbb53c8050bc</t>
        </is>
      </c>
      <c r="B315" s="2" t="inlineStr">
        <is>
          <t>2026-09-22 05:09</t>
        </is>
      </c>
      <c r="C315" s="3" t="inlineStr">
        <is>
          <t>Líder Técnico - Colombia</t>
        </is>
      </c>
      <c r="D315" s="3" t="inlineStr">
        <is>
          <t>SETI S.A.S</t>
        </is>
      </c>
      <c r="E315" s="7" t="n">
        <v>0.5</v>
      </c>
      <c r="F315" s="2" t="inlineStr">
        <is>
          <t>Remoto</t>
        </is>
      </c>
      <c r="G315" s="5">
        <f>HYPERLINK("https://co.linkedin.com/jobs/view/l%C3%ADder-t%C3%A9cnico-colombia-at-seti-s-a-s-4464254507", "Ver Vacante")</f>
        <v/>
      </c>
      <c r="H315" s="6" t="inlineStr"/>
      <c r="I315" s="3" t="inlineStr">
        <is>
          <t>[Afinidad: 50/100 - Afinidad Moderada] Afinidad en disciplina base (Ingeniera Civil Especialista en Vías y SST) sin especialidad directa en vías/SST. Modalidad: 100% Remoto en Colombia confirmado.</t>
        </is>
      </c>
      <c r="J315" s="2" t="inlineStr">
        <is>
          <t>Nueva</t>
        </is>
      </c>
      <c r="K315" s="3" t="inlineStr"/>
    </row>
    <row r="316" ht="22" customHeight="1">
      <c r="A316" s="2" t="inlineStr">
        <is>
          <t>9876a1d7b57c2e9d</t>
        </is>
      </c>
      <c r="B316" s="2" t="inlineStr">
        <is>
          <t>2026-09-22 05:09</t>
        </is>
      </c>
      <c r="C316" s="3" t="inlineStr">
        <is>
          <t>Diseñador Civil Senior/Senior Civil Designer</t>
        </is>
      </c>
      <c r="D316" s="3" t="inlineStr">
        <is>
          <t>Pond &amp; Company</t>
        </is>
      </c>
      <c r="E316" s="7" t="n">
        <v>0.5</v>
      </c>
      <c r="F316" s="2" t="inlineStr">
        <is>
          <t>Remoto</t>
        </is>
      </c>
      <c r="G316" s="5">
        <f>HYPERLINK("https://co.linkedin.com/jobs/view/dise%C3%B1ador-civil-senior-senior-civil-designer-at-pond-company-4448248118", "Ver Vacante")</f>
        <v/>
      </c>
      <c r="H316" s="6" t="inlineStr"/>
      <c r="I316" s="3" t="inlineStr">
        <is>
          <t>[Afinidad: 50/100 - Afinidad Moderada] Afinidad en disciplina base (Ingeniera Civil Especialista en Vías y SST) sin especialidad directa en vías/SST. Modalidad: 100% Remoto en Colombia confirmado.</t>
        </is>
      </c>
      <c r="J316" s="2" t="inlineStr">
        <is>
          <t>Nueva</t>
        </is>
      </c>
      <c r="K316" s="3" t="inlineStr"/>
    </row>
    <row r="317" ht="22" customHeight="1">
      <c r="A317" s="2" t="inlineStr">
        <is>
          <t>c5c945234866a1f1</t>
        </is>
      </c>
      <c r="B317" s="2" t="inlineStr">
        <is>
          <t>2026-09-22 05:09</t>
        </is>
      </c>
      <c r="C317" s="3" t="inlineStr">
        <is>
          <t>Gerente HSE - Barranquilla</t>
        </is>
      </c>
      <c r="D317" s="3" t="inlineStr">
        <is>
          <t>ADAMA Ltd.</t>
        </is>
      </c>
      <c r="E317" s="7" t="n">
        <v>0.5</v>
      </c>
      <c r="F317" s="2" t="inlineStr">
        <is>
          <t>Remoto</t>
        </is>
      </c>
      <c r="G317" s="5">
        <f>HYPERLINK("https://co.linkedin.com/jobs/view/gerente-hse-barranquilla-colombia-at-adama-ltd-4468291249", "Ver Vacante")</f>
        <v/>
      </c>
      <c r="H317" s="6" t="inlineStr"/>
      <c r="I317" s="3" t="inlineStr">
        <is>
          <t>[Afinidad: 50/100 - Afinidad Moderada] Afinidad parcial en seguridad y salud ocupacional. Modalidad: 100% Remoto en Colombia confirmado.</t>
        </is>
      </c>
      <c r="J317" s="2" t="inlineStr">
        <is>
          <t>Nueva</t>
        </is>
      </c>
      <c r="K317" s="3" t="inlineStr"/>
    </row>
    <row r="318" ht="22" customHeight="1">
      <c r="A318" s="2" t="inlineStr">
        <is>
          <t>mock_nonmatch_008</t>
        </is>
      </c>
      <c r="B318" s="2" t="inlineStr">
        <is>
          <t>2026-09-23 09:45</t>
        </is>
      </c>
      <c r="C318" s="3" t="inlineStr">
        <is>
          <t>Especialista Hidráulico y Sanitario para Plantas de Tratamiento de Aguas Residuales</t>
        </is>
      </c>
      <c r="D318" s="3" t="inlineStr">
        <is>
          <t>Aguas y Cuencas Ambientales S.A.S. E.S.P.</t>
        </is>
      </c>
      <c r="E318" s="7" t="n">
        <v>0.5</v>
      </c>
      <c r="F318" s="2" t="inlineStr">
        <is>
          <t>Remoto</t>
        </is>
      </c>
      <c r="G318" s="5">
        <f>HYPERLINK("https://www.elempleo.com/co/ofertas-trabajo/mock-nonmatch-008", "Ver Vacante")</f>
        <v/>
      </c>
      <c r="H318" s="6" t="inlineStr">
        <is>
          <t>$ 7.500.000 COP</t>
        </is>
      </c>
      <c r="I318" s="3" t="inlineStr">
        <is>
          <t>[Afinidad: 50/100 - Afinidad Moderada] Afinidad en disciplina base (Ingeniera Civil Especialista en Vías y SST) sin especialidad directa en vías/SST. Modalidad: 100% Remoto en Colombia confirmado.</t>
        </is>
      </c>
      <c r="J318" s="2" t="inlineStr">
        <is>
          <t>Nueva</t>
        </is>
      </c>
      <c r="K318" s="3" t="inlineStr"/>
    </row>
    <row r="319" ht="22" customHeight="1">
      <c r="A319" s="2" t="inlineStr">
        <is>
          <t>7fb7d18d4b7e2f15</t>
        </is>
      </c>
      <c r="B319" s="2" t="inlineStr">
        <is>
          <t>2026-09-23 10:17</t>
        </is>
      </c>
      <c r="C319" s="3" t="inlineStr">
        <is>
          <t>Gerente de Proyectos de redes secas eléctricas en sector inmobiliarios vivienda</t>
        </is>
      </c>
      <c r="D319" s="3" t="inlineStr">
        <is>
          <t>Soluciones Inmediatas</t>
        </is>
      </c>
      <c r="E319" s="7" t="n">
        <v>0.5</v>
      </c>
      <c r="F319" s="2" t="inlineStr">
        <is>
          <t>Remoto</t>
        </is>
      </c>
      <c r="G319" s="5">
        <f>HYPERLINK("https://co.computrabajo.com/ofertas-de-trabajo/oferta-de-trabajo-de-gerente-de-proyectos-de-redes-secas-electricas-en-sector-inmobiliarios-vivienda-en-barranquilla-1D8CA2C26D08E95B61373E686DCF3405", "Ver Vacante")</f>
        <v/>
      </c>
      <c r="H319" s="6" t="inlineStr">
        <is>
          <t>$ 7.000.000,00 (Mensual)</t>
        </is>
      </c>
      <c r="I319" s="3" t="inlineStr">
        <is>
          <t>[Afinidad: 50/100 - Afinidad Moderada] Afinidad en disciplina base (Ingeniera Civil Especialista en Vías y SST) sin especialidad directa en vías/SST. Modalidad: 100% Remoto en Colombia confirmado.</t>
        </is>
      </c>
      <c r="J319" s="2" t="inlineStr">
        <is>
          <t>Nueva</t>
        </is>
      </c>
      <c r="K319" s="3" t="inlineStr"/>
    </row>
    <row r="320" ht="22" customHeight="1">
      <c r="A320" s="2" t="inlineStr">
        <is>
          <t>f46574832270c441</t>
        </is>
      </c>
      <c r="B320" s="2" t="inlineStr">
        <is>
          <t>2026-09-23 10:17</t>
        </is>
      </c>
      <c r="C320" s="3" t="inlineStr">
        <is>
          <t>Director de proyectos construcción/impermeabilización</t>
        </is>
      </c>
      <c r="D320" s="3" t="inlineStr">
        <is>
          <t>ADECCO COLOMBIA S A</t>
        </is>
      </c>
      <c r="E320" s="7" t="n">
        <v>0.5</v>
      </c>
      <c r="F320" s="2" t="inlineStr">
        <is>
          <t>Remoto</t>
        </is>
      </c>
      <c r="G320" s="5">
        <f>HYPERLINK("https://www.elempleo.com/co/ofertas-trabajo/director-de-proyectos-construccion-impermeabilizacion-1886757649", "Ver Vacante")</f>
        <v/>
      </c>
      <c r="H320" s="6" t="inlineStr"/>
      <c r="I320" s="3" t="inlineStr">
        <is>
          <t>[Afinidad: 50/100 - Afinidad Moderada] Afinidad en disciplina base (Ingeniera Civil Especialista en Vías y SST) sin especialidad directa en vías/SST. Modalidad: 100% Remoto en Colombia confirmado.</t>
        </is>
      </c>
      <c r="J320" s="2" t="inlineStr">
        <is>
          <t>Nueva</t>
        </is>
      </c>
      <c r="K320" s="3" t="inlineStr"/>
    </row>
    <row r="321" ht="22" customHeight="1">
      <c r="A321" s="2" t="inlineStr">
        <is>
          <t>3723b2e178098779</t>
        </is>
      </c>
      <c r="B321" s="2" t="inlineStr">
        <is>
          <t>2026-09-23 10:17</t>
        </is>
      </c>
      <c r="C321" s="3" t="inlineStr">
        <is>
          <t>Ingeniero de infraestructura</t>
        </is>
      </c>
      <c r="D321" s="3" t="inlineStr">
        <is>
          <t>Confidencial</t>
        </is>
      </c>
      <c r="E321" s="7" t="n">
        <v>0.5</v>
      </c>
      <c r="F321" s="2" t="inlineStr">
        <is>
          <t>Remoto</t>
        </is>
      </c>
      <c r="G321" s="5">
        <f>HYPERLINK("https://www.elempleo.com/co/ofertas-trabajo/ingeniero-de-infraestructura-1886762657", "Ver Vacante")</f>
        <v/>
      </c>
      <c r="H321" s="6" t="inlineStr"/>
      <c r="I321" s="3" t="inlineStr">
        <is>
          <t>[Afinidad: 50/100 - Afinidad Moderada] Afinidad parcial en infraestructura vial y transporte. Modalidad: 100% Remoto en Colombia confirmado.</t>
        </is>
      </c>
      <c r="J321" s="2" t="inlineStr">
        <is>
          <t>Nueva</t>
        </is>
      </c>
      <c r="K321" s="3" t="inlineStr"/>
    </row>
    <row r="322" ht="22" customHeight="1">
      <c r="A322" s="2" t="inlineStr">
        <is>
          <t>bf21ac0878b65435</t>
        </is>
      </c>
      <c r="B322" s="2" t="inlineStr">
        <is>
          <t>2026-09-23 10:17</t>
        </is>
      </c>
      <c r="C322" s="3" t="inlineStr">
        <is>
          <t>Ingeniero industrial esp en sst - exp en sector construcción - barranquilla</t>
        </is>
      </c>
      <c r="D322" s="3" t="inlineStr">
        <is>
          <t>Quirón Prevención Colombia S.A.S</t>
        </is>
      </c>
      <c r="E322" s="7" t="n">
        <v>0.5</v>
      </c>
      <c r="F322" s="2" t="inlineStr">
        <is>
          <t>Remoto</t>
        </is>
      </c>
      <c r="G322" s="5">
        <f>HYPERLINK("https://www.elempleo.com/co/ofertas-trabajo/ingeniero-industrial-esp-en-sst-exp-en-sector-construccion-barranquilla-1886766331", "Ver Vacante")</f>
        <v/>
      </c>
      <c r="H322" s="6" t="inlineStr"/>
      <c r="I322" s="3" t="inlineStr">
        <is>
          <t>[Afinidad: 50/100 - Afinidad Moderada] Afinidad parcial en seguridad y salud ocupacional. Modalidad: 100% Remoto en Colombia confirmado.</t>
        </is>
      </c>
      <c r="J322" s="2" t="inlineStr">
        <is>
          <t>Nueva</t>
        </is>
      </c>
      <c r="K322" s="3" t="inlineStr"/>
    </row>
    <row r="323" ht="22" customHeight="1">
      <c r="A323" s="2" t="inlineStr">
        <is>
          <t>3a03aae1fae2698b</t>
        </is>
      </c>
      <c r="B323" s="2" t="inlineStr">
        <is>
          <t>2026-09-23 10:17</t>
        </is>
      </c>
      <c r="C323" s="3" t="inlineStr">
        <is>
          <t>Ingeniero(a) Sr Obras Civiles</t>
        </is>
      </c>
      <c r="D323" s="3" t="inlineStr">
        <is>
          <t>Parex Resources</t>
        </is>
      </c>
      <c r="E323" s="7" t="n">
        <v>0.5</v>
      </c>
      <c r="F323" s="2" t="inlineStr">
        <is>
          <t>Remoto</t>
        </is>
      </c>
      <c r="G323" s="5">
        <f>HYPERLINK("https://co.linkedin.com/jobs/view/ingeniero-a-sr-obras-civiles-at-parex-resources-4436029487", "Ver Vacante")</f>
        <v/>
      </c>
      <c r="H323" s="6" t="inlineStr"/>
      <c r="I323" s="3" t="inlineStr">
        <is>
          <t>[Afinidad: 50/100 - Afinidad Moderada] Afinidad en disciplina base (Ingeniera Civil Especialista en Vías y SST) sin especialidad directa en vías/SST. Modalidad: 100% Remoto en Colombia confirmado.</t>
        </is>
      </c>
      <c r="J323" s="2" t="inlineStr">
        <is>
          <t>Nueva</t>
        </is>
      </c>
      <c r="K323" s="3" t="inlineStr"/>
    </row>
    <row r="324" ht="22" customHeight="1">
      <c r="A324" s="2" t="inlineStr">
        <is>
          <t>32f893fe802cdb50</t>
        </is>
      </c>
      <c r="B324" s="2" t="inlineStr">
        <is>
          <t>2026-09-24 15:49</t>
        </is>
      </c>
      <c r="C324" s="3" t="inlineStr">
        <is>
          <t>Director de Proyectos Construcción/impermeabilización</t>
        </is>
      </c>
      <c r="D324" s="3" t="inlineStr">
        <is>
          <t>Adecco Colombia S.A.</t>
        </is>
      </c>
      <c r="E324" s="7" t="n">
        <v>0.5</v>
      </c>
      <c r="F324" s="2" t="inlineStr">
        <is>
          <t>Remoto</t>
        </is>
      </c>
      <c r="G324" s="5">
        <f>HYPERLINK("https://co.computrabajo.com/ofertas-de-trabajo/oferta-de-trabajo-de-director-de-proyectos-construccionimpermeabilizacion-en-bogota-dc-362312C315753AF861373E686DCF3405", "Ver Vacante")</f>
        <v/>
      </c>
      <c r="H324" s="6" t="inlineStr"/>
      <c r="I324" s="3" t="inlineStr">
        <is>
          <t>[Afinidad: 50/100 - Afinidad Moderada] Afinidad en disciplina base (Ingeniera Civil Especialista en Vías y SST) sin especialidad directa en vías/SST. Modalidad: 100% Remoto en Colombia confirmado.</t>
        </is>
      </c>
      <c r="J324" s="2" t="inlineStr">
        <is>
          <t>Nueva</t>
        </is>
      </c>
      <c r="K324" s="3" t="inlineStr"/>
    </row>
    <row r="325" ht="22" customHeight="1">
      <c r="A325" s="2" t="inlineStr">
        <is>
          <t>c9aa3304763a1c02</t>
        </is>
      </c>
      <c r="B325" s="2" t="inlineStr">
        <is>
          <t>2026-09-24 15:49</t>
        </is>
      </c>
      <c r="C325" s="3" t="inlineStr">
        <is>
          <t>Gerente de proyecto de implementación erp siesa</t>
        </is>
      </c>
      <c r="D325" s="3" t="inlineStr">
        <is>
          <t>Confidencial</t>
        </is>
      </c>
      <c r="E325" s="7" t="n">
        <v>0.5</v>
      </c>
      <c r="F325" s="2" t="inlineStr">
        <is>
          <t>Remoto</t>
        </is>
      </c>
      <c r="G325" s="5">
        <f>HYPERLINK("https://www.elempleo.com/co/ofertas-trabajo/gerente-de-proyecto-de-implementacion-erp-siesa-1886759247", "Ver Vacante")</f>
        <v/>
      </c>
      <c r="H325" s="6" t="inlineStr"/>
      <c r="I325" s="3" t="inlineStr">
        <is>
          <t>[Afinidad: 50/100 - Afinidad Moderada] Afinidad en disciplina base (Ingeniera Civil Especialista en Vías y SST) sin especialidad directa en vías/SST. Modalidad: 100% Remoto en Colombia confirmado.</t>
        </is>
      </c>
      <c r="J325" s="2" t="inlineStr">
        <is>
          <t>Nueva</t>
        </is>
      </c>
      <c r="K325" s="3" t="inlineStr"/>
    </row>
    <row r="326" ht="22" customHeight="1">
      <c r="A326" s="2" t="inlineStr">
        <is>
          <t>5d33b91bceb27cc7</t>
        </is>
      </c>
      <c r="B326" s="2" t="inlineStr">
        <is>
          <t>2026-09-24 15:49</t>
        </is>
      </c>
      <c r="C326" s="3" t="inlineStr">
        <is>
          <t>Asesor en prevención sst</t>
        </is>
      </c>
      <c r="D326" s="3" t="inlineStr">
        <is>
          <t>SONDA</t>
        </is>
      </c>
      <c r="E326" s="7" t="n">
        <v>0.5</v>
      </c>
      <c r="F326" s="2" t="inlineStr">
        <is>
          <t>Remoto</t>
        </is>
      </c>
      <c r="G326" s="5">
        <f>HYPERLINK("https://www.elempleo.com/co/ofertas-trabajo/asesor-en-prevencion-sst-1886748210", "Ver Vacante")</f>
        <v/>
      </c>
      <c r="H326" s="6" t="inlineStr"/>
      <c r="I326" s="3" t="inlineStr">
        <is>
          <t>[Afinidad: 50/100 - Afinidad Moderada] Afinidad parcial en seguridad y salud ocupacional. Modalidad: 100% Remoto en Colombia confirmado.</t>
        </is>
      </c>
      <c r="J326" s="2" t="inlineStr">
        <is>
          <t>Nueva</t>
        </is>
      </c>
      <c r="K326" s="3" t="inlineStr"/>
    </row>
    <row r="327" ht="22" customHeight="1">
      <c r="A327" s="2" t="inlineStr">
        <is>
          <t>a8091ac7ae978c56</t>
        </is>
      </c>
      <c r="B327" s="2" t="inlineStr">
        <is>
          <t>2026-09-24 15:50</t>
        </is>
      </c>
      <c r="C327" s="3" t="inlineStr">
        <is>
          <t>Senior Engineer/Specialist - Structural/Civil</t>
        </is>
      </c>
      <c r="D327" s="3" t="inlineStr">
        <is>
          <t>Kent</t>
        </is>
      </c>
      <c r="E327" s="7" t="n">
        <v>0.5</v>
      </c>
      <c r="F327" s="2" t="inlineStr">
        <is>
          <t>Remoto</t>
        </is>
      </c>
      <c r="G327" s="5">
        <f>HYPERLINK("https://co.linkedin.com/jobs/view/senior-engineer-specialist-structural-civil-at-kent-4448228012", "Ver Vacante")</f>
        <v/>
      </c>
      <c r="H327" s="6" t="inlineStr"/>
      <c r="I327" s="3" t="inlineStr">
        <is>
          <t>[Afinidad: 50/100 - Afinidad Moderada] Afinidad en disciplina base (Ingeniera Civil Especialista en Vías y SST) sin especialidad directa en vías/SST. Modalidad: 100% Remoto en Colombia confirmado.</t>
        </is>
      </c>
      <c r="J327" s="2" t="inlineStr">
        <is>
          <t>Nueva</t>
        </is>
      </c>
      <c r="K327" s="3" t="inlineStr"/>
    </row>
    <row r="328" ht="22" customHeight="1">
      <c r="A328" s="2" t="inlineStr">
        <is>
          <t>f3a1b7629bfb5091</t>
        </is>
      </c>
      <c r="B328" s="2" t="inlineStr">
        <is>
          <t>2026-09-24 15:50</t>
        </is>
      </c>
      <c r="C328" s="3" t="inlineStr">
        <is>
          <t>Ingeniero de Infraestructura Física y Mantenimiento / Galapa</t>
        </is>
      </c>
      <c r="D328" s="3" t="inlineStr">
        <is>
          <t>Coopidrogas</t>
        </is>
      </c>
      <c r="E328" s="7" t="n">
        <v>0.5</v>
      </c>
      <c r="F328" s="2" t="inlineStr">
        <is>
          <t>Remoto</t>
        </is>
      </c>
      <c r="G328" s="5">
        <f>HYPERLINK("https://co.linkedin.com/jobs/view/ingeniero-de-infraestructura-f%C3%ADsica-y-mantenimiento-galapa-at-coopidrogas-4447216390", "Ver Vacante")</f>
        <v/>
      </c>
      <c r="H328" s="6" t="inlineStr"/>
      <c r="I328" s="3" t="inlineStr">
        <is>
          <t>[Afinidad: 50/100 - Afinidad Moderada] Afinidad parcial en infraestructura vial y transporte. Modalidad: 100% Remoto en Colombia confirmado.</t>
        </is>
      </c>
      <c r="J328" s="2" t="inlineStr">
        <is>
          <t>Nueva</t>
        </is>
      </c>
      <c r="K328" s="3" t="inlineStr"/>
    </row>
    <row r="329" ht="22" customHeight="1">
      <c r="A329" s="2" t="inlineStr">
        <is>
          <t>7cc53930dd68fddd</t>
        </is>
      </c>
      <c r="B329" s="2" t="inlineStr">
        <is>
          <t>2026-09-22 05:09</t>
        </is>
      </c>
      <c r="C329" s="3" t="inlineStr">
        <is>
          <t>Líder de Seguridad y salud en el trabajo</t>
        </is>
      </c>
      <c r="D329" s="3" t="inlineStr">
        <is>
          <t>Importante empresa del sector</t>
        </is>
      </c>
      <c r="E329" s="7" t="n">
        <v>0.5</v>
      </c>
      <c r="F329" s="2" t="inlineStr">
        <is>
          <t>Remoto</t>
        </is>
      </c>
      <c r="G329" s="5">
        <f>HYPERLINK("https://co.computrabajo.com/ofertas-de-trabajo/oferta-de-trabajo-de-lider-de-seguridad-y-salud-en-el-trabajo-en-bogota-dc-1FA3664D15D5571061373E686DCF3405", "Ver Vacante")</f>
        <v/>
      </c>
      <c r="H329" s="6" t="inlineStr"/>
      <c r="I329" s="3" t="inlineStr">
        <is>
          <t>[Afinidad: 50/100 - Afinidad Moderada] Afinidad parcial en seguridad y salud ocupacional. Modalidad: 100% Remoto en Colombia confirmado.</t>
        </is>
      </c>
      <c r="J329" s="2" t="inlineStr">
        <is>
          <t>Nueva</t>
        </is>
      </c>
      <c r="K329" s="3" t="inlineStr"/>
    </row>
    <row r="330" ht="22" customHeight="1">
      <c r="A330" s="2" t="inlineStr">
        <is>
          <t>8f2604180c4175aa</t>
        </is>
      </c>
      <c r="B330" s="2" t="inlineStr">
        <is>
          <t>2026-09-22 05:09</t>
        </is>
      </c>
      <c r="C330" s="3" t="inlineStr">
        <is>
          <t>Líder hseq</t>
        </is>
      </c>
      <c r="D330" s="3" t="inlineStr">
        <is>
          <t>Grupo Good</t>
        </is>
      </c>
      <c r="E330" s="7" t="n">
        <v>0.5</v>
      </c>
      <c r="F330" s="2" t="inlineStr">
        <is>
          <t>Remoto</t>
        </is>
      </c>
      <c r="G330" s="5">
        <f>HYPERLINK("https://www.elempleo.com/co/ofertas-trabajo/lider-hseq-1886758267", "Ver Vacante")</f>
        <v/>
      </c>
      <c r="H330" s="6" t="inlineStr"/>
      <c r="I330" s="3" t="inlineStr">
        <is>
          <t>[Afinidad: 50/100 - Afinidad Moderada] Afinidad parcial en seguridad y salud ocupacional. Modalidad: 100% Remoto en Colombia confirmado.</t>
        </is>
      </c>
      <c r="J330" s="2" t="inlineStr">
        <is>
          <t>Nueva</t>
        </is>
      </c>
      <c r="K330" s="3" t="inlineStr"/>
    </row>
    <row r="331" ht="22" customHeight="1">
      <c r="A331" s="2" t="inlineStr">
        <is>
          <t>c996b309ea31c398</t>
        </is>
      </c>
      <c r="B331" s="2" t="inlineStr">
        <is>
          <t>2026-09-22 05:09</t>
        </is>
      </c>
      <c r="C331" s="3" t="inlineStr">
        <is>
          <t>Lider hseq</t>
        </is>
      </c>
      <c r="D331" s="3" t="inlineStr">
        <is>
          <t>Confidencial</t>
        </is>
      </c>
      <c r="E331" s="7" t="n">
        <v>0.5</v>
      </c>
      <c r="F331" s="2" t="inlineStr">
        <is>
          <t>Remoto</t>
        </is>
      </c>
      <c r="G331" s="5">
        <f>HYPERLINK("https://www.elempleo.com/co/ofertas-trabajo/lider-hseq-1886767416", "Ver Vacante")</f>
        <v/>
      </c>
      <c r="H331" s="6" t="inlineStr"/>
      <c r="I331" s="3" t="inlineStr">
        <is>
          <t>[Afinidad: 50/100 - Afinidad Moderada] Afinidad parcial en seguridad y salud ocupacional. Modalidad: 100% Remoto en Colombia confirmado.</t>
        </is>
      </c>
      <c r="J331" s="2" t="inlineStr">
        <is>
          <t>Nueva</t>
        </is>
      </c>
      <c r="K331" s="3" t="inlineStr"/>
    </row>
    <row r="332" ht="22" customHeight="1">
      <c r="A332" s="2" t="inlineStr">
        <is>
          <t>1a35e87760c6acbe</t>
        </is>
      </c>
      <c r="B332" s="2" t="inlineStr">
        <is>
          <t>2026-09-22 05:09</t>
        </is>
      </c>
      <c r="C332" s="3" t="inlineStr">
        <is>
          <t>Líder hseq</t>
        </is>
      </c>
      <c r="D332" s="3" t="inlineStr">
        <is>
          <t>Confidencial</t>
        </is>
      </c>
      <c r="E332" s="7" t="n">
        <v>0.5</v>
      </c>
      <c r="F332" s="2" t="inlineStr">
        <is>
          <t>Remoto</t>
        </is>
      </c>
      <c r="G332" s="5">
        <f>HYPERLINK("https://www.elempleo.com/co/ofertas-trabajo/lider-hseq-1886761912", "Ver Vacante")</f>
        <v/>
      </c>
      <c r="H332" s="6" t="inlineStr"/>
      <c r="I332" s="3" t="inlineStr">
        <is>
          <t>[Afinidad: 50/100 - Afinidad Moderada] Afinidad parcial en seguridad y salud ocupacional. Modalidad: 100% Remoto en Colombia confirmado.</t>
        </is>
      </c>
      <c r="J332" s="2" t="inlineStr">
        <is>
          <t>Nueva</t>
        </is>
      </c>
      <c r="K332" s="3" t="inlineStr"/>
    </row>
    <row r="333" ht="22" customHeight="1">
      <c r="A333" s="2" t="inlineStr">
        <is>
          <t>ddd0530c3b22efe7</t>
        </is>
      </c>
      <c r="B333" s="2" t="inlineStr">
        <is>
          <t>2026-09-22 05:09</t>
        </is>
      </c>
      <c r="C333" s="3" t="inlineStr">
        <is>
          <t>Lider sst para la guajira</t>
        </is>
      </c>
      <c r="D333" s="3" t="inlineStr">
        <is>
          <t>Confidencial</t>
        </is>
      </c>
      <c r="E333" s="7" t="n">
        <v>0.5</v>
      </c>
      <c r="F333" s="2" t="inlineStr">
        <is>
          <t>Remoto</t>
        </is>
      </c>
      <c r="G333" s="5">
        <f>HYPERLINK("https://www.elempleo.com/co/ofertas-trabajo/lider-sst-para-la-guajira-1886764349", "Ver Vacante")</f>
        <v/>
      </c>
      <c r="H333" s="6" t="inlineStr"/>
      <c r="I333" s="3" t="inlineStr">
        <is>
          <t>[Afinidad: 50/100 - Afinidad Moderada] Afinidad parcial en seguridad y salud ocupacional. Modalidad: 100% Remoto en Colombia confirmado.</t>
        </is>
      </c>
      <c r="J333" s="2" t="inlineStr">
        <is>
          <t>Nueva</t>
        </is>
      </c>
      <c r="K333" s="3" t="inlineStr"/>
    </row>
    <row r="334" ht="22" customHeight="1">
      <c r="A334" s="2" t="inlineStr">
        <is>
          <t>5890db86961c728a</t>
        </is>
      </c>
      <c r="B334" s="2" t="inlineStr">
        <is>
          <t>2026-09-22 05:09</t>
        </is>
      </c>
      <c r="C334" s="3" t="inlineStr">
        <is>
          <t>Lider de proyectos de infraestructura</t>
        </is>
      </c>
      <c r="D334" s="3" t="inlineStr">
        <is>
          <t>Confidencial</t>
        </is>
      </c>
      <c r="E334" s="7" t="n">
        <v>0.5</v>
      </c>
      <c r="F334" s="2" t="inlineStr">
        <is>
          <t>Remoto</t>
        </is>
      </c>
      <c r="G334" s="5">
        <f>HYPERLINK("https://www.elempleo.com/co/ofertas-trabajo/lider-de-proyectos-de-infraestructura-1886763250", "Ver Vacante")</f>
        <v/>
      </c>
      <c r="H334" s="6" t="inlineStr"/>
      <c r="I334" s="3" t="inlineStr">
        <is>
          <t>[Afinidad: 50/100 - Afinidad Moderada] Afinidad parcial en infraestructura vial y transporte. Modalidad: 100% Remoto en Colombia confirmado.</t>
        </is>
      </c>
      <c r="J334" s="2" t="inlineStr">
        <is>
          <t>Nueva</t>
        </is>
      </c>
      <c r="K334" s="3" t="inlineStr"/>
    </row>
    <row r="335" ht="22" customHeight="1">
      <c r="A335" s="2" t="inlineStr">
        <is>
          <t>0b3307883dd9e76d</t>
        </is>
      </c>
      <c r="B335" s="2" t="inlineStr">
        <is>
          <t>2026-09-22 05:09</t>
        </is>
      </c>
      <c r="C335" s="3" t="inlineStr">
        <is>
          <t>Líder de Infraestructura y Estructuración de Proyectos</t>
        </is>
      </c>
      <c r="D335" s="3" t="inlineStr">
        <is>
          <t>Innova Schools Colombia</t>
        </is>
      </c>
      <c r="E335" s="7" t="n">
        <v>0.5</v>
      </c>
      <c r="F335" s="2" t="inlineStr">
        <is>
          <t>Remoto</t>
        </is>
      </c>
      <c r="G335" s="5">
        <f>HYPERLINK("https://co.linkedin.com/jobs/view/l%C3%ADder-de-infraestructura-y-estructuraci%C3%B3n-de-proyectos-at-innova-schools-colombia-4462807966", "Ver Vacante")</f>
        <v/>
      </c>
      <c r="H335" s="6" t="inlineStr"/>
      <c r="I335" s="3" t="inlineStr">
        <is>
          <t>[Afinidad: 50/100 - Afinidad Moderada] Afinidad parcial en infraestructura vial y transporte. Modalidad: 100% Remoto en Colombia confirmado.</t>
        </is>
      </c>
      <c r="J335" s="2" t="inlineStr">
        <is>
          <t>Nueva</t>
        </is>
      </c>
      <c r="K335" s="3" t="inlineStr"/>
    </row>
    <row r="336" ht="22" customHeight="1">
      <c r="A336" s="2" t="inlineStr">
        <is>
          <t>b16bf21d94be490a</t>
        </is>
      </c>
      <c r="B336" s="2" t="inlineStr">
        <is>
          <t>2026-09-22 05:09</t>
        </is>
      </c>
      <c r="C336" s="3" t="inlineStr">
        <is>
          <t>Líder HSEQ</t>
        </is>
      </c>
      <c r="D336" s="3" t="inlineStr">
        <is>
          <t>RH Group</t>
        </is>
      </c>
      <c r="E336" s="7" t="n">
        <v>0.5</v>
      </c>
      <c r="F336" s="2" t="inlineStr">
        <is>
          <t>Remoto</t>
        </is>
      </c>
      <c r="G336" s="5">
        <f>HYPERLINK("https://co.linkedin.com/jobs/view/l%C3%ADder-hseq-at-rh-group-4468612641", "Ver Vacante")</f>
        <v/>
      </c>
      <c r="H336" s="6" t="inlineStr"/>
      <c r="I336" s="3" t="inlineStr">
        <is>
          <t>[Afinidad: 50/100 - Afinidad Moderada] Afinidad parcial en seguridad y salud ocupacional. Modalidad: 100% Remoto en Colombia confirmado.</t>
        </is>
      </c>
      <c r="J336" s="2" t="inlineStr">
        <is>
          <t>Nueva</t>
        </is>
      </c>
      <c r="K336" s="3" t="inlineStr"/>
    </row>
    <row r="337" ht="22" customHeight="1">
      <c r="A337" s="2" t="inlineStr">
        <is>
          <t>cd1ed0c7003820f9</t>
        </is>
      </c>
      <c r="B337" s="2" t="inlineStr">
        <is>
          <t>2026-09-25 15:50</t>
        </is>
      </c>
      <c r="C337" s="3" t="inlineStr">
        <is>
          <t>Analista técnico HSEQ</t>
        </is>
      </c>
      <c r="D337" s="3" t="inlineStr">
        <is>
          <t>Importante empresa del sector</t>
        </is>
      </c>
      <c r="E337" s="7" t="n">
        <v>0.5</v>
      </c>
      <c r="F337" s="2" t="inlineStr">
        <is>
          <t>Remoto</t>
        </is>
      </c>
      <c r="G337" s="5">
        <f>HYPERLINK("https://co.computrabajo.com/ofertas-de-trabajo/oferta-de-trabajo-de-analista-tecnico-hseq-auxiliar-siso-en-bucaramanga-D61BC02E1336822161373E686DCF3405", "Ver Vacante")</f>
        <v/>
      </c>
      <c r="H337" s="6" t="inlineStr"/>
      <c r="I337" s="3" t="inlineStr">
        <is>
          <t>[Afinidad: 50/100 - Afinidad Moderada] Afinidad parcial en seguridad y salud ocupacional. Modalidad: 100% Remoto en Colombia confirmado.</t>
        </is>
      </c>
      <c r="J337" s="2" t="inlineStr">
        <is>
          <t>Nueva</t>
        </is>
      </c>
      <c r="K337" s="3" t="inlineStr"/>
    </row>
    <row r="338" ht="22" customHeight="1">
      <c r="A338" s="2" t="inlineStr">
        <is>
          <t>2a1cbfdbed03a387</t>
        </is>
      </c>
      <c r="B338" s="2" t="inlineStr">
        <is>
          <t>2026-09-25 15:50</t>
        </is>
      </c>
      <c r="C338" s="3" t="inlineStr">
        <is>
          <t>Analista SST/ Con Licencia Vigente</t>
        </is>
      </c>
      <c r="D338" s="3" t="inlineStr">
        <is>
          <t>Importante empresa del sector</t>
        </is>
      </c>
      <c r="E338" s="7" t="n">
        <v>0.5</v>
      </c>
      <c r="F338" s="2" t="inlineStr">
        <is>
          <t>Remoto</t>
        </is>
      </c>
      <c r="G338" s="5">
        <f>HYPERLINK("https://co.computrabajo.com/ofertas-de-trabajo/oferta-de-trabajo-de-analista-sst-con-licencia-vigente-en-bogota-dc-427AA507B61CAF9061373E686DCF3405", "Ver Vacante")</f>
        <v/>
      </c>
      <c r="H338" s="6" t="inlineStr">
        <is>
          <t>$ 1.908.000,00 (Mensual)</t>
        </is>
      </c>
      <c r="I338" s="3" t="inlineStr">
        <is>
          <t>[Afinidad: 50/100 - Afinidad Moderada] Afinidad parcial en seguridad y salud ocupacional. Modalidad: 100% Remoto en Colombia confirmado.</t>
        </is>
      </c>
      <c r="J338" s="2" t="inlineStr">
        <is>
          <t>Nueva</t>
        </is>
      </c>
      <c r="K338" s="3" t="inlineStr"/>
    </row>
    <row r="339" ht="22" customHeight="1">
      <c r="A339" s="2" t="inlineStr">
        <is>
          <t>bb3f6db46a6887f1</t>
        </is>
      </c>
      <c r="B339" s="2" t="inlineStr">
        <is>
          <t>2026-09-25 15:50</t>
        </is>
      </c>
      <c r="C339" s="3" t="inlineStr">
        <is>
          <t>Analista seguridad y salud en el trabajo</t>
        </is>
      </c>
      <c r="D339" s="3" t="inlineStr">
        <is>
          <t>GENTE UTIL S.A.</t>
        </is>
      </c>
      <c r="E339" s="7" t="n">
        <v>0.5</v>
      </c>
      <c r="F339" s="2" t="inlineStr">
        <is>
          <t>Remoto</t>
        </is>
      </c>
      <c r="G339" s="5">
        <f>HYPERLINK("https://co.computrabajo.com/ofertas-de-trabajo/oferta-de-trabajo-de-analista-seguridad-y-salud-en-el-trabajo-en-bucaramanga-217BC88A60F8BD9261373E686DCF3405", "Ver Vacante")</f>
        <v/>
      </c>
      <c r="H339" s="6" t="inlineStr">
        <is>
          <t>$ 2.700.000,00 (Mensual)</t>
        </is>
      </c>
      <c r="I339" s="3" t="inlineStr">
        <is>
          <t>[Afinidad: 50/100 - Afinidad Moderada] Afinidad parcial en seguridad y salud ocupacional. Modalidad: 100% Remoto en Colombia confirmado.</t>
        </is>
      </c>
      <c r="J339" s="2" t="inlineStr">
        <is>
          <t>Nueva</t>
        </is>
      </c>
      <c r="K339" s="3" t="inlineStr"/>
    </row>
    <row r="340" ht="22" customHeight="1">
      <c r="A340" s="2" t="inlineStr">
        <is>
          <t>1ead4f148498c379</t>
        </is>
      </c>
      <c r="B340" s="2" t="inlineStr">
        <is>
          <t>2026-09-25 15:50</t>
        </is>
      </c>
      <c r="C340" s="3" t="inlineStr">
        <is>
          <t>Analista HSEQ</t>
        </is>
      </c>
      <c r="D340" s="3" t="inlineStr">
        <is>
          <t>TNC SOLUCIONES</t>
        </is>
      </c>
      <c r="E340" s="7" t="n">
        <v>0.5</v>
      </c>
      <c r="F340" s="2" t="inlineStr">
        <is>
          <t>Remoto</t>
        </is>
      </c>
      <c r="G340" s="5">
        <f>HYPERLINK("https://co.computrabajo.com/ofertas-de-trabajo/oferta-de-trabajo-de-analista-hseq-guarne-en-guarne-E886A61EC9E5D90B61373E686DCF3405", "Ver Vacante")</f>
        <v/>
      </c>
      <c r="H340" s="6" t="inlineStr">
        <is>
          <t>$ 2.400.000,00 (Mensual)</t>
        </is>
      </c>
      <c r="I340" s="3" t="inlineStr">
        <is>
          <t>[Afinidad: 50/100 - Afinidad Moderada] Afinidad parcial en seguridad y salud ocupacional. Modalidad: 100% Remoto en Colombia confirmado.</t>
        </is>
      </c>
      <c r="J340" s="2" t="inlineStr">
        <is>
          <t>Nueva</t>
        </is>
      </c>
      <c r="K340" s="3" t="inlineStr"/>
    </row>
    <row r="341" ht="22" customHeight="1">
      <c r="A341" s="2" t="inlineStr">
        <is>
          <t>9ff1e568afbe6452</t>
        </is>
      </c>
      <c r="B341" s="2" t="inlineStr">
        <is>
          <t>2026-09-25 15:50</t>
        </is>
      </c>
      <c r="C341" s="3" t="inlineStr">
        <is>
          <t>Analista HSEQ</t>
        </is>
      </c>
      <c r="D341" s="3" t="inlineStr">
        <is>
          <t>ELIS COLOMBIA SAS</t>
        </is>
      </c>
      <c r="E341" s="7" t="n">
        <v>0.5</v>
      </c>
      <c r="F341" s="2" t="inlineStr">
        <is>
          <t>Remoto</t>
        </is>
      </c>
      <c r="G341" s="5">
        <f>HYPERLINK("https://co.computrabajo.com/ofertas-de-trabajo/oferta-de-trabajo-de-analista-hseq-medellin-en-medellin-B43CB6F9EBA28A8161373E686DCF3405", "Ver Vacante")</f>
        <v/>
      </c>
      <c r="H341" s="6" t="inlineStr">
        <is>
          <t>$ 1.951.000,00 (Mensual)</t>
        </is>
      </c>
      <c r="I341" s="3" t="inlineStr">
        <is>
          <t>[Afinidad: 50/100 - Afinidad Moderada] Afinidad parcial en seguridad y salud ocupacional. Modalidad: 100% Remoto en Colombia confirmado.</t>
        </is>
      </c>
      <c r="J341" s="2" t="inlineStr">
        <is>
          <t>Nueva</t>
        </is>
      </c>
      <c r="K341" s="3" t="inlineStr"/>
    </row>
    <row r="342" ht="22" customHeight="1">
      <c r="A342" s="2" t="inlineStr">
        <is>
          <t>8b0ee5de6334b5ca</t>
        </is>
      </c>
      <c r="B342" s="2" t="inlineStr">
        <is>
          <t>2026-09-25 15:50</t>
        </is>
      </c>
      <c r="C342" s="3" t="inlineStr">
        <is>
          <t>Analista Ambiental HSEQ</t>
        </is>
      </c>
      <c r="D342" s="3" t="inlineStr">
        <is>
          <t>Importante empresa del sector</t>
        </is>
      </c>
      <c r="E342" s="7" t="n">
        <v>0.5</v>
      </c>
      <c r="F342" s="2" t="inlineStr">
        <is>
          <t>Remoto</t>
        </is>
      </c>
      <c r="G342" s="5">
        <f>HYPERLINK("https://co.computrabajo.com/ofertas-de-trabajo/oferta-de-trabajo-de-analista-ambiental-hseq-lider-de-sostenibilidad-ambiental-ingeniero-en-bogota-dc-BB1D9E72E010F26D61373E686DCF3405", "Ver Vacante")</f>
        <v/>
      </c>
      <c r="H342" s="6" t="inlineStr"/>
      <c r="I342" s="3" t="inlineStr">
        <is>
          <t>[Afinidad: 50/100 - Afinidad Moderada] Afinidad parcial en seguridad y salud ocupacional. Modalidad: 100% Remoto en Colombia confirmado.</t>
        </is>
      </c>
      <c r="J342" s="2" t="inlineStr">
        <is>
          <t>Nueva</t>
        </is>
      </c>
      <c r="K342" s="3" t="inlineStr"/>
    </row>
    <row r="343" ht="22" customHeight="1">
      <c r="A343" s="2" t="inlineStr">
        <is>
          <t>cf943e439e7fa597</t>
        </is>
      </c>
      <c r="B343" s="2" t="inlineStr">
        <is>
          <t>2026-09-25 15:50</t>
        </is>
      </c>
      <c r="C343" s="3" t="inlineStr">
        <is>
          <t>Analista de SST sector alimentos</t>
        </is>
      </c>
      <c r="D343" s="3" t="inlineStr">
        <is>
          <t>GENTE UTIL S.A.</t>
        </is>
      </c>
      <c r="E343" s="7" t="n">
        <v>0.5</v>
      </c>
      <c r="F343" s="2" t="inlineStr">
        <is>
          <t>Remoto</t>
        </is>
      </c>
      <c r="G343" s="5">
        <f>HYPERLINK("https://co.computrabajo.com/ofertas-de-trabajo/oferta-de-trabajo-de-analista-de-sst-sector-alimentos-en-bucaramanga-03C3091ADF2940A061373E686DCF3405", "Ver Vacante")</f>
        <v/>
      </c>
      <c r="H343" s="6" t="inlineStr">
        <is>
          <t>$ 2.700.000,00 (Mensual)</t>
        </is>
      </c>
      <c r="I343" s="3" t="inlineStr">
        <is>
          <t>[Afinidad: 50/100 - Afinidad Moderada] Afinidad parcial en seguridad y salud ocupacional. Modalidad: 100% Remoto en Colombia confirmado.</t>
        </is>
      </c>
      <c r="J343" s="2" t="inlineStr">
        <is>
          <t>Nueva</t>
        </is>
      </c>
      <c r="K343" s="3" t="inlineStr"/>
    </row>
    <row r="344" ht="22" customHeight="1">
      <c r="A344" s="2" t="inlineStr">
        <is>
          <t>d447a89ce66534d3</t>
        </is>
      </c>
      <c r="B344" s="2" t="inlineStr">
        <is>
          <t>2026-09-25 15:50</t>
        </is>
      </c>
      <c r="C344" s="3" t="inlineStr">
        <is>
          <t>Analista pesv</t>
        </is>
      </c>
      <c r="D344" s="3" t="inlineStr">
        <is>
          <t>GYP BOGOTA S.A.S.</t>
        </is>
      </c>
      <c r="E344" s="7" t="n">
        <v>0.5</v>
      </c>
      <c r="F344" s="2" t="inlineStr">
        <is>
          <t>Remoto</t>
        </is>
      </c>
      <c r="G344" s="5">
        <f>HYPERLINK("https://co.computrabajo.com/ofertas-de-trabajo/oferta-de-trabajo-de-analista-pesv-junior-en-bogota-dc-BCB0395C3C5D8A2F61373E686DCF3405", "Ver Vacante")</f>
        <v/>
      </c>
      <c r="H344" s="6" t="inlineStr">
        <is>
          <t>$ 2.200.000,00 (Mensual)</t>
        </is>
      </c>
      <c r="I344" s="3" t="inlineStr">
        <is>
          <t>[Afinidad: 50/100 - Afinidad Moderada] Afinidad parcial en infraestructura vial y transporte. Modalidad: 100% Remoto en Colombia confirmado.</t>
        </is>
      </c>
      <c r="J344" s="2" t="inlineStr">
        <is>
          <t>Nueva</t>
        </is>
      </c>
      <c r="K344" s="3" t="inlineStr"/>
    </row>
    <row r="345" ht="22" customHeight="1">
      <c r="A345" s="2" t="inlineStr">
        <is>
          <t>8e20d357d678b79d</t>
        </is>
      </c>
      <c r="B345" s="2" t="inlineStr">
        <is>
          <t>2026-09-25 15:50</t>
        </is>
      </c>
      <c r="C345" s="3" t="inlineStr">
        <is>
          <t>Analista HSEQ</t>
        </is>
      </c>
      <c r="D345" s="3" t="inlineStr">
        <is>
          <t>Alianza Temporal S.A.S</t>
        </is>
      </c>
      <c r="E345" s="7" t="n">
        <v>0.5</v>
      </c>
      <c r="F345" s="2" t="inlineStr">
        <is>
          <t>Remoto</t>
        </is>
      </c>
      <c r="G345" s="5">
        <f>HYPERLINK("https://co.computrabajo.com/ofertas-de-trabajo/oferta-de-trabajo-de-analista-hseq-en-bogota-dc-1C936FC8891CA02A61373E686DCF3405", "Ver Vacante")</f>
        <v/>
      </c>
      <c r="H345" s="6" t="inlineStr">
        <is>
          <t>$ 2.800.000,00 (Mensual)</t>
        </is>
      </c>
      <c r="I345" s="3" t="inlineStr">
        <is>
          <t>[Afinidad: 50/100 - Afinidad Moderada] Afinidad parcial en seguridad y salud ocupacional. Modalidad: 100% Remoto en Colombia confirmado.</t>
        </is>
      </c>
      <c r="J345" s="2" t="inlineStr">
        <is>
          <t>Nueva</t>
        </is>
      </c>
      <c r="K345" s="3" t="inlineStr"/>
    </row>
    <row r="346" ht="22" customHeight="1">
      <c r="A346" s="2" t="inlineStr">
        <is>
          <t>9d2ac9f3d7cb9acd</t>
        </is>
      </c>
      <c r="B346" s="2" t="inlineStr">
        <is>
          <t>2026-09-25 15:50</t>
        </is>
      </c>
      <c r="C346" s="3" t="inlineStr">
        <is>
          <t>Analista HSEQ / SGI</t>
        </is>
      </c>
      <c r="D346" s="3" t="inlineStr">
        <is>
          <t>Alianza Temporal S.A.S</t>
        </is>
      </c>
      <c r="E346" s="7" t="n">
        <v>0.5</v>
      </c>
      <c r="F346" s="2" t="inlineStr">
        <is>
          <t>Remoto</t>
        </is>
      </c>
      <c r="G346" s="5">
        <f>HYPERLINK("https://co.computrabajo.com/ofertas-de-trabajo/oferta-de-trabajo-de-analista-hseq-sgi-en-bogota-dc-0CE6D56C083ABD1961373E686DCF3405", "Ver Vacante")</f>
        <v/>
      </c>
      <c r="H346" s="6" t="inlineStr">
        <is>
          <t>$ 2.800.000,00 (Mensual)</t>
        </is>
      </c>
      <c r="I346" s="3" t="inlineStr">
        <is>
          <t>[Afinidad: 50/100 - Afinidad Moderada] Afinidad parcial en seguridad y salud ocupacional. Modalidad: 100% Remoto en Colombia confirmado.</t>
        </is>
      </c>
      <c r="J346" s="2" t="inlineStr">
        <is>
          <t>Nueva</t>
        </is>
      </c>
      <c r="K346" s="3" t="inlineStr"/>
    </row>
    <row r="347" ht="22" customHeight="1">
      <c r="A347" s="2" t="inlineStr">
        <is>
          <t>4deabccd5a9cdc25</t>
        </is>
      </c>
      <c r="B347" s="2" t="inlineStr">
        <is>
          <t>2026-09-25 15:50</t>
        </is>
      </c>
      <c r="C347" s="3" t="inlineStr">
        <is>
          <t>Analista HSEQ</t>
        </is>
      </c>
      <c r="D347" s="3" t="inlineStr">
        <is>
          <t>Alianza Temporal S.A.S</t>
        </is>
      </c>
      <c r="E347" s="7" t="n">
        <v>0.5</v>
      </c>
      <c r="F347" s="2" t="inlineStr">
        <is>
          <t>Remoto</t>
        </is>
      </c>
      <c r="G347" s="5">
        <f>HYPERLINK("https://co.computrabajo.com/ofertas-de-trabajo/oferta-de-trabajo-de-analista-hseq-en-bogota-dc-448326405347581761373E686DCF3405", "Ver Vacante")</f>
        <v/>
      </c>
      <c r="H347" s="6" t="inlineStr">
        <is>
          <t>$ 2.800.000,00 (Mensual)</t>
        </is>
      </c>
      <c r="I347" s="3" t="inlineStr">
        <is>
          <t>[Afinidad: 50/100 - Afinidad Moderada] Afinidad parcial en seguridad y salud ocupacional. Modalidad: 100% Remoto en Colombia confirmado.</t>
        </is>
      </c>
      <c r="J347" s="2" t="inlineStr">
        <is>
          <t>Nueva</t>
        </is>
      </c>
      <c r="K347" s="3" t="inlineStr"/>
    </row>
    <row r="348" ht="22" customHeight="1">
      <c r="A348" s="2" t="inlineStr">
        <is>
          <t>04a62710351898c7</t>
        </is>
      </c>
      <c r="B348" s="2" t="inlineStr">
        <is>
          <t>2026-09-25 15:50</t>
        </is>
      </c>
      <c r="C348" s="3" t="inlineStr">
        <is>
          <t>Profesional en SST analista SIG</t>
        </is>
      </c>
      <c r="D348" s="3" t="inlineStr">
        <is>
          <t>MULTISOLUCIONES A&amp;A SAS</t>
        </is>
      </c>
      <c r="E348" s="7" t="n">
        <v>0.5</v>
      </c>
      <c r="F348" s="2" t="inlineStr">
        <is>
          <t>Remoto</t>
        </is>
      </c>
      <c r="G348" s="5">
        <f>HYPERLINK("https://co.computrabajo.com/ofertas-de-trabajo/oferta-de-trabajo-de-profesional-en-sst-analista-sig-lunes-a-viernes-zona-alcazares-en-bogota-dc-44FDC591768D6E7361373E686DCF3405", "Ver Vacante")</f>
        <v/>
      </c>
      <c r="H348" s="6" t="inlineStr">
        <is>
          <t>$ 2.500.000,00 (Mensual)</t>
        </is>
      </c>
      <c r="I348" s="3" t="inlineStr">
        <is>
          <t>[Afinidad: 50/100 - Afinidad Moderada] Afinidad parcial en seguridad y salud ocupacional. Modalidad: 100% Remoto en Colombia confirmado.</t>
        </is>
      </c>
      <c r="J348" s="2" t="inlineStr">
        <is>
          <t>Nueva</t>
        </is>
      </c>
      <c r="K348" s="3" t="inlineStr"/>
    </row>
    <row r="349" ht="22" customHeight="1">
      <c r="A349" s="2" t="inlineStr">
        <is>
          <t>c7446dc528c6d347</t>
        </is>
      </c>
      <c r="B349" s="2" t="inlineStr">
        <is>
          <t>2026-09-25 15:50</t>
        </is>
      </c>
      <c r="C349" s="3" t="inlineStr">
        <is>
          <t>Profesional en SST analista SIG</t>
        </is>
      </c>
      <c r="D349" s="3" t="inlineStr">
        <is>
          <t>MULTISOLUCIONES A&amp;A SAS</t>
        </is>
      </c>
      <c r="E349" s="7" t="n">
        <v>0.5</v>
      </c>
      <c r="F349" s="2" t="inlineStr">
        <is>
          <t>Remoto</t>
        </is>
      </c>
      <c r="G349" s="5">
        <f>HYPERLINK("https://co.computrabajo.com/ofertas-de-trabajo/oferta-de-trabajo-de-profesional-en-sst-analista-sig-lunes-a-viernes-zona-alcazares-en-bogota-dc-1B88E58AD1C7CC5061373E686DCF3405", "Ver Vacante")</f>
        <v/>
      </c>
      <c r="H349" s="6" t="inlineStr">
        <is>
          <t>$ 2.500.000,00 (Mensual)</t>
        </is>
      </c>
      <c r="I349" s="3" t="inlineStr">
        <is>
          <t>[Afinidad: 50/100 - Afinidad Moderada] Afinidad parcial en seguridad y salud ocupacional. Modalidad: 100% Remoto en Colombia confirmado.</t>
        </is>
      </c>
      <c r="J349" s="2" t="inlineStr">
        <is>
          <t>Nueva</t>
        </is>
      </c>
      <c r="K349" s="3" t="inlineStr"/>
    </row>
    <row r="350" ht="22" customHeight="1">
      <c r="A350" s="2" t="inlineStr">
        <is>
          <t>fbadbced248d18e1</t>
        </is>
      </c>
      <c r="B350" s="2" t="inlineStr">
        <is>
          <t>2026-09-25 15:50</t>
        </is>
      </c>
      <c r="C350" s="3" t="inlineStr">
        <is>
          <t>Consultor en Seguridad Vial</t>
        </is>
      </c>
      <c r="D350" s="3" t="inlineStr">
        <is>
          <t>CORPORACION SIGMA SAS</t>
        </is>
      </c>
      <c r="E350" s="7" t="n">
        <v>0.5</v>
      </c>
      <c r="F350" s="2" t="inlineStr">
        <is>
          <t>Remoto</t>
        </is>
      </c>
      <c r="G350" s="5">
        <f>HYPERLINK("https://co.computrabajo.com/ofertas-de-trabajo/oferta-de-trabajo-de-consultor-en-seguridad-vial-pesv-y-gestion-del-riego-vial-en-bogota-dc-A22BEA7B6CD0ECAF61373E686DCF3405", "Ver Vacante")</f>
        <v/>
      </c>
      <c r="H350" s="6" t="inlineStr"/>
      <c r="I350" s="3" t="inlineStr">
        <is>
          <t>[Afinidad: 50/100 - Afinidad Moderada] Afinidad parcial en infraestructura vial y transporte. Modalidad: 100% Remoto en Colombia confirmado.</t>
        </is>
      </c>
      <c r="J350" s="2" t="inlineStr">
        <is>
          <t>Nueva</t>
        </is>
      </c>
      <c r="K350" s="3" t="inlineStr"/>
    </row>
    <row r="351" ht="22" customHeight="1">
      <c r="A351" s="2" t="inlineStr">
        <is>
          <t>f5f6fb5fa69e5858</t>
        </is>
      </c>
      <c r="B351" s="2" t="inlineStr">
        <is>
          <t>2026-09-25 15:50</t>
        </is>
      </c>
      <c r="C351" s="3" t="inlineStr">
        <is>
          <t>Analista SST</t>
        </is>
      </c>
      <c r="D351" s="3" t="inlineStr">
        <is>
          <t>S&amp;A Servicios y Asesorias</t>
        </is>
      </c>
      <c r="E351" s="7" t="n">
        <v>0.5</v>
      </c>
      <c r="F351" s="2" t="inlineStr">
        <is>
          <t>Remoto</t>
        </is>
      </c>
      <c r="G351" s="5">
        <f>HYPERLINK("https://co.computrabajo.com/ofertas-de-trabajo/oferta-de-trabajo-de-analista-sst-medellin-en-medellin-08A3D3F6FA52C2AC61373E686DCF3405", "Ver Vacante")</f>
        <v/>
      </c>
      <c r="H351" s="6" t="inlineStr">
        <is>
          <t>$ 2.700.000,00 (Mensual)</t>
        </is>
      </c>
      <c r="I351" s="3" t="inlineStr">
        <is>
          <t>[Afinidad: 50/100 - Afinidad Moderada] Afinidad parcial en seguridad y salud ocupacional. Modalidad: 100% Remoto en Colombia confirmado.</t>
        </is>
      </c>
      <c r="J351" s="2" t="inlineStr">
        <is>
          <t>Nueva</t>
        </is>
      </c>
      <c r="K351" s="3" t="inlineStr"/>
    </row>
    <row r="352" ht="22" customHeight="1">
      <c r="A352" s="2" t="inlineStr">
        <is>
          <t>6fd98edb1903dcca</t>
        </is>
      </c>
      <c r="B352" s="2" t="inlineStr">
        <is>
          <t>2026-09-25 15:50</t>
        </is>
      </c>
      <c r="C352" s="3" t="inlineStr">
        <is>
          <t>Analista SST para incapacidad</t>
        </is>
      </c>
      <c r="D352" s="3" t="inlineStr">
        <is>
          <t>PQP. Productos Quimicos Panamericanos S.A</t>
        </is>
      </c>
      <c r="E352" s="7" t="n">
        <v>0.5</v>
      </c>
      <c r="F352" s="2" t="inlineStr">
        <is>
          <t>Remoto</t>
        </is>
      </c>
      <c r="G352" s="5">
        <f>HYPERLINK("https://co.computrabajo.com/ofertas-de-trabajo/oferta-de-trabajo-de-analista-sst-para-incapacidad-barranquilla-en-barranquilla-2ADE011329ECD43761373E686DCF3405", "Ver Vacante")</f>
        <v/>
      </c>
      <c r="H352" s="6" t="inlineStr"/>
      <c r="I352" s="3" t="inlineStr">
        <is>
          <t>[Afinidad: 50/100 - Afinidad Moderada] Afinidad parcial en seguridad y salud ocupacional. Modalidad: 100% Remoto en Colombia confirmado.</t>
        </is>
      </c>
      <c r="J352" s="2" t="inlineStr">
        <is>
          <t>Nueva</t>
        </is>
      </c>
      <c r="K352" s="3" t="inlineStr"/>
    </row>
    <row r="353" ht="22" customHeight="1">
      <c r="A353" s="2" t="inlineStr">
        <is>
          <t>541d99c3c6e9a353</t>
        </is>
      </c>
      <c r="B353" s="2" t="inlineStr">
        <is>
          <t>2026-09-25 15:50</t>
        </is>
      </c>
      <c r="C353" s="3" t="inlineStr">
        <is>
          <t>Analista de infraestructura i (redes/firewall) - presencial en bogotá</t>
        </is>
      </c>
      <c r="D353" s="3" t="inlineStr">
        <is>
          <t>Cinte Colombia SAS</t>
        </is>
      </c>
      <c r="E353" s="7" t="n">
        <v>0.5</v>
      </c>
      <c r="F353" s="2" t="inlineStr">
        <is>
          <t>Remoto</t>
        </is>
      </c>
      <c r="G353" s="5">
        <f>HYPERLINK("https://www.elempleo.com/co/ofertas-trabajo/analista-de-infraestructura-i-redes-firewall-presencial-en-bogota-1886756899", "Ver Vacante")</f>
        <v/>
      </c>
      <c r="H353" s="6" t="inlineStr"/>
      <c r="I353" s="3" t="inlineStr">
        <is>
          <t>[Afinidad: 50/100 - Afinidad Moderada] Afinidad parcial en infraestructura vial y transporte. Modalidad: 100% Remoto en Colombia confirmado.</t>
        </is>
      </c>
      <c r="J353" s="2" t="inlineStr">
        <is>
          <t>Nueva</t>
        </is>
      </c>
      <c r="K353" s="3" t="inlineStr"/>
    </row>
    <row r="354" ht="22" customHeight="1">
      <c r="A354" s="2" t="inlineStr">
        <is>
          <t>03a8ea34d80e8a34</t>
        </is>
      </c>
      <c r="B354" s="2" t="inlineStr">
        <is>
          <t>2026-09-25 15:50</t>
        </is>
      </c>
      <c r="C354" s="3" t="inlineStr">
        <is>
          <t>Analista de seguridad y salud en el trabajo funza presencial</t>
        </is>
      </c>
      <c r="D354" s="3" t="inlineStr">
        <is>
          <t>Confidencial</t>
        </is>
      </c>
      <c r="E354" s="7" t="n">
        <v>0.5</v>
      </c>
      <c r="F354" s="2" t="inlineStr">
        <is>
          <t>Remoto</t>
        </is>
      </c>
      <c r="G354" s="5">
        <f>HYPERLINK("https://www.elempleo.com/co/ofertas-trabajo/analista-de-seguridad-y-salud-en-el-trabajo-funza-presencial-1886725219", "Ver Vacante")</f>
        <v/>
      </c>
      <c r="H354" s="6" t="inlineStr"/>
      <c r="I354" s="3" t="inlineStr">
        <is>
          <t>[Afinidad: 50/100 - Afinidad Moderada] Afinidad parcial en seguridad y salud ocupacional. Modalidad: 100% Remoto en Colombia confirmado.</t>
        </is>
      </c>
      <c r="J354" s="2" t="inlineStr">
        <is>
          <t>Nueva</t>
        </is>
      </c>
      <c r="K354" s="3" t="inlineStr"/>
    </row>
    <row r="355" ht="22" customHeight="1">
      <c r="A355" s="2" t="inlineStr">
        <is>
          <t>540178b2a701337c</t>
        </is>
      </c>
      <c r="B355" s="2" t="inlineStr">
        <is>
          <t>2026-09-25 15:50</t>
        </is>
      </c>
      <c r="C355" s="3" t="inlineStr">
        <is>
          <t>Analista de seguridad y salud en el trabajo</t>
        </is>
      </c>
      <c r="D355" s="3" t="inlineStr">
        <is>
          <t>Confidencial</t>
        </is>
      </c>
      <c r="E355" s="7" t="n">
        <v>0.5</v>
      </c>
      <c r="F355" s="2" t="inlineStr">
        <is>
          <t>Remoto</t>
        </is>
      </c>
      <c r="G355" s="5">
        <f>HYPERLINK("https://www.elempleo.com/co/ofertas-trabajo/analista-de-seguridad-y-salud-en-el-trabajo-1886770263", "Ver Vacante")</f>
        <v/>
      </c>
      <c r="H355" s="6" t="inlineStr"/>
      <c r="I355" s="3" t="inlineStr">
        <is>
          <t>[Afinidad: 50/100 - Afinidad Moderada] Afinidad parcial en seguridad y salud ocupacional. Modalidad: 100% Remoto en Colombia confirmado.</t>
        </is>
      </c>
      <c r="J355" s="2" t="inlineStr">
        <is>
          <t>Nueva</t>
        </is>
      </c>
      <c r="K355" s="3" t="inlineStr"/>
    </row>
    <row r="356" ht="22" customHeight="1">
      <c r="A356" s="2" t="inlineStr">
        <is>
          <t>e11ebdd67cc774e6</t>
        </is>
      </c>
      <c r="B356" s="2" t="inlineStr">
        <is>
          <t>2026-09-25 15:50</t>
        </is>
      </c>
      <c r="C356" s="3" t="inlineStr">
        <is>
          <t>Analista de seguridad y salud en el trabajo</t>
        </is>
      </c>
      <c r="D356" s="3" t="inlineStr">
        <is>
          <t>Confidencial</t>
        </is>
      </c>
      <c r="E356" s="7" t="n">
        <v>0.5</v>
      </c>
      <c r="F356" s="2" t="inlineStr">
        <is>
          <t>Remoto</t>
        </is>
      </c>
      <c r="G356" s="5">
        <f>HYPERLINK("https://www.elempleo.com/co/ofertas-trabajo/analista-de-seguridad-y-salud-en-el-trabajo-1886767319", "Ver Vacante")</f>
        <v/>
      </c>
      <c r="H356" s="6" t="inlineStr"/>
      <c r="I356" s="3" t="inlineStr">
        <is>
          <t>[Afinidad: 50/100 - Afinidad Moderada] Afinidad parcial en seguridad y salud ocupacional. Modalidad: 100% Remoto en Colombia confirmado.</t>
        </is>
      </c>
      <c r="J356" s="2" t="inlineStr">
        <is>
          <t>Nueva</t>
        </is>
      </c>
      <c r="K356" s="3" t="inlineStr"/>
    </row>
    <row r="357" ht="22" customHeight="1">
      <c r="A357" s="2" t="inlineStr">
        <is>
          <t>bcff69a50f54e5a9</t>
        </is>
      </c>
      <c r="B357" s="2" t="inlineStr">
        <is>
          <t>2026-09-25 15:50</t>
        </is>
      </c>
      <c r="C357" s="3" t="inlineStr">
        <is>
          <t>Analista de seguridad y salud en el trabajo</t>
        </is>
      </c>
      <c r="D357" s="3" t="inlineStr">
        <is>
          <t>FLEXO SPRING</t>
        </is>
      </c>
      <c r="E357" s="7" t="n">
        <v>0.5</v>
      </c>
      <c r="F357" s="2" t="inlineStr">
        <is>
          <t>Remoto</t>
        </is>
      </c>
      <c r="G357" s="5">
        <f>HYPERLINK("https://www.elempleo.com/co/ofertas-trabajo/analista-de-seguridad-y-salud-en-el-trabajo-1886763294", "Ver Vacante")</f>
        <v/>
      </c>
      <c r="H357" s="6" t="inlineStr"/>
      <c r="I357" s="3" t="inlineStr">
        <is>
          <t>[Afinidad: 50/100 - Afinidad Moderada] Afinidad parcial en seguridad y salud ocupacional. Modalidad: 100% Remoto en Colombia confirmado.</t>
        </is>
      </c>
      <c r="J357" s="2" t="inlineStr">
        <is>
          <t>Nueva</t>
        </is>
      </c>
      <c r="K357" s="3" t="inlineStr"/>
    </row>
    <row r="358" ht="22" customHeight="1">
      <c r="A358" s="2" t="inlineStr">
        <is>
          <t>7b7be0e160fd697a</t>
        </is>
      </c>
      <c r="B358" s="2" t="inlineStr">
        <is>
          <t>2026-09-25 15:50</t>
        </is>
      </c>
      <c r="C358" s="3" t="inlineStr">
        <is>
          <t>Analista de seguridad y salud en el trabajo</t>
        </is>
      </c>
      <c r="D358" s="3" t="inlineStr">
        <is>
          <t>DAVITA SAS</t>
        </is>
      </c>
      <c r="E358" s="7" t="n">
        <v>0.5</v>
      </c>
      <c r="F358" s="2" t="inlineStr">
        <is>
          <t>Remoto</t>
        </is>
      </c>
      <c r="G358" s="5">
        <f>HYPERLINK("https://www.elempleo.com/co/ofertas-trabajo/analista-de-seguridad-y-salud-en-el-trabajo-1886744905", "Ver Vacante")</f>
        <v/>
      </c>
      <c r="H358" s="6" t="inlineStr"/>
      <c r="I358" s="3" t="inlineStr">
        <is>
          <t>[Afinidad: 50/100 - Afinidad Moderada] Afinidad parcial en seguridad y salud ocupacional. Modalidad: 100% Remoto en Colombia confirmado.</t>
        </is>
      </c>
      <c r="J358" s="2" t="inlineStr">
        <is>
          <t>Nueva</t>
        </is>
      </c>
      <c r="K358" s="3" t="inlineStr"/>
    </row>
    <row r="359" ht="22" customHeight="1">
      <c r="A359" s="2" t="inlineStr">
        <is>
          <t>953a9dbdeb50a536</t>
        </is>
      </c>
      <c r="B359" s="2" t="inlineStr">
        <is>
          <t>2026-09-25 15:50</t>
        </is>
      </c>
      <c r="C359" s="3" t="inlineStr">
        <is>
          <t>Líder de seguridad y salud en el trabajo-maní, casanare</t>
        </is>
      </c>
      <c r="D359" s="3" t="inlineStr">
        <is>
          <t>Confidencial</t>
        </is>
      </c>
      <c r="E359" s="7" t="n">
        <v>0.5</v>
      </c>
      <c r="F359" s="2" t="inlineStr">
        <is>
          <t>Remoto</t>
        </is>
      </c>
      <c r="G359" s="5">
        <f>HYPERLINK("https://www.elempleo.com/co/ofertas-trabajo/lider-de-seguridad-y-salud-en-el-trabajomani-casanare-1886766966", "Ver Vacante")</f>
        <v/>
      </c>
      <c r="H359" s="6" t="inlineStr"/>
      <c r="I359" s="3" t="inlineStr">
        <is>
          <t>[Afinidad: 50/100 - Afinidad Moderada] Afinidad parcial en seguridad y salud ocupacional. Modalidad: 100% Remoto en Colombia confirmado.</t>
        </is>
      </c>
      <c r="J359" s="2" t="inlineStr">
        <is>
          <t>Nueva</t>
        </is>
      </c>
      <c r="K359" s="3" t="inlineStr"/>
    </row>
    <row r="360" ht="22" customHeight="1">
      <c r="A360" s="2" t="inlineStr">
        <is>
          <t>1077a52c358d103c</t>
        </is>
      </c>
      <c r="B360" s="2" t="inlineStr">
        <is>
          <t>2026-09-25 15:50</t>
        </is>
      </c>
      <c r="C360" s="3" t="inlineStr">
        <is>
          <t>Analista de seguridad y salud en el trabajo</t>
        </is>
      </c>
      <c r="D360" s="3" t="inlineStr">
        <is>
          <t>FLEXO SPRING</t>
        </is>
      </c>
      <c r="E360" s="7" t="n">
        <v>0.5</v>
      </c>
      <c r="F360" s="2" t="inlineStr">
        <is>
          <t>Remoto</t>
        </is>
      </c>
      <c r="G360" s="5">
        <f>HYPERLINK("https://www.elempleo.com/co/ofertas-trabajo/analista-de-seguridad-y-salud-en-el-trabajo-1886762820", "Ver Vacante")</f>
        <v/>
      </c>
      <c r="H360" s="6" t="inlineStr"/>
      <c r="I360" s="3" t="inlineStr">
        <is>
          <t>[Afinidad: 50/100 - Afinidad Moderada] Afinidad parcial en seguridad y salud ocupacional. Modalidad: 100% Remoto en Colombia confirmado.</t>
        </is>
      </c>
      <c r="J360" s="2" t="inlineStr">
        <is>
          <t>Nueva</t>
        </is>
      </c>
      <c r="K360" s="3" t="inlineStr"/>
    </row>
    <row r="361" ht="22" customHeight="1">
      <c r="A361" s="2" t="inlineStr">
        <is>
          <t>49485c38f90564f4</t>
        </is>
      </c>
      <c r="B361" s="2" t="inlineStr">
        <is>
          <t>2026-09-25 15:50</t>
        </is>
      </c>
      <c r="C361" s="3" t="inlineStr">
        <is>
          <t>Analista sst seguridad y salud den el trabajo // villavicencio meta</t>
        </is>
      </c>
      <c r="D361" s="3" t="inlineStr">
        <is>
          <t>Confidencial</t>
        </is>
      </c>
      <c r="E361" s="7" t="n">
        <v>0.5</v>
      </c>
      <c r="F361" s="2" t="inlineStr">
        <is>
          <t>Remoto</t>
        </is>
      </c>
      <c r="G361" s="5">
        <f>HYPERLINK("https://www.elempleo.com/co/ofertas-trabajo/analista-sst-seguridad-y-salud-den-el-trabajo-villavicencio-meta-1886739263", "Ver Vacante")</f>
        <v/>
      </c>
      <c r="H361" s="6" t="inlineStr"/>
      <c r="I361" s="3" t="inlineStr">
        <is>
          <t>[Afinidad: 50/100 - Afinidad Moderada] Afinidad parcial en seguridad y salud ocupacional. Modalidad: 100% Remoto en Colombia confirmado.</t>
        </is>
      </c>
      <c r="J361" s="2" t="inlineStr">
        <is>
          <t>Nueva</t>
        </is>
      </c>
      <c r="K361" s="3" t="inlineStr"/>
    </row>
    <row r="362" ht="22" customHeight="1">
      <c r="A362" s="2" t="inlineStr">
        <is>
          <t>3996788779b0f367</t>
        </is>
      </c>
      <c r="B362" s="2" t="inlineStr">
        <is>
          <t>2026-09-25 15:50</t>
        </is>
      </c>
      <c r="C362" s="3" t="inlineStr">
        <is>
          <t>Analista de sst</t>
        </is>
      </c>
      <c r="D362" s="3" t="inlineStr">
        <is>
          <t>Confidencial</t>
        </is>
      </c>
      <c r="E362" s="7" t="n">
        <v>0.5</v>
      </c>
      <c r="F362" s="2" t="inlineStr">
        <is>
          <t>Remoto</t>
        </is>
      </c>
      <c r="G362" s="5">
        <f>HYPERLINK("https://www.elempleo.com/co/ofertas-trabajo/analista-de-sst-1886750073", "Ver Vacante")</f>
        <v/>
      </c>
      <c r="H362" s="6" t="inlineStr"/>
      <c r="I362" s="3" t="inlineStr">
        <is>
          <t>[Afinidad: 50/100 - Afinidad Moderada] Afinidad parcial en seguridad y salud ocupacional. Modalidad: 100% Remoto en Colombia confirmado.</t>
        </is>
      </c>
      <c r="J362" s="2" t="inlineStr">
        <is>
          <t>Nueva</t>
        </is>
      </c>
      <c r="K362" s="3" t="inlineStr"/>
    </row>
    <row r="363" ht="22" customHeight="1">
      <c r="A363" s="2" t="inlineStr">
        <is>
          <t>a7b8c286017a1279</t>
        </is>
      </c>
      <c r="B363" s="2" t="inlineStr">
        <is>
          <t>2026-09-25 15:50</t>
        </is>
      </c>
      <c r="C363" s="3" t="inlineStr">
        <is>
          <t>Analista de medicina preventiva-sst</t>
        </is>
      </c>
      <c r="D363" s="3" t="inlineStr">
        <is>
          <t>ORGANIZACION GEN</t>
        </is>
      </c>
      <c r="E363" s="7" t="n">
        <v>0.5</v>
      </c>
      <c r="F363" s="2" t="inlineStr">
        <is>
          <t>Remoto</t>
        </is>
      </c>
      <c r="G363" s="5">
        <f>HYPERLINK("https://www.elempleo.com/co/ofertas-trabajo/analista-de-medicina-preventivasst-1886767891", "Ver Vacante")</f>
        <v/>
      </c>
      <c r="H363" s="6" t="inlineStr"/>
      <c r="I363" s="3" t="inlineStr">
        <is>
          <t>[Afinidad: 50/100 - Afinidad Moderada] Afinidad parcial en seguridad y salud ocupacional. Modalidad: 100% Remoto en Colombia confirmado.</t>
        </is>
      </c>
      <c r="J363" s="2" t="inlineStr">
        <is>
          <t>Nueva</t>
        </is>
      </c>
      <c r="K363" s="3" t="inlineStr"/>
    </row>
    <row r="364" ht="22" customHeight="1">
      <c r="A364" s="2" t="inlineStr">
        <is>
          <t>cb5259b3fda206ce</t>
        </is>
      </c>
      <c r="B364" s="2" t="inlineStr">
        <is>
          <t>2026-09-25 15:50</t>
        </is>
      </c>
      <c r="C364" s="3" t="inlineStr">
        <is>
          <t>Analista hseq</t>
        </is>
      </c>
      <c r="D364" s="3" t="inlineStr">
        <is>
          <t>Confidencial</t>
        </is>
      </c>
      <c r="E364" s="7" t="n">
        <v>0.5</v>
      </c>
      <c r="F364" s="2" t="inlineStr">
        <is>
          <t>Remoto</t>
        </is>
      </c>
      <c r="G364" s="5">
        <f>HYPERLINK("https://www.elempleo.com/co/ofertas-trabajo/analista-hseq-1886768704", "Ver Vacante")</f>
        <v/>
      </c>
      <c r="H364" s="6" t="inlineStr"/>
      <c r="I364" s="3" t="inlineStr">
        <is>
          <t>[Afinidad: 50/100 - Afinidad Moderada] Afinidad parcial en seguridad y salud ocupacional. Modalidad: 100% Remoto en Colombia confirmado.</t>
        </is>
      </c>
      <c r="J364" s="2" t="inlineStr">
        <is>
          <t>Nueva</t>
        </is>
      </c>
      <c r="K364" s="3" t="inlineStr"/>
    </row>
    <row r="365" ht="22" customHeight="1">
      <c r="A365" s="2" t="inlineStr">
        <is>
          <t>2833e263103c1333</t>
        </is>
      </c>
      <c r="B365" s="2" t="inlineStr">
        <is>
          <t>2026-09-25 15:50</t>
        </is>
      </c>
      <c r="C365" s="3" t="inlineStr">
        <is>
          <t>Analista hseq tocancipa</t>
        </is>
      </c>
      <c r="D365" s="3" t="inlineStr">
        <is>
          <t>Confidencial</t>
        </is>
      </c>
      <c r="E365" s="7" t="n">
        <v>0.5</v>
      </c>
      <c r="F365" s="2" t="inlineStr">
        <is>
          <t>Remoto</t>
        </is>
      </c>
      <c r="G365" s="5">
        <f>HYPERLINK("https://www.elempleo.com/co/ofertas-trabajo/analista-hseq-tocancipa-1886712233", "Ver Vacante")</f>
        <v/>
      </c>
      <c r="H365" s="6" t="inlineStr"/>
      <c r="I365" s="3" t="inlineStr">
        <is>
          <t>[Afinidad: 50/100 - Afinidad Moderada] Afinidad parcial en seguridad y salud ocupacional. Modalidad: 100% Remoto en Colombia confirmado.</t>
        </is>
      </c>
      <c r="J365" s="2" t="inlineStr">
        <is>
          <t>Nueva</t>
        </is>
      </c>
      <c r="K365" s="3" t="inlineStr"/>
    </row>
    <row r="366" ht="22" customHeight="1">
      <c r="A366" s="2" t="inlineStr">
        <is>
          <t>dac638d1bd51c678</t>
        </is>
      </c>
      <c r="B366" s="2" t="inlineStr">
        <is>
          <t>2026-09-25 15:50</t>
        </is>
      </c>
      <c r="C366" s="3" t="inlineStr">
        <is>
          <t>Director proyectos e ingeniería</t>
        </is>
      </c>
      <c r="D366" s="3" t="inlineStr">
        <is>
          <t>SinapSer</t>
        </is>
      </c>
      <c r="E366" s="7" t="n">
        <v>0.5</v>
      </c>
      <c r="F366" s="2" t="inlineStr">
        <is>
          <t>Remoto</t>
        </is>
      </c>
      <c r="G366" s="5">
        <f>HYPERLINK("https://www.elempleo.com/co/ofertas-trabajo/director-proyectos-e-ingenieria-1886749724", "Ver Vacante")</f>
        <v/>
      </c>
      <c r="H366" s="6" t="inlineStr"/>
      <c r="I366" s="3" t="inlineStr">
        <is>
          <t>[Afinidad: 50/100 - Afinidad Moderada] Afinidad en disciplina base (Ingeniera Civil Especialista en Vías y SST) sin especialidad directa en vías/SST. Modalidad: 100% Remoto en Colombia confirmado.</t>
        </is>
      </c>
      <c r="J366" s="2" t="inlineStr">
        <is>
          <t>Nueva</t>
        </is>
      </c>
      <c r="K366" s="3" t="inlineStr"/>
    </row>
    <row r="367" ht="22" customHeight="1">
      <c r="A367" s="2" t="inlineStr">
        <is>
          <t>6b6e8ba8ffb749b7</t>
        </is>
      </c>
      <c r="B367" s="2" t="inlineStr">
        <is>
          <t>2026-09-25 15:50</t>
        </is>
      </c>
      <c r="C367" s="3" t="inlineStr">
        <is>
          <t>Analista de seguridad vial</t>
        </is>
      </c>
      <c r="D367" s="3" t="inlineStr">
        <is>
          <t>FLEXITEMP</t>
        </is>
      </c>
      <c r="E367" s="7" t="n">
        <v>0.5</v>
      </c>
      <c r="F367" s="2" t="inlineStr">
        <is>
          <t>Remoto</t>
        </is>
      </c>
      <c r="G367" s="5">
        <f>HYPERLINK("https://www.elempleo.com/co/ofertas-trabajo/analista-de-seguridad-vial-1886767093", "Ver Vacante")</f>
        <v/>
      </c>
      <c r="H367" s="6" t="inlineStr"/>
      <c r="I367" s="3" t="inlineStr">
        <is>
          <t>[Afinidad: 50/100 - Afinidad Moderada] Afinidad parcial en infraestructura vial y transporte. Modalidad: 100% Remoto en Colombia confirmado.</t>
        </is>
      </c>
      <c r="J367" s="2" t="inlineStr">
        <is>
          <t>Nueva</t>
        </is>
      </c>
      <c r="K367" s="3" t="inlineStr"/>
    </row>
    <row r="368" ht="22" customHeight="1">
      <c r="A368" s="2" t="inlineStr">
        <is>
          <t>c58d8d2ab06afb3e</t>
        </is>
      </c>
      <c r="B368" s="2" t="inlineStr">
        <is>
          <t>2026-09-25 15:50</t>
        </is>
      </c>
      <c r="C368" s="3" t="inlineStr">
        <is>
          <t>Lider corporativo de sst latam</t>
        </is>
      </c>
      <c r="D368" s="3" t="inlineStr">
        <is>
          <t>DISAN COLOMBIA S.A.S</t>
        </is>
      </c>
      <c r="E368" s="7" t="n">
        <v>0.5</v>
      </c>
      <c r="F368" s="2" t="inlineStr">
        <is>
          <t>Remoto</t>
        </is>
      </c>
      <c r="G368" s="5">
        <f>HYPERLINK("https://www.elempleo.com/co/ofertas-trabajo/lider-corporativo-de-sst-latam-1886770796", "Ver Vacante")</f>
        <v/>
      </c>
      <c r="H368" s="6" t="inlineStr"/>
      <c r="I368" s="3" t="inlineStr">
        <is>
          <t>[Afinidad: 50/100 - Afinidad Moderada] Afinidad parcial en seguridad y salud ocupacional. Modalidad: 100% Remoto en Colombia confirmado.</t>
        </is>
      </c>
      <c r="J368" s="2" t="inlineStr">
        <is>
          <t>Nueva</t>
        </is>
      </c>
      <c r="K368" s="3" t="inlineStr"/>
    </row>
    <row r="369" ht="22" customHeight="1">
      <c r="A369" s="2" t="inlineStr">
        <is>
          <t>d9a45ecb5a281054</t>
        </is>
      </c>
      <c r="B369" s="2" t="inlineStr">
        <is>
          <t>2026-09-25 15:50</t>
        </is>
      </c>
      <c r="C369" s="3" t="inlineStr">
        <is>
          <t>Analista sst sector floricultor</t>
        </is>
      </c>
      <c r="D369" s="3" t="inlineStr">
        <is>
          <t>AGENCIA DE EMPLEO CAFAM</t>
        </is>
      </c>
      <c r="E369" s="7" t="n">
        <v>0.5</v>
      </c>
      <c r="F369" s="2" t="inlineStr">
        <is>
          <t>Remoto</t>
        </is>
      </c>
      <c r="G369" s="5">
        <f>HYPERLINK("https://www.elempleo.com/co/ofertas-trabajo/analista-sst-sector-floricultor-1886753404", "Ver Vacante")</f>
        <v/>
      </c>
      <c r="H369" s="6" t="inlineStr"/>
      <c r="I369" s="3" t="inlineStr">
        <is>
          <t>[Afinidad: 50/100 - Afinidad Moderada] Afinidad parcial en seguridad y salud ocupacional. Modalidad: 100% Remoto en Colombia confirmado.</t>
        </is>
      </c>
      <c r="J369" s="2" t="inlineStr">
        <is>
          <t>Nueva</t>
        </is>
      </c>
      <c r="K369" s="3" t="inlineStr"/>
    </row>
    <row r="370" ht="22" customHeight="1">
      <c r="A370" s="2" t="inlineStr">
        <is>
          <t>4d7fa5b437ae0bb5</t>
        </is>
      </c>
      <c r="B370" s="2" t="inlineStr">
        <is>
          <t>2026-09-25 15:50</t>
        </is>
      </c>
      <c r="C370" s="3" t="inlineStr">
        <is>
          <t>Analista sst - santa marta</t>
        </is>
      </c>
      <c r="D370" s="3" t="inlineStr">
        <is>
          <t>Confidencial</t>
        </is>
      </c>
      <c r="E370" s="7" t="n">
        <v>0.5</v>
      </c>
      <c r="F370" s="2" t="inlineStr">
        <is>
          <t>Remoto</t>
        </is>
      </c>
      <c r="G370" s="5">
        <f>HYPERLINK("https://www.elempleo.com/co/ofertas-trabajo/analista-sst-santa-marta-1886765312", "Ver Vacante")</f>
        <v/>
      </c>
      <c r="H370" s="6" t="inlineStr"/>
      <c r="I370" s="3" t="inlineStr">
        <is>
          <t>[Afinidad: 50/100 - Afinidad Moderada] Afinidad parcial en seguridad y salud ocupacional. Modalidad: 100% Remoto en Colombia confirmado.</t>
        </is>
      </c>
      <c r="J370" s="2" t="inlineStr">
        <is>
          <t>Nueva</t>
        </is>
      </c>
      <c r="K370" s="3" t="inlineStr"/>
    </row>
    <row r="371" ht="22" customHeight="1">
      <c r="A371" s="2" t="inlineStr">
        <is>
          <t>0924285e67d45615</t>
        </is>
      </c>
      <c r="B371" s="2" t="inlineStr">
        <is>
          <t>2026-09-25 15:50</t>
        </is>
      </c>
      <c r="C371" s="3" t="inlineStr">
        <is>
          <t>Analista de sst- tabio</t>
        </is>
      </c>
      <c r="D371" s="3" t="inlineStr">
        <is>
          <t>Confidencial</t>
        </is>
      </c>
      <c r="E371" s="7" t="n">
        <v>0.5</v>
      </c>
      <c r="F371" s="2" t="inlineStr">
        <is>
          <t>Remoto</t>
        </is>
      </c>
      <c r="G371" s="5">
        <f>HYPERLINK("https://www.elempleo.com/co/ofertas-trabajo/analista-de-sst-tabio-1886757209", "Ver Vacante")</f>
        <v/>
      </c>
      <c r="H371" s="6" t="inlineStr"/>
      <c r="I371" s="3" t="inlineStr">
        <is>
          <t>[Afinidad: 50/100 - Afinidad Moderada] Afinidad parcial en seguridad y salud ocupacional. Modalidad: 100% Remoto en Colombia confirmado.</t>
        </is>
      </c>
      <c r="J371" s="2" t="inlineStr">
        <is>
          <t>Nueva</t>
        </is>
      </c>
      <c r="K371" s="3" t="inlineStr"/>
    </row>
    <row r="372" ht="22" customHeight="1">
      <c r="A372" s="2" t="inlineStr">
        <is>
          <t>a0b1ddd1068c41b6</t>
        </is>
      </c>
      <c r="B372" s="2" t="inlineStr">
        <is>
          <t>2026-09-25 15:50</t>
        </is>
      </c>
      <c r="C372" s="3" t="inlineStr">
        <is>
          <t>Analista de sst</t>
        </is>
      </c>
      <c r="D372" s="3" t="inlineStr">
        <is>
          <t>ALCIAUTOS SAS</t>
        </is>
      </c>
      <c r="E372" s="7" t="n">
        <v>0.5</v>
      </c>
      <c r="F372" s="2" t="inlineStr">
        <is>
          <t>Remoto</t>
        </is>
      </c>
      <c r="G372" s="5">
        <f>HYPERLINK("https://www.elempleo.com/co/ofertas-trabajo/analista-de-sst-1886755902", "Ver Vacante")</f>
        <v/>
      </c>
      <c r="H372" s="6" t="inlineStr"/>
      <c r="I372" s="3" t="inlineStr">
        <is>
          <t>[Afinidad: 50/100 - Afinidad Moderada] Afinidad parcial en seguridad y salud ocupacional. Modalidad: 100% Remoto en Colombia confirmado.</t>
        </is>
      </c>
      <c r="J372" s="2" t="inlineStr">
        <is>
          <t>Nueva</t>
        </is>
      </c>
      <c r="K372" s="3" t="inlineStr"/>
    </row>
    <row r="373" ht="22" customHeight="1">
      <c r="A373" s="2" t="inlineStr">
        <is>
          <t>0e8e9e5f8fd1279f</t>
        </is>
      </c>
      <c r="B373" s="2" t="inlineStr">
        <is>
          <t>2026-09-25 15:50</t>
        </is>
      </c>
      <c r="C373" s="3" t="inlineStr">
        <is>
          <t>Analista de seguridad y salud en el trabajo</t>
        </is>
      </c>
      <c r="D373" s="3" t="inlineStr">
        <is>
          <t>Confidencial</t>
        </is>
      </c>
      <c r="E373" s="7" t="n">
        <v>0.5</v>
      </c>
      <c r="F373" s="2" t="inlineStr">
        <is>
          <t>Remoto</t>
        </is>
      </c>
      <c r="G373" s="5">
        <f>HYPERLINK("https://www.elempleo.com/co/ofertas-trabajo/analista-de-seguridad-y-salud-en-el-trabajo-1886745959", "Ver Vacante")</f>
        <v/>
      </c>
      <c r="H373" s="6" t="inlineStr"/>
      <c r="I373" s="3" t="inlineStr">
        <is>
          <t>[Afinidad: 50/100 - Afinidad Moderada] Afinidad parcial en seguridad y salud ocupacional. Modalidad: 100% Remoto en Colombia confirmado.</t>
        </is>
      </c>
      <c r="J373" s="2" t="inlineStr">
        <is>
          <t>Nueva</t>
        </is>
      </c>
      <c r="K373" s="3" t="inlineStr"/>
    </row>
    <row r="374" ht="22" customHeight="1">
      <c r="A374" s="2" t="inlineStr">
        <is>
          <t>3f516439681196e6</t>
        </is>
      </c>
      <c r="B374" s="2" t="inlineStr">
        <is>
          <t>2026-09-25 15:50</t>
        </is>
      </c>
      <c r="C374" s="3" t="inlineStr">
        <is>
          <t>Analista de sst</t>
        </is>
      </c>
      <c r="D374" s="3" t="inlineStr">
        <is>
          <t>ALCIAUTOS SAS</t>
        </is>
      </c>
      <c r="E374" s="7" t="n">
        <v>0.5</v>
      </c>
      <c r="F374" s="2" t="inlineStr">
        <is>
          <t>Remoto</t>
        </is>
      </c>
      <c r="G374" s="5">
        <f>HYPERLINK("https://www.elempleo.com/co/ofertas-trabajo/analista-de-sst-1886766524", "Ver Vacante")</f>
        <v/>
      </c>
      <c r="H374" s="6" t="inlineStr"/>
      <c r="I374" s="3" t="inlineStr">
        <is>
          <t>[Afinidad: 50/100 - Afinidad Moderada] Afinidad parcial en seguridad y salud ocupacional. Modalidad: 100% Remoto en Colombia confirmado.</t>
        </is>
      </c>
      <c r="J374" s="2" t="inlineStr">
        <is>
          <t>Nueva</t>
        </is>
      </c>
      <c r="K374" s="3" t="inlineStr"/>
    </row>
    <row r="375" ht="22" customHeight="1">
      <c r="A375" s="2" t="inlineStr">
        <is>
          <t>431b016f24a1f2e7</t>
        </is>
      </c>
      <c r="B375" s="2" t="inlineStr">
        <is>
          <t>2026-09-25 15:50</t>
        </is>
      </c>
      <c r="C375" s="3" t="inlineStr">
        <is>
          <t>Analista de hseq</t>
        </is>
      </c>
      <c r="D375" s="3" t="inlineStr">
        <is>
          <t>DHL SUPPLY CHAIN COLOMBIA</t>
        </is>
      </c>
      <c r="E375" s="7" t="n">
        <v>0.5</v>
      </c>
      <c r="F375" s="2" t="inlineStr">
        <is>
          <t>Remoto</t>
        </is>
      </c>
      <c r="G375" s="5">
        <f>HYPERLINK("https://www.elempleo.com/co/ofertas-trabajo/analista-de-hseq-1886756771", "Ver Vacante")</f>
        <v/>
      </c>
      <c r="H375" s="6" t="inlineStr"/>
      <c r="I375" s="3" t="inlineStr">
        <is>
          <t>[Afinidad: 50/100 - Afinidad Moderada] Afinidad parcial en seguridad y salud ocupacional. Modalidad: 100% Remoto en Colombia confirmado.</t>
        </is>
      </c>
      <c r="J375" s="2" t="inlineStr">
        <is>
          <t>Nueva</t>
        </is>
      </c>
      <c r="K375" s="3" t="inlineStr"/>
    </row>
    <row r="376" ht="22" customHeight="1">
      <c r="A376" s="2" t="inlineStr">
        <is>
          <t>a3bc4d60e4d02902</t>
        </is>
      </c>
      <c r="B376" s="2" t="inlineStr">
        <is>
          <t>2026-09-25 15:50</t>
        </is>
      </c>
      <c r="C376" s="3" t="inlineStr">
        <is>
          <t>Cali - consultor integral sistemas de gestion sst - con licencia en sst</t>
        </is>
      </c>
      <c r="D376" s="3" t="inlineStr">
        <is>
          <t>Confidencial</t>
        </is>
      </c>
      <c r="E376" s="7" t="n">
        <v>0.5</v>
      </c>
      <c r="F376" s="2" t="inlineStr">
        <is>
          <t>Remoto</t>
        </is>
      </c>
      <c r="G376" s="5">
        <f>HYPERLINK("https://www.elempleo.com/co/ofertas-trabajo/cali-consultor-integral-sistemas-de-gestion-sst-con-licencia-en-sst-1886771972", "Ver Vacante")</f>
        <v/>
      </c>
      <c r="H376" s="6" t="inlineStr"/>
      <c r="I376" s="3" t="inlineStr">
        <is>
          <t>[Afinidad: 50/100 - Afinidad Moderada] Afinidad parcial en seguridad y salud ocupacional. Modalidad: 100% Remoto en Colombia confirmado. Observación: Requiere Licencia en Seguridad y Salud en el Trabajo (SST) vigente.</t>
        </is>
      </c>
      <c r="J376" s="2" t="inlineStr">
        <is>
          <t>Nueva</t>
        </is>
      </c>
      <c r="K376" s="3" t="inlineStr"/>
    </row>
    <row r="377" ht="22" customHeight="1">
      <c r="A377" s="2" t="inlineStr">
        <is>
          <t>5a6dfbb47030360b</t>
        </is>
      </c>
      <c r="B377" s="2" t="inlineStr">
        <is>
          <t>2026-09-25 15:50</t>
        </is>
      </c>
      <c r="C377" s="3" t="inlineStr">
        <is>
          <t>Analista sst</t>
        </is>
      </c>
      <c r="D377" s="3" t="inlineStr">
        <is>
          <t>Confidencial</t>
        </is>
      </c>
      <c r="E377" s="7" t="n">
        <v>0.5</v>
      </c>
      <c r="F377" s="2" t="inlineStr">
        <is>
          <t>Remoto</t>
        </is>
      </c>
      <c r="G377" s="5">
        <f>HYPERLINK("https://www.elempleo.com/co/ofertas-trabajo/analista-sst-1886749305", "Ver Vacante")</f>
        <v/>
      </c>
      <c r="H377" s="6" t="inlineStr"/>
      <c r="I377" s="3" t="inlineStr">
        <is>
          <t>[Afinidad: 50/100 - Afinidad Moderada] Afinidad parcial en seguridad y salud ocupacional. Modalidad: 100% Remoto en Colombia confirmado.</t>
        </is>
      </c>
      <c r="J377" s="2" t="inlineStr">
        <is>
          <t>Nueva</t>
        </is>
      </c>
      <c r="K377" s="3" t="inlineStr"/>
    </row>
    <row r="378" ht="22" customHeight="1">
      <c r="A378" s="2" t="inlineStr">
        <is>
          <t>d9cfb72d0a715a59</t>
        </is>
      </c>
      <c r="B378" s="2" t="inlineStr">
        <is>
          <t>2026-09-25 15:50</t>
        </is>
      </c>
      <c r="C378" s="3" t="inlineStr">
        <is>
          <t>Analista hse</t>
        </is>
      </c>
      <c r="D378" s="3" t="inlineStr">
        <is>
          <t>MTS Administración total S.A.S</t>
        </is>
      </c>
      <c r="E378" s="7" t="n">
        <v>0.5</v>
      </c>
      <c r="F378" s="2" t="inlineStr">
        <is>
          <t>Remoto</t>
        </is>
      </c>
      <c r="G378" s="5">
        <f>HYPERLINK("https://www.elempleo.com/co/ofertas-trabajo/analista-hse-1886746749", "Ver Vacante")</f>
        <v/>
      </c>
      <c r="H378" s="6" t="inlineStr"/>
      <c r="I378" s="3" t="inlineStr">
        <is>
          <t>[Afinidad: 50/100 - Afinidad Moderada] Afinidad parcial en seguridad y salud ocupacional. Modalidad: 100% Remoto en Colombia confirmado.</t>
        </is>
      </c>
      <c r="J378" s="2" t="inlineStr">
        <is>
          <t>Nueva</t>
        </is>
      </c>
      <c r="K378" s="3" t="inlineStr"/>
    </row>
    <row r="379" ht="22" customHeight="1">
      <c r="A379" s="2" t="inlineStr">
        <is>
          <t>40841d71c43f1222</t>
        </is>
      </c>
      <c r="B379" s="2" t="inlineStr">
        <is>
          <t>2026-09-25 15:50</t>
        </is>
      </c>
      <c r="C379" s="3" t="inlineStr">
        <is>
          <t>Analista hse / bogotá</t>
        </is>
      </c>
      <c r="D379" s="3" t="inlineStr">
        <is>
          <t>MTS Administración total S.A.S</t>
        </is>
      </c>
      <c r="E379" s="7" t="n">
        <v>0.5</v>
      </c>
      <c r="F379" s="2" t="inlineStr">
        <is>
          <t>Remoto</t>
        </is>
      </c>
      <c r="G379" s="5">
        <f>HYPERLINK("https://www.elempleo.com/co/ofertas-trabajo/analista-hse-bogota-1886747171", "Ver Vacante")</f>
        <v/>
      </c>
      <c r="H379" s="6" t="inlineStr"/>
      <c r="I379" s="3" t="inlineStr">
        <is>
          <t>[Afinidad: 50/100 - Afinidad Moderada] Afinidad parcial en seguridad y salud ocupacional. Modalidad: 100% Remoto en Colombia confirmado.</t>
        </is>
      </c>
      <c r="J379" s="2" t="inlineStr">
        <is>
          <t>Nueva</t>
        </is>
      </c>
      <c r="K379" s="3" t="inlineStr"/>
    </row>
    <row r="380" ht="22" customHeight="1">
      <c r="A380" s="2" t="inlineStr">
        <is>
          <t>c3ac919add19223e</t>
        </is>
      </c>
      <c r="B380" s="2" t="inlineStr">
        <is>
          <t>2026-09-25 15:50</t>
        </is>
      </c>
      <c r="C380" s="3" t="inlineStr">
        <is>
          <t>Auxiliar hseq / obra vivienda técnicos y/o tecnólogos fusagasuga y al rededores</t>
        </is>
      </c>
      <c r="D380" s="3" t="inlineStr">
        <is>
          <t>OIKOS S.A.</t>
        </is>
      </c>
      <c r="E380" s="7" t="n">
        <v>0.5</v>
      </c>
      <c r="F380" s="2" t="inlineStr">
        <is>
          <t>Remoto</t>
        </is>
      </c>
      <c r="G380" s="5">
        <f>HYPERLINK("https://www.elempleo.com/co/ofertas-trabajo/auxiliar-hseq-obra-vivienda-tecnicos-y-o-tecnologos-fusagasuga-y-al-rededores-1886755940", "Ver Vacante")</f>
        <v/>
      </c>
      <c r="H380" s="6" t="inlineStr"/>
      <c r="I380" s="3" t="inlineStr">
        <is>
          <t>[Afinidad: 50/100 - Afinidad Moderada] Afinidad parcial en seguridad y salud ocupacional. Modalidad: 100% Remoto en Colombia confirmado.</t>
        </is>
      </c>
      <c r="J380" s="2" t="inlineStr">
        <is>
          <t>Nueva</t>
        </is>
      </c>
      <c r="K380" s="3" t="inlineStr"/>
    </row>
    <row r="381" ht="22" customHeight="1">
      <c r="A381" s="2" t="inlineStr">
        <is>
          <t>081f1cdd6c603c67</t>
        </is>
      </c>
      <c r="B381" s="2" t="inlineStr">
        <is>
          <t>2026-09-25 15:50</t>
        </is>
      </c>
      <c r="C381" s="3" t="inlineStr">
        <is>
          <t>Coordinado/a de hseq tecnico / tecnologo</t>
        </is>
      </c>
      <c r="D381" s="3" t="inlineStr">
        <is>
          <t>GI GROUP STAFFING S.A.S</t>
        </is>
      </c>
      <c r="E381" s="7" t="n">
        <v>0.5</v>
      </c>
      <c r="F381" s="2" t="inlineStr">
        <is>
          <t>Remoto</t>
        </is>
      </c>
      <c r="G381" s="5">
        <f>HYPERLINK("https://www.elempleo.com/co/ofertas-trabajo/coordinado-a-de-hseq-tecnico-tecnologo-1886753906", "Ver Vacante")</f>
        <v/>
      </c>
      <c r="H381" s="6" t="inlineStr"/>
      <c r="I381" s="3" t="inlineStr">
        <is>
          <t>[Afinidad: 50/100 - Afinidad Moderada] Afinidad parcial en seguridad y salud ocupacional. Modalidad: 100% Remoto en Colombia confirmado.</t>
        </is>
      </c>
      <c r="J381" s="2" t="inlineStr">
        <is>
          <t>Nueva</t>
        </is>
      </c>
      <c r="K381" s="3" t="inlineStr"/>
    </row>
    <row r="382" ht="22" customHeight="1">
      <c r="A382" s="2" t="inlineStr">
        <is>
          <t>fda7dd0065c71794</t>
        </is>
      </c>
      <c r="B382" s="2" t="inlineStr">
        <is>
          <t>2026-09-25 15:50</t>
        </is>
      </c>
      <c r="C382" s="3" t="inlineStr">
        <is>
          <t>Analista de logística e infraestructura</t>
        </is>
      </c>
      <c r="D382" s="3" t="inlineStr">
        <is>
          <t>Compañía Aseguradora de Fianzas - Seguros Confianza S.A.</t>
        </is>
      </c>
      <c r="E382" s="7" t="n">
        <v>0.5</v>
      </c>
      <c r="F382" s="2" t="inlineStr">
        <is>
          <t>Remoto</t>
        </is>
      </c>
      <c r="G382" s="5">
        <f>HYPERLINK("https://www.elempleo.com/co/ofertas-trabajo/analista-de-logistica-e-infraestructura-1886755686", "Ver Vacante")</f>
        <v/>
      </c>
      <c r="H382" s="6" t="inlineStr"/>
      <c r="I382" s="3" t="inlineStr">
        <is>
          <t>[Afinidad: 50/100 - Afinidad Moderada] Afinidad parcial en infraestructura vial y transporte. Modalidad: 100% Remoto en Colombia confirmado.</t>
        </is>
      </c>
      <c r="J382" s="2" t="inlineStr">
        <is>
          <t>Nueva</t>
        </is>
      </c>
      <c r="K382" s="3" t="inlineStr"/>
    </row>
    <row r="383" ht="22" customHeight="1">
      <c r="A383" s="2" t="inlineStr">
        <is>
          <t>06ac12af82c8f553</t>
        </is>
      </c>
      <c r="B383" s="2" t="inlineStr">
        <is>
          <t>2026-09-25 15:50</t>
        </is>
      </c>
      <c r="C383" s="3" t="inlineStr">
        <is>
          <t>Analista de seguridad y salud en el trabajo</t>
        </is>
      </c>
      <c r="D383" s="3" t="inlineStr">
        <is>
          <t>Agaval S.A.</t>
        </is>
      </c>
      <c r="E383" s="7" t="n">
        <v>0.5</v>
      </c>
      <c r="F383" s="2" t="inlineStr">
        <is>
          <t>Remoto</t>
        </is>
      </c>
      <c r="G383" s="5">
        <f>HYPERLINK("https://co.linkedin.com/jobs/view/analista-de-seguridad-y-salud-en-el-trabajo-at-agaval-s-a-4470416741", "Ver Vacante")</f>
        <v/>
      </c>
      <c r="H383" s="6" t="inlineStr"/>
      <c r="I383" s="3" t="inlineStr">
        <is>
          <t>[Afinidad: 50/100 - Afinidad Moderada] Afinidad parcial en seguridad y salud ocupacional. Modalidad: 100% Remoto en Colombia confirmado.</t>
        </is>
      </c>
      <c r="J383" s="2" t="inlineStr">
        <is>
          <t>Nueva</t>
        </is>
      </c>
      <c r="K383" s="3" t="inlineStr"/>
    </row>
    <row r="384" ht="22" customHeight="1">
      <c r="A384" s="2" t="inlineStr">
        <is>
          <t>dbdcc9c937f7fac0</t>
        </is>
      </c>
      <c r="B384" s="2" t="inlineStr">
        <is>
          <t>2026-09-25 15:50</t>
        </is>
      </c>
      <c r="C384" s="3" t="inlineStr">
        <is>
          <t>Técnico/Analista HSE - Vacante Inclusiva PCD</t>
        </is>
      </c>
      <c r="D384" s="3" t="inlineStr">
        <is>
          <t>Unisys</t>
        </is>
      </c>
      <c r="E384" s="7" t="n">
        <v>0.5</v>
      </c>
      <c r="F384" s="2" t="inlineStr">
        <is>
          <t>Remoto</t>
        </is>
      </c>
      <c r="G384" s="5">
        <f>HYPERLINK("https://co.linkedin.com/jobs/view/t%C3%A9cnico-analista-hse-vacante-inclusiva-pcd-at-unisys-4460766616", "Ver Vacante")</f>
        <v/>
      </c>
      <c r="H384" s="6" t="inlineStr"/>
      <c r="I384" s="3" t="inlineStr">
        <is>
          <t>[Afinidad: 50/100 - Afinidad Moderada] Afinidad parcial en seguridad y salud ocupacional. Modalidad: 100% Remoto en Colombia confirmado.</t>
        </is>
      </c>
      <c r="J384" s="2" t="inlineStr">
        <is>
          <t>Nueva</t>
        </is>
      </c>
      <c r="K384" s="3" t="inlineStr"/>
    </row>
    <row r="385" ht="22" customHeight="1">
      <c r="A385" s="2" t="inlineStr">
        <is>
          <t>dc76c168bb90e870</t>
        </is>
      </c>
      <c r="B385" s="2" t="inlineStr">
        <is>
          <t>2026-09-25 15:50</t>
        </is>
      </c>
      <c r="C385" s="3" t="inlineStr">
        <is>
          <t>Analista SST</t>
        </is>
      </c>
      <c r="D385" s="3" t="inlineStr">
        <is>
          <t>Constructora Las Galias</t>
        </is>
      </c>
      <c r="E385" s="7" t="n">
        <v>0.5</v>
      </c>
      <c r="F385" s="2" t="inlineStr">
        <is>
          <t>Remoto</t>
        </is>
      </c>
      <c r="G385" s="5">
        <f>HYPERLINK("https://co.linkedin.com/jobs/view/analista-sst-at-constructora-las-galias-4456720035", "Ver Vacante")</f>
        <v/>
      </c>
      <c r="H385" s="6" t="inlineStr"/>
      <c r="I385" s="3" t="inlineStr">
        <is>
          <t>[Afinidad: 50/100 - Afinidad Moderada] Afinidad parcial en seguridad y salud ocupacional. Modalidad: 100% Remoto en Colombia confirmado.</t>
        </is>
      </c>
      <c r="J385" s="2" t="inlineStr">
        <is>
          <t>Nueva</t>
        </is>
      </c>
      <c r="K385" s="3" t="inlineStr"/>
    </row>
    <row r="386" ht="22" customHeight="1">
      <c r="A386" s="2" t="inlineStr">
        <is>
          <t>ab0b8a02ee89c538</t>
        </is>
      </c>
      <c r="B386" s="2" t="inlineStr">
        <is>
          <t>2026-09-25 15:50</t>
        </is>
      </c>
      <c r="C386" s="3" t="inlineStr">
        <is>
          <t>Analista de seguridad y salud en el trabajo</t>
        </is>
      </c>
      <c r="D386" s="3" t="inlineStr">
        <is>
          <t>DaVita Colombia</t>
        </is>
      </c>
      <c r="E386" s="7" t="n">
        <v>0.5</v>
      </c>
      <c r="F386" s="2" t="inlineStr">
        <is>
          <t>Remoto</t>
        </is>
      </c>
      <c r="G386" s="5">
        <f>HYPERLINK("https://co.linkedin.com/jobs/view/analista-de-seguridad-y-salud-en-el-trabajo-at-davita-colombia-4453103338", "Ver Vacante")</f>
        <v/>
      </c>
      <c r="H386" s="6" t="inlineStr"/>
      <c r="I386" s="3" t="inlineStr">
        <is>
          <t>[Afinidad: 50/100 - Afinidad Moderada] Afinidad parcial en seguridad y salud ocupacional. Modalidad: 100% Remoto en Colombia confirmado.</t>
        </is>
      </c>
      <c r="J386" s="2" t="inlineStr">
        <is>
          <t>Nueva</t>
        </is>
      </c>
      <c r="K386" s="3" t="inlineStr"/>
    </row>
    <row r="387" ht="22" customHeight="1">
      <c r="A387" s="2" t="inlineStr">
        <is>
          <t>461d2d2e2c8db03a</t>
        </is>
      </c>
      <c r="B387" s="2" t="inlineStr">
        <is>
          <t>2026-09-25 15:50</t>
        </is>
      </c>
      <c r="C387" s="3" t="inlineStr">
        <is>
          <t>Analista Sst Y Sg</t>
        </is>
      </c>
      <c r="D387" s="3" t="inlineStr">
        <is>
          <t>GLOBAL LOGÍSTICA DE TRANSPORTE S.A.S</t>
        </is>
      </c>
      <c r="E387" s="7" t="n">
        <v>0.5</v>
      </c>
      <c r="F387" s="2" t="inlineStr">
        <is>
          <t>Remoto</t>
        </is>
      </c>
      <c r="G387" s="5">
        <f>HYPERLINK("https://co.linkedin.com/jobs/view/analista-sst-y-sg-at-global-log%C3%ADstica-de-transporte-s-a-s-4467897164", "Ver Vacante")</f>
        <v/>
      </c>
      <c r="H387" s="6" t="inlineStr"/>
      <c r="I387" s="3" t="inlineStr">
        <is>
          <t>[Afinidad: 50/100 - Afinidad Moderada] Afinidad parcial en seguridad y salud ocupacional. Modalidad: 100% Remoto en Colombia confirmado.</t>
        </is>
      </c>
      <c r="J387" s="2" t="inlineStr">
        <is>
          <t>Nueva</t>
        </is>
      </c>
      <c r="K387" s="3" t="inlineStr"/>
    </row>
    <row r="388" ht="22" customHeight="1">
      <c r="A388" s="2" t="inlineStr">
        <is>
          <t>c39a6537e6eea06b</t>
        </is>
      </c>
      <c r="B388" s="2" t="inlineStr">
        <is>
          <t>2026-09-25 15:50</t>
        </is>
      </c>
      <c r="C388" s="3" t="inlineStr">
        <is>
          <t>Analista SST y SG</t>
        </is>
      </c>
      <c r="D388" s="3" t="inlineStr">
        <is>
          <t>GLOBAL LOGÍSTICA DE TRANSPORTE S.A.S</t>
        </is>
      </c>
      <c r="E388" s="7" t="n">
        <v>0.5</v>
      </c>
      <c r="F388" s="2" t="inlineStr">
        <is>
          <t>Remoto</t>
        </is>
      </c>
      <c r="G388" s="5">
        <f>HYPERLINK("https://co.linkedin.com/jobs/view/analista-sst-y-sg-at-global-log%C3%ADstica-de-transporte-s-a-s-4468342327", "Ver Vacante")</f>
        <v/>
      </c>
      <c r="H388" s="6" t="inlineStr"/>
      <c r="I388" s="3" t="inlineStr">
        <is>
          <t>[Afinidad: 50/100 - Afinidad Moderada] Afinidad parcial en seguridad y salud ocupacional. Modalidad: 100% Remoto en Colombia confirmado.</t>
        </is>
      </c>
      <c r="J388" s="2" t="inlineStr">
        <is>
          <t>Nueva</t>
        </is>
      </c>
      <c r="K388" s="3" t="inlineStr"/>
    </row>
    <row r="389" ht="22" customHeight="1">
      <c r="A389" s="2" t="inlineStr">
        <is>
          <t>a084c2779add376e</t>
        </is>
      </c>
      <c r="B389" s="2" t="inlineStr">
        <is>
          <t>2026-09-25 15:50</t>
        </is>
      </c>
      <c r="C389" s="3" t="inlineStr">
        <is>
          <t>ANALISTA SST</t>
        </is>
      </c>
      <c r="D389" s="3" t="inlineStr">
        <is>
          <t>DHL Supply Chain</t>
        </is>
      </c>
      <c r="E389" s="7" t="n">
        <v>0.5</v>
      </c>
      <c r="F389" s="2" t="inlineStr">
        <is>
          <t>Remoto</t>
        </is>
      </c>
      <c r="G389" s="5">
        <f>HYPERLINK("https://co.linkedin.com/jobs/view/analista-sst-at-dhl-supply-chain-4464420416", "Ver Vacante")</f>
        <v/>
      </c>
      <c r="H389" s="6" t="inlineStr"/>
      <c r="I389" s="3" t="inlineStr">
        <is>
          <t>[Afinidad: 50/100 - Afinidad Moderada] Afinidad parcial en seguridad y salud ocupacional. Modalidad: 100% Remoto en Colombia confirmado.</t>
        </is>
      </c>
      <c r="J389" s="2" t="inlineStr">
        <is>
          <t>Nueva</t>
        </is>
      </c>
      <c r="K389" s="3" t="inlineStr"/>
    </row>
    <row r="390" ht="22" customHeight="1">
      <c r="A390" s="2" t="inlineStr">
        <is>
          <t>b346821234375c6b</t>
        </is>
      </c>
      <c r="B390" s="2" t="inlineStr">
        <is>
          <t>2026-09-25 15:50</t>
        </is>
      </c>
      <c r="C390" s="3" t="inlineStr">
        <is>
          <t>Tecnologo o tecnico en salud ocupacional</t>
        </is>
      </c>
      <c r="D390" s="3" t="inlineStr">
        <is>
          <t>Llanopozos sa</t>
        </is>
      </c>
      <c r="E390" s="7" t="n">
        <v>0.5</v>
      </c>
      <c r="F390" s="2" t="inlineStr">
        <is>
          <t>Remoto</t>
        </is>
      </c>
      <c r="G390" s="5">
        <f>HYPERLINK("https://co.linkedin.com/jobs/view/tecnologo-o-tecnico-en-salud-ocupacional-4471620635", "Ver Vacante")</f>
        <v/>
      </c>
      <c r="H390" s="6" t="inlineStr"/>
      <c r="I390" s="3" t="inlineStr">
        <is>
          <t>[Afinidad: 50/100 - Afinidad Moderada] Afinidad parcial en seguridad y salud ocupacional. Modalidad: 100% Remoto en Colombia confirmado.</t>
        </is>
      </c>
      <c r="J390" s="2" t="inlineStr">
        <is>
          <t>Nueva</t>
        </is>
      </c>
      <c r="K390" s="3" t="inlineStr"/>
    </row>
    <row r="391" ht="22" customHeight="1">
      <c r="A391" s="2" t="inlineStr">
        <is>
          <t>18698a98a0559ee4</t>
        </is>
      </c>
      <c r="B391" s="2" t="inlineStr">
        <is>
          <t>2026-09-25 15:50</t>
        </is>
      </c>
      <c r="C391" s="3" t="inlineStr">
        <is>
          <t>ANALISTA - SST</t>
        </is>
      </c>
      <c r="D391" s="3" t="inlineStr">
        <is>
          <t>Gerleinco SAS</t>
        </is>
      </c>
      <c r="E391" s="7" t="n">
        <v>0.5</v>
      </c>
      <c r="F391" s="2" t="inlineStr">
        <is>
          <t>Remoto</t>
        </is>
      </c>
      <c r="G391" s="5">
        <f>HYPERLINK("https://co.linkedin.com/jobs/view/analista-sst-at-gerleinco-sas-4468331526", "Ver Vacante")</f>
        <v/>
      </c>
      <c r="H391" s="6" t="inlineStr"/>
      <c r="I391" s="3" t="inlineStr">
        <is>
          <t>[Afinidad: 50/100 - Afinidad Moderada] Afinidad parcial en seguridad y salud ocupacional. Modalidad: 100% Remoto en Colombia confirmado.</t>
        </is>
      </c>
      <c r="J391" s="2" t="inlineStr">
        <is>
          <t>Nueva</t>
        </is>
      </c>
      <c r="K391" s="3" t="inlineStr"/>
    </row>
    <row r="392" ht="22" customHeight="1">
      <c r="A392" s="2" t="inlineStr">
        <is>
          <t>61d593970cdc1eb0</t>
        </is>
      </c>
      <c r="B392" s="2" t="inlineStr">
        <is>
          <t>2026-09-25 15:50</t>
        </is>
      </c>
      <c r="C392" s="3" t="inlineStr">
        <is>
          <t>Analista Seguridad Vial</t>
        </is>
      </c>
      <c r="D392" s="3" t="inlineStr">
        <is>
          <t>Improve Solutions S.A.S.</t>
        </is>
      </c>
      <c r="E392" s="7" t="n">
        <v>0.5</v>
      </c>
      <c r="F392" s="2" t="inlineStr">
        <is>
          <t>Remoto</t>
        </is>
      </c>
      <c r="G392" s="5">
        <f>HYPERLINK("https://co.linkedin.com/jobs/view/analista-seguridad-vial-at-improve-solutions-s-a-s-4463145618", "Ver Vacante")</f>
        <v/>
      </c>
      <c r="H392" s="6" t="inlineStr"/>
      <c r="I392" s="3" t="inlineStr">
        <is>
          <t>[Afinidad: 50/100 - Afinidad Moderada] Afinidad parcial en infraestructura vial y transporte. Modalidad: 100% Remoto en Colombia confirmado.</t>
        </is>
      </c>
      <c r="J392" s="2" t="inlineStr">
        <is>
          <t>Nueva</t>
        </is>
      </c>
      <c r="K392" s="3" t="inlineStr"/>
    </row>
    <row r="393" ht="22" customHeight="1">
      <c r="A393" s="2" t="inlineStr">
        <is>
          <t>7b3bcbac47723cda</t>
        </is>
      </c>
      <c r="B393" s="2" t="inlineStr">
        <is>
          <t>2026-09-25 15:50</t>
        </is>
      </c>
      <c r="C393" s="3" t="inlineStr">
        <is>
          <t>Analista de SST Bogotá</t>
        </is>
      </c>
      <c r="D393" s="3" t="inlineStr">
        <is>
          <t>X-Cargo</t>
        </is>
      </c>
      <c r="E393" s="7" t="n">
        <v>0.5</v>
      </c>
      <c r="F393" s="2" t="inlineStr">
        <is>
          <t>Remoto</t>
        </is>
      </c>
      <c r="G393" s="5">
        <f>HYPERLINK("https://co.linkedin.com/jobs/view/analista-de-sst-bogot%C3%A1-at-x-cargo-4470414820", "Ver Vacante")</f>
        <v/>
      </c>
      <c r="H393" s="6" t="inlineStr"/>
      <c r="I393" s="3" t="inlineStr">
        <is>
          <t>[Afinidad: 50/100 - Afinidad Moderada] Afinidad parcial en seguridad y salud ocupacional. Modalidad: 100% Remoto en Colombia confirmado.</t>
        </is>
      </c>
      <c r="J393" s="2" t="inlineStr">
        <is>
          <t>Nueva</t>
        </is>
      </c>
      <c r="K393" s="3" t="inlineStr"/>
    </row>
    <row r="394" ht="22" customHeight="1">
      <c r="A394" s="2" t="inlineStr">
        <is>
          <t>76e9e10e6636e900</t>
        </is>
      </c>
      <c r="B394" s="2" t="inlineStr">
        <is>
          <t>2026-09-25 15:50</t>
        </is>
      </c>
      <c r="C394" s="3" t="inlineStr">
        <is>
          <t>Líder de Interventoría Civil</t>
        </is>
      </c>
      <c r="D394" s="3" t="inlineStr">
        <is>
          <t>Erco Energía</t>
        </is>
      </c>
      <c r="E394" s="7" t="n">
        <v>0.5</v>
      </c>
      <c r="F394" s="2" t="inlineStr">
        <is>
          <t>Remoto</t>
        </is>
      </c>
      <c r="G394" s="5">
        <f>HYPERLINK("https://co.linkedin.com/jobs/view/l%C3%ADder-de-interventor%C3%ADa-civil-at-erco-energ%C3%ADa-4471619395", "Ver Vacante")</f>
        <v/>
      </c>
      <c r="H394" s="6" t="inlineStr"/>
      <c r="I394" s="3" t="inlineStr">
        <is>
          <t>[Afinidad: 50/100 - Afinidad Moderada] Afinidad en disciplina base (Ingeniera Civil Especialista en Vías y SST) sin especialidad directa en vías/SST. Modalidad: 100% Remoto en Colombia confirmado.</t>
        </is>
      </c>
      <c r="J394" s="2" t="inlineStr">
        <is>
          <t>Nueva</t>
        </is>
      </c>
      <c r="K394" s="3" t="inlineStr"/>
    </row>
    <row r="395" ht="22" customHeight="1">
      <c r="A395" s="2" t="inlineStr">
        <is>
          <t>6f437a27b6511e2d</t>
        </is>
      </c>
      <c r="B395" s="2" t="inlineStr">
        <is>
          <t>2026-09-26 15:00</t>
        </is>
      </c>
      <c r="C395" s="3" t="inlineStr">
        <is>
          <t>Analista HSEQ</t>
        </is>
      </c>
      <c r="D395" s="3" t="inlineStr">
        <is>
          <t>Alianza Temporal S.A.S</t>
        </is>
      </c>
      <c r="E395" s="7" t="n">
        <v>0.5</v>
      </c>
      <c r="F395" s="2" t="inlineStr">
        <is>
          <t>Remoto</t>
        </is>
      </c>
      <c r="G395" s="5">
        <f>HYPERLINK("https://co.computrabajo.com/ofertas-de-trabajo/oferta-de-trabajo-de-analista-hseq-en-bogota-dc-E4BED3252AF449C661373E686DCF3405", "Ver Vacante")</f>
        <v/>
      </c>
      <c r="H395" s="6" t="inlineStr">
        <is>
          <t>$ 2.800.000,00 (Mensual)</t>
        </is>
      </c>
      <c r="I395" s="3" t="inlineStr">
        <is>
          <t>[Afinidad: 50/100 - Afinidad Moderada] Afinidad parcial en seguridad y salud ocupacional. Modalidad: 100% Remoto en Colombia confirmado.</t>
        </is>
      </c>
      <c r="J395" s="2" t="inlineStr">
        <is>
          <t>Nueva</t>
        </is>
      </c>
      <c r="K395" s="3" t="inlineStr"/>
    </row>
    <row r="396" ht="22" customHeight="1">
      <c r="A396" s="2" t="inlineStr">
        <is>
          <t>8e91529f2772c72c</t>
        </is>
      </c>
      <c r="B396" s="2" t="inlineStr">
        <is>
          <t>2026-09-26 15:00</t>
        </is>
      </c>
      <c r="C396" s="3" t="inlineStr">
        <is>
          <t>Analista SST</t>
        </is>
      </c>
      <c r="D396" s="3" t="inlineStr">
        <is>
          <t>Importante empresa del sector</t>
        </is>
      </c>
      <c r="E396" s="7" t="n">
        <v>0.5</v>
      </c>
      <c r="F396" s="2" t="inlineStr">
        <is>
          <t>Remoto</t>
        </is>
      </c>
      <c r="G396" s="5">
        <f>HYPERLINK("https://co.computrabajo.com/ofertas-de-trabajo/oferta-de-trabajo-de-analista-sst-con-experiencia-en-barranquilla-6CA31CFAD0482DD661373E686DCF3405", "Ver Vacante")</f>
        <v/>
      </c>
      <c r="H396" s="6" t="inlineStr">
        <is>
          <t>$ 2.200.000,00 (Mensual)</t>
        </is>
      </c>
      <c r="I396" s="3" t="inlineStr">
        <is>
          <t>[Afinidad: 50/100 - Afinidad Moderada] Afinidad parcial en seguridad y salud ocupacional. Modalidad: 100% Remoto en Colombia confirmado.</t>
        </is>
      </c>
      <c r="J396" s="2" t="inlineStr">
        <is>
          <t>Nueva</t>
        </is>
      </c>
      <c r="K396" s="3" t="inlineStr"/>
    </row>
    <row r="397" ht="22" customHeight="1">
      <c r="A397" s="2" t="inlineStr">
        <is>
          <t>13f03ff01ddce4a7</t>
        </is>
      </c>
      <c r="B397" s="2" t="inlineStr">
        <is>
          <t>2026-09-26 15:00</t>
        </is>
      </c>
      <c r="C397" s="3" t="inlineStr">
        <is>
          <t>Analista SST</t>
        </is>
      </c>
      <c r="D397" s="3" t="inlineStr">
        <is>
          <t>TECNO FUEGO S.A.S.</t>
        </is>
      </c>
      <c r="E397" s="7" t="n">
        <v>0.5</v>
      </c>
      <c r="F397" s="2" t="inlineStr">
        <is>
          <t>Remoto</t>
        </is>
      </c>
      <c r="G397" s="5">
        <f>HYPERLINK("https://co.computrabajo.com/ofertas-de-trabajo/oferta-de-trabajo-de-analista-sst-barranquilla-en-barranquilla-32BBEEDAA6E18BE461373E686DCF3405", "Ver Vacante")</f>
        <v/>
      </c>
      <c r="H397" s="6" t="inlineStr">
        <is>
          <t>$ 1.939.999,00 (Mensual)</t>
        </is>
      </c>
      <c r="I397" s="3" t="inlineStr">
        <is>
          <t>[Afinidad: 50/100 - Afinidad Moderada] Afinidad parcial en seguridad y salud ocupacional. Modalidad: 100% Remoto en Colombia confirmado.</t>
        </is>
      </c>
      <c r="J397" s="2" t="inlineStr">
        <is>
          <t>Nueva</t>
        </is>
      </c>
      <c r="K397" s="3" t="inlineStr"/>
    </row>
    <row r="398" ht="22" customHeight="1">
      <c r="A398" s="2" t="inlineStr">
        <is>
          <t>28b598355a120cb3</t>
        </is>
      </c>
      <c r="B398" s="2" t="inlineStr">
        <is>
          <t>2026-09-26 15:00</t>
        </is>
      </c>
      <c r="C398" s="3" t="inlineStr">
        <is>
          <t>Tecnico o tecnologo en seguridad y salud en el trabajo</t>
        </is>
      </c>
      <c r="D398" s="3" t="inlineStr">
        <is>
          <t>ABOGADOS TRIANA SAS</t>
        </is>
      </c>
      <c r="E398" s="7" t="n">
        <v>0.5</v>
      </c>
      <c r="F398" s="2" t="inlineStr">
        <is>
          <t>Remoto</t>
        </is>
      </c>
      <c r="G398" s="5">
        <f>HYPERLINK("https://www.elempleo.com/co/ofertas-trabajo/tecnico-o-tecnologo-en-seguridad-y-salud-en-el-trabajo-1886771946", "Ver Vacante")</f>
        <v/>
      </c>
      <c r="H398" s="6" t="inlineStr"/>
      <c r="I398" s="3" t="inlineStr">
        <is>
          <t>[Afinidad: 50/100 - Afinidad Moderada] Afinidad parcial en seguridad y salud ocupacional. Modalidad: 100% Remoto en Colombia confirmado.</t>
        </is>
      </c>
      <c r="J398" s="2" t="inlineStr">
        <is>
          <t>Nueva</t>
        </is>
      </c>
      <c r="K398" s="3" t="inlineStr"/>
    </row>
    <row r="399" ht="22" customHeight="1">
      <c r="A399" s="2" t="inlineStr">
        <is>
          <t>617d4224f3e92d29</t>
        </is>
      </c>
      <c r="B399" s="2" t="inlineStr">
        <is>
          <t>2026-09-26 15:00</t>
        </is>
      </c>
      <c r="C399" s="3" t="inlineStr">
        <is>
          <t>Cali - consultor de sistemas de gestion sst independiente</t>
        </is>
      </c>
      <c r="D399" s="3" t="inlineStr">
        <is>
          <t>Confidencial</t>
        </is>
      </c>
      <c r="E399" s="7" t="n">
        <v>0.5</v>
      </c>
      <c r="F399" s="2" t="inlineStr">
        <is>
          <t>Remoto</t>
        </is>
      </c>
      <c r="G399" s="5">
        <f>HYPERLINK("https://www.elempleo.com/co/ofertas-trabajo/cali-consultor-de-sistemas-de-gestion-sst-independiente-1886772687", "Ver Vacante")</f>
        <v/>
      </c>
      <c r="H399" s="6" t="inlineStr"/>
      <c r="I399" s="3" t="inlineStr">
        <is>
          <t>[Afinidad: 50/100 - Afinidad Moderada] Afinidad parcial en seguridad y salud ocupacional. Modalidad: 100% Remoto en Colombia confirmado.</t>
        </is>
      </c>
      <c r="J399" s="2" t="inlineStr">
        <is>
          <t>Nueva</t>
        </is>
      </c>
      <c r="K399" s="3" t="inlineStr"/>
    </row>
    <row r="400" ht="22" customHeight="1">
      <c r="A400" s="2" t="inlineStr">
        <is>
          <t>8bd71be8a3c31a17</t>
        </is>
      </c>
      <c r="B400" s="2" t="inlineStr">
        <is>
          <t>2026-09-26 15:00</t>
        </is>
      </c>
      <c r="C400" s="3" t="inlineStr">
        <is>
          <t>Coordinado/a de hseq tecnico / tecnologo</t>
        </is>
      </c>
      <c r="D400" s="3" t="inlineStr">
        <is>
          <t>GI GROUP STAFFING S.A.S</t>
        </is>
      </c>
      <c r="E400" s="7" t="n">
        <v>0.5</v>
      </c>
      <c r="F400" s="2" t="inlineStr">
        <is>
          <t>Remoto</t>
        </is>
      </c>
      <c r="G400" s="5">
        <f>HYPERLINK("https://www.elempleo.com/co/ofertas-trabajo/coordinado-a-de-hseq-tecnico-tecnologo-licencia-de-maternidad-1886755960", "Ver Vacante")</f>
        <v/>
      </c>
      <c r="H400" s="6" t="inlineStr"/>
      <c r="I400" s="3" t="inlineStr">
        <is>
          <t>[Afinidad: 50/100 - Afinidad Moderada] Afinidad parcial en seguridad y salud ocupacional. Modalidad: 100% Remoto en Colombia confirmado.</t>
        </is>
      </c>
      <c r="J400" s="2" t="inlineStr">
        <is>
          <t>Nueva</t>
        </is>
      </c>
      <c r="K400" s="3" t="inlineStr"/>
    </row>
    <row r="401" ht="22" customHeight="1">
      <c r="A401" s="2" t="inlineStr">
        <is>
          <t>48a32ee00e933602</t>
        </is>
      </c>
      <c r="B401" s="2" t="inlineStr">
        <is>
          <t>2026-09-26 15:00</t>
        </is>
      </c>
      <c r="C401" s="3" t="inlineStr">
        <is>
          <t>Líder de HSE Funza</t>
        </is>
      </c>
      <c r="D401" s="3" t="inlineStr">
        <is>
          <t>Coaspharma</t>
        </is>
      </c>
      <c r="E401" s="7" t="n">
        <v>0.5</v>
      </c>
      <c r="F401" s="2" t="inlineStr">
        <is>
          <t>Remoto</t>
        </is>
      </c>
      <c r="G401" s="5">
        <f>HYPERLINK("https://co.linkedin.com/jobs/view/l%C3%ADder-de-hse-funza-at-coaspharma-4472206802", "Ver Vacante")</f>
        <v/>
      </c>
      <c r="H401" s="6" t="inlineStr"/>
      <c r="I401" s="3" t="inlineStr">
        <is>
          <t>[Afinidad: 50/100 - Afinidad Moderada] Afinidad parcial en seguridad y salud ocupacional. Modalidad: 100% Remoto en Colombia confirmado.</t>
        </is>
      </c>
      <c r="J401" s="2" t="inlineStr">
        <is>
          <t>Nueva</t>
        </is>
      </c>
      <c r="K401" s="3" t="inlineStr"/>
    </row>
    <row r="402" ht="22" customHeight="1">
      <c r="A402" s="2" t="inlineStr">
        <is>
          <t>158d52d234c03ea0</t>
        </is>
      </c>
      <c r="B402" s="2" t="inlineStr">
        <is>
          <t>2026-09-27 15:38</t>
        </is>
      </c>
      <c r="C402" s="3" t="inlineStr">
        <is>
          <t>Analista HSEQ</t>
        </is>
      </c>
      <c r="D402" s="3" t="inlineStr">
        <is>
          <t>Adecco Colombia S.A.</t>
        </is>
      </c>
      <c r="E402" s="7" t="n">
        <v>0.5</v>
      </c>
      <c r="F402" s="2" t="inlineStr">
        <is>
          <t>Remoto</t>
        </is>
      </c>
      <c r="G402" s="5">
        <f>HYPERLINK("https://co.computrabajo.com/ofertas-de-trabajo/oferta-de-trabajo-de-analista-hseq-bogota-en-bogota-dc-0AD6A8A7D12FF6DE61373E686DCF3405", "Ver Vacante")</f>
        <v/>
      </c>
      <c r="H402" s="6" t="inlineStr">
        <is>
          <t>$ 2.320.000,00 (Mensual)</t>
        </is>
      </c>
      <c r="I402" s="3" t="inlineStr">
        <is>
          <t>[Afinidad: 50/100 - Afinidad Moderada] Afinidad parcial en seguridad y salud ocupacional. Modalidad: 100% Remoto en Colombia confirmado.</t>
        </is>
      </c>
      <c r="J402" s="2" t="inlineStr">
        <is>
          <t>Nueva</t>
        </is>
      </c>
      <c r="K402" s="3" t="inlineStr"/>
    </row>
    <row r="403" ht="22" customHeight="1">
      <c r="A403" s="2" t="inlineStr">
        <is>
          <t>182f0845a966ef19</t>
        </is>
      </c>
      <c r="B403" s="2" t="inlineStr">
        <is>
          <t>2026-09-27 15:38</t>
        </is>
      </c>
      <c r="C403" s="3" t="inlineStr">
        <is>
          <t>Analista Seguridad Vial</t>
        </is>
      </c>
      <c r="D403" s="3" t="inlineStr">
        <is>
          <t>IMPROVE SOLUTIONS S.A.S</t>
        </is>
      </c>
      <c r="E403" s="7" t="n">
        <v>0.5</v>
      </c>
      <c r="F403" s="2" t="inlineStr">
        <is>
          <t>Remoto</t>
        </is>
      </c>
      <c r="G403" s="5">
        <f>HYPERLINK("https://co.computrabajo.com/ofertas-de-trabajo/oferta-de-trabajo-de-analista-seguridad-vial-en-cucuta-8D0599AAE93B7BDB61373E686DCF3405", "Ver Vacante")</f>
        <v/>
      </c>
      <c r="H403" s="6" t="inlineStr"/>
      <c r="I403" s="3" t="inlineStr">
        <is>
          <t>[Afinidad: 50/100 - Afinidad Moderada] Afinidad parcial en infraestructura vial y transporte. Modalidad: 100% Remoto en Colombia confirmado.</t>
        </is>
      </c>
      <c r="J403" s="2" t="inlineStr">
        <is>
          <t>Nueva</t>
        </is>
      </c>
      <c r="K403" s="3" t="inlineStr"/>
    </row>
    <row r="404" ht="22" customHeight="1">
      <c r="A404" s="2" t="inlineStr">
        <is>
          <t>a7b55fd269df3a50</t>
        </is>
      </c>
      <c r="B404" s="2" t="inlineStr">
        <is>
          <t>2026-09-27 15:38</t>
        </is>
      </c>
      <c r="C404" s="3" t="inlineStr">
        <is>
          <t>Analista de Seguridad y Salud en el Trabajo</t>
        </is>
      </c>
      <c r="D404" s="3" t="inlineStr">
        <is>
          <t>Importante empresa del sector</t>
        </is>
      </c>
      <c r="E404" s="7" t="n">
        <v>0.5</v>
      </c>
      <c r="F404" s="2" t="inlineStr">
        <is>
          <t>Remoto</t>
        </is>
      </c>
      <c r="G404" s="5">
        <f>HYPERLINK("https://co.computrabajo.com/ofertas-de-trabajo/oferta-de-trabajo-de-analista-de-seguridad-y-salud-en-el-trabajo-en-girardota-FCB0DBA2EE5A9F3C61373E686DCF3405", "Ver Vacante")</f>
        <v/>
      </c>
      <c r="H404" s="6" t="inlineStr">
        <is>
          <t>$ 2.800.000,00 (Mensual)</t>
        </is>
      </c>
      <c r="I404" s="3" t="inlineStr">
        <is>
          <t>[Afinidad: 50/100 - Afinidad Moderada] Afinidad parcial en seguridad y salud ocupacional. Modalidad: 100% Remoto en Colombia confirmado.</t>
        </is>
      </c>
      <c r="J404" s="2" t="inlineStr">
        <is>
          <t>Nueva</t>
        </is>
      </c>
      <c r="K404" s="3" t="inlineStr"/>
    </row>
    <row r="405" ht="22" customHeight="1">
      <c r="A405" s="2" t="inlineStr">
        <is>
          <t>665bd61e41f51bda</t>
        </is>
      </c>
      <c r="B405" s="2" t="inlineStr">
        <is>
          <t>2026-09-27 15:38</t>
        </is>
      </c>
      <c r="C405" s="3" t="inlineStr">
        <is>
          <t>Director de interventoría / Mosquera, Cundinamarca</t>
        </is>
      </c>
      <c r="D405" s="3" t="inlineStr">
        <is>
          <t>Importante empresa del sector</t>
        </is>
      </c>
      <c r="E405" s="7" t="n">
        <v>0.5</v>
      </c>
      <c r="F405" s="2" t="inlineStr">
        <is>
          <t>Remoto</t>
        </is>
      </c>
      <c r="G405" s="5">
        <f>HYPERLINK("https://co.computrabajo.com/ofertas-de-trabajo/oferta-de-trabajo-de-director-de-interventoria-mosquera-cundinamarca-en-mosquera-097873138F684A0161373E686DCF3405", "Ver Vacante")</f>
        <v/>
      </c>
      <c r="H405" s="6" t="inlineStr">
        <is>
          <t>$ 7.300.000,00 (Mensual)</t>
        </is>
      </c>
      <c r="I405" s="3" t="inlineStr">
        <is>
          <t>[Afinidad: 50/100 - Afinidad Moderada] Afinidad en disciplina base (Ingeniera Civil Especialista en Vías y SST) sin especialidad directa en vías/SST. Modalidad: 100% Remoto en Colombia confirmado.</t>
        </is>
      </c>
      <c r="J405" s="2" t="inlineStr">
        <is>
          <t>Nueva</t>
        </is>
      </c>
      <c r="K405" s="3" t="inlineStr"/>
    </row>
    <row r="406" ht="22" customHeight="1">
      <c r="A406" s="2" t="inlineStr">
        <is>
          <t>2d7943b278e48a1f</t>
        </is>
      </c>
      <c r="B406" s="2" t="inlineStr">
        <is>
          <t>2026-09-27 15:38</t>
        </is>
      </c>
      <c r="C406" s="3" t="inlineStr">
        <is>
          <t>Analista de seguridad y salud en el trabajo</t>
        </is>
      </c>
      <c r="D406" s="3" t="inlineStr">
        <is>
          <t>Fundación Santa Fe de Bogotá</t>
        </is>
      </c>
      <c r="E406" s="7" t="n">
        <v>0.5</v>
      </c>
      <c r="F406" s="2" t="inlineStr">
        <is>
          <t>Remoto</t>
        </is>
      </c>
      <c r="G406" s="5">
        <f>HYPERLINK("https://www.elempleo.com/co/ofertas-trabajo/analista-de-seguridad-y-salud-en-el-trabajo-1886761626", "Ver Vacante")</f>
        <v/>
      </c>
      <c r="H406" s="6" t="inlineStr"/>
      <c r="I406" s="3" t="inlineStr">
        <is>
          <t>[Afinidad: 50/100 - Afinidad Moderada] Afinidad parcial en seguridad y salud ocupacional. Modalidad: 100% Remoto en Colombia confirmado.</t>
        </is>
      </c>
      <c r="J406" s="2" t="inlineStr">
        <is>
          <t>Nueva</t>
        </is>
      </c>
      <c r="K406" s="3" t="inlineStr"/>
    </row>
    <row r="407" ht="22" customHeight="1">
      <c r="A407" s="2" t="inlineStr">
        <is>
          <t>56bbeddd14532a1d</t>
        </is>
      </c>
      <c r="B407" s="2" t="inlineStr">
        <is>
          <t>2026-09-27 15:38</t>
        </is>
      </c>
      <c r="C407" s="3" t="inlineStr">
        <is>
          <t>Ingeniero de infraestructura ti / siberia - tenjo</t>
        </is>
      </c>
      <c r="D407" s="3" t="inlineStr">
        <is>
          <t>Confidencial</t>
        </is>
      </c>
      <c r="E407" s="7" t="n">
        <v>0.5</v>
      </c>
      <c r="F407" s="2" t="inlineStr">
        <is>
          <t>Remoto</t>
        </is>
      </c>
      <c r="G407" s="5">
        <f>HYPERLINK("https://www.elempleo.com/co/ofertas-trabajo/ingeniero-de-infraestructura-ti-siberia-tenjo-1886757026", "Ver Vacante")</f>
        <v/>
      </c>
      <c r="H407" s="6" t="inlineStr"/>
      <c r="I407" s="3" t="inlineStr">
        <is>
          <t>[Afinidad: 50/100 - Afinidad Moderada] Afinidad parcial en infraestructura vial y transporte. Modalidad: 100% Remoto en Colombia confirmado.</t>
        </is>
      </c>
      <c r="J407" s="2" t="inlineStr">
        <is>
          <t>Nueva</t>
        </is>
      </c>
      <c r="K407" s="3" t="inlineStr"/>
    </row>
    <row r="408" ht="22" customHeight="1">
      <c r="A408" s="2" t="inlineStr">
        <is>
          <t>fb9d1689e52df06d</t>
        </is>
      </c>
      <c r="B408" s="2" t="inlineStr">
        <is>
          <t>2026-09-28 18:33</t>
        </is>
      </c>
      <c r="C408" s="3" t="inlineStr">
        <is>
          <t>Analista HSEQ</t>
        </is>
      </c>
      <c r="D408" s="3" t="inlineStr">
        <is>
          <t>Alianza Temporal S.A.S</t>
        </is>
      </c>
      <c r="E408" s="7" t="n">
        <v>0.5</v>
      </c>
      <c r="F408" s="2" t="inlineStr">
        <is>
          <t>Remoto</t>
        </is>
      </c>
      <c r="G408" s="5">
        <f>HYPERLINK("https://co.computrabajo.com/ofertas-de-trabajo/oferta-de-trabajo-de-analista-hseq-en-bogota-dc-60F9287F0E0927AA61373E686DCF3405", "Ver Vacante")</f>
        <v/>
      </c>
      <c r="H408" s="6" t="inlineStr">
        <is>
          <t>$ 2.800.000,00 (Mensual)</t>
        </is>
      </c>
      <c r="I408" s="3" t="inlineStr">
        <is>
          <t>[Afinidad: 50/100 - Afinidad Moderada] Afinidad parcial en seguridad y salud ocupacional. Modalidad: 100% Remoto en Colombia confirmado.</t>
        </is>
      </c>
      <c r="J408" s="2" t="inlineStr">
        <is>
          <t>Nueva</t>
        </is>
      </c>
      <c r="K408" s="3" t="inlineStr"/>
    </row>
    <row r="409" ht="22" customHeight="1">
      <c r="A409" s="2" t="inlineStr">
        <is>
          <t>a126bb419c79df7e</t>
        </is>
      </c>
      <c r="B409" s="2" t="inlineStr">
        <is>
          <t>2026-09-28 18:33</t>
        </is>
      </c>
      <c r="C409" s="3" t="inlineStr">
        <is>
          <t>Analista hseq</t>
        </is>
      </c>
      <c r="D409" s="3" t="inlineStr">
        <is>
          <t>COLOMBIANA DE BITUMEN S.A.S.</t>
        </is>
      </c>
      <c r="E409" s="7" t="n">
        <v>0.5</v>
      </c>
      <c r="F409" s="2" t="inlineStr">
        <is>
          <t>Remoto</t>
        </is>
      </c>
      <c r="G409" s="5">
        <f>HYPERLINK("https://co.computrabajo.com/ofertas-de-trabajo/oferta-de-trabajo-de-analista-hseq-turno-20x10-en-barrancabermeja-61259FD10ECADDAA61373E686DCF3405", "Ver Vacante")</f>
        <v/>
      </c>
      <c r="H409" s="6" t="inlineStr">
        <is>
          <t>$ 2.920.000,00 (Mensual)</t>
        </is>
      </c>
      <c r="I409" s="3" t="inlineStr">
        <is>
          <t>[Afinidad: 50/100 - Afinidad Moderada] Afinidad parcial en seguridad y salud ocupacional. Modalidad: 100% Remoto en Colombia confirmado.</t>
        </is>
      </c>
      <c r="J409" s="2" t="inlineStr">
        <is>
          <t>Nueva</t>
        </is>
      </c>
      <c r="K409" s="3" t="inlineStr"/>
    </row>
    <row r="410" ht="22" customHeight="1">
      <c r="A410" s="2" t="inlineStr">
        <is>
          <t>e5bfaf2c54afe6e9</t>
        </is>
      </c>
      <c r="B410" s="2" t="inlineStr">
        <is>
          <t>2026-09-28 18:33</t>
        </is>
      </c>
      <c r="C410" s="3" t="inlineStr">
        <is>
          <t>Técnico de Seguridad Vial</t>
        </is>
      </c>
      <c r="D410" s="3" t="inlineStr">
        <is>
          <t>Grupo emi S.A.S</t>
        </is>
      </c>
      <c r="E410" s="7" t="n">
        <v>0.5</v>
      </c>
      <c r="F410" s="2" t="inlineStr">
        <is>
          <t>Remoto</t>
        </is>
      </c>
      <c r="G410" s="5">
        <f>HYPERLINK("https://co.computrabajo.com/ofertas-de-trabajo/oferta-de-trabajo-de-tecnico-de-seguridad-vial-motorizado-bogota-en-bogota-dc-72F1AE2DD8173FE461373E686DCF3405", "Ver Vacante")</f>
        <v/>
      </c>
      <c r="H410" s="6" t="inlineStr">
        <is>
          <t>$ 2.300.000,00 (Mensual)</t>
        </is>
      </c>
      <c r="I410" s="3" t="inlineStr">
        <is>
          <t>[Afinidad: 50/100 - Afinidad Moderada] Afinidad parcial en infraestructura vial y transporte. Modalidad: 100% Remoto en Colombia confirmado.</t>
        </is>
      </c>
      <c r="J410" s="2" t="inlineStr">
        <is>
          <t>Nueva</t>
        </is>
      </c>
      <c r="K410" s="3" t="inlineStr"/>
    </row>
    <row r="411" ht="22" customHeight="1">
      <c r="A411" s="2" t="inlineStr">
        <is>
          <t>e13fffd506305725</t>
        </is>
      </c>
      <c r="B411" s="2" t="inlineStr">
        <is>
          <t>2026-09-28 18:33</t>
        </is>
      </c>
      <c r="C411" s="3" t="inlineStr">
        <is>
          <t>Líder HSEQ</t>
        </is>
      </c>
      <c r="D411" s="3" t="inlineStr">
        <is>
          <t>RH GROUP S.A.S</t>
        </is>
      </c>
      <c r="E411" s="7" t="n">
        <v>0.5</v>
      </c>
      <c r="F411" s="2" t="inlineStr">
        <is>
          <t>Remoto</t>
        </is>
      </c>
      <c r="G411" s="5">
        <f>HYPERLINK("https://co.computrabajo.com/ofertas-de-trabajo/oferta-de-trabajo-de-lider-hseq-transporte-de-carga-en-bogota-dc-F5737E43A93B5BC961373E686DCF3405", "Ver Vacante")</f>
        <v/>
      </c>
      <c r="H411" s="6" t="inlineStr">
        <is>
          <t>$ 4.000.000,00 (Mensual)</t>
        </is>
      </c>
      <c r="I411" s="3" t="inlineStr">
        <is>
          <t>[Afinidad: 50/100 - Afinidad Moderada] Afinidad parcial en seguridad y salud ocupacional. Modalidad: 100% Remoto en Colombia confirmado.</t>
        </is>
      </c>
      <c r="J411" s="2" t="inlineStr">
        <is>
          <t>Nueva</t>
        </is>
      </c>
      <c r="K411" s="3" t="inlineStr"/>
    </row>
    <row r="412" ht="22" customHeight="1">
      <c r="A412" s="2" t="inlineStr">
        <is>
          <t>ce9df04fc55e902d</t>
        </is>
      </c>
      <c r="B412" s="2" t="inlineStr">
        <is>
          <t>2026-09-28 18:33</t>
        </is>
      </c>
      <c r="C412" s="3" t="inlineStr">
        <is>
          <t>Analista hseq-mosquera/</t>
        </is>
      </c>
      <c r="D412" s="3" t="inlineStr">
        <is>
          <t>AGENCIA DE EMPLEO Y FOMENTO EMPRESARIAL COMPENSAR</t>
        </is>
      </c>
      <c r="E412" s="7" t="n">
        <v>0.5</v>
      </c>
      <c r="F412" s="2" t="inlineStr">
        <is>
          <t>Remoto</t>
        </is>
      </c>
      <c r="G412" s="5">
        <f>HYPERLINK("https://www.elempleo.com/co/ofertas-trabajo/analista-hseqmosquera-1886771003", "Ver Vacante")</f>
        <v/>
      </c>
      <c r="H412" s="6" t="inlineStr"/>
      <c r="I412" s="3" t="inlineStr">
        <is>
          <t>[Afinidad: 50/100 - Afinidad Moderada] Afinidad parcial en seguridad y salud ocupacional. Modalidad: 100% Remoto en Colombia confirmado.</t>
        </is>
      </c>
      <c r="J412" s="2" t="inlineStr">
        <is>
          <t>Nueva</t>
        </is>
      </c>
      <c r="K412" s="3" t="inlineStr"/>
    </row>
    <row r="413" ht="22" customHeight="1">
      <c r="A413" s="2" t="inlineStr">
        <is>
          <t>6f8eabfbc4ec3e41</t>
        </is>
      </c>
      <c r="B413" s="2" t="inlineStr">
        <is>
          <t>2026-09-28 18:33</t>
        </is>
      </c>
      <c r="C413" s="3" t="inlineStr">
        <is>
          <t>Analista HSE</t>
        </is>
      </c>
      <c r="D413" s="3" t="inlineStr">
        <is>
          <t>AEROSAN Airport Services S.A.</t>
        </is>
      </c>
      <c r="E413" s="7" t="n">
        <v>0.5</v>
      </c>
      <c r="F413" s="2" t="inlineStr">
        <is>
          <t>Remoto</t>
        </is>
      </c>
      <c r="G413" s="5">
        <f>HYPERLINK("https://co.linkedin.com/jobs/view/analista-hse-at-aerosan-airport-services-s-a-4468581761", "Ver Vacante")</f>
        <v/>
      </c>
      <c r="H413" s="6" t="inlineStr"/>
      <c r="I413" s="3" t="inlineStr">
        <is>
          <t>[Afinidad: 50/100 - Afinidad Moderada] Afinidad parcial en seguridad y salud ocupacional. Modalidad: 100% Remoto en Colombia confirmado.</t>
        </is>
      </c>
      <c r="J413" s="2" t="inlineStr">
        <is>
          <t>Nueva</t>
        </is>
      </c>
      <c r="K413" s="3" t="inlineStr"/>
    </row>
    <row r="414" ht="22" customHeight="1">
      <c r="A414" s="2" t="inlineStr">
        <is>
          <t>aa1853d76c5c5ed9</t>
        </is>
      </c>
      <c r="B414" s="2" t="inlineStr">
        <is>
          <t>2026-09-29 16:56</t>
        </is>
      </c>
      <c r="C414" s="3" t="inlineStr">
        <is>
          <t>Consultor ambiental y seguridad y salud en el trabajo</t>
        </is>
      </c>
      <c r="D414" s="3" t="inlineStr">
        <is>
          <t>MEZZA Y CIA LTDA</t>
        </is>
      </c>
      <c r="E414" s="7" t="n">
        <v>0.5</v>
      </c>
      <c r="F414" s="2" t="inlineStr">
        <is>
          <t>Remoto</t>
        </is>
      </c>
      <c r="G414" s="5">
        <f>HYPERLINK("https://co.computrabajo.com/ofertas-de-trabajo/oferta-de-trabajo-de-consultor-ambiental-y-seguridad-y-salud-en-el-trabajo-en-bogota-dc-A14DC14AA2298CCB61373E686DCF3405", "Ver Vacante")</f>
        <v/>
      </c>
      <c r="H414" s="6" t="inlineStr">
        <is>
          <t>$ 2.680.001,00 (Mensual)</t>
        </is>
      </c>
      <c r="I414" s="3" t="inlineStr">
        <is>
          <t>[Afinidad: 50/100 - Afinidad Moderada] Afinidad parcial en seguridad y salud ocupacional. Modalidad: 100% Remoto en Colombia confirmado.</t>
        </is>
      </c>
      <c r="J414" s="2" t="inlineStr">
        <is>
          <t>Nueva</t>
        </is>
      </c>
      <c r="K414" s="3" t="inlineStr"/>
    </row>
    <row r="415" ht="22" customHeight="1">
      <c r="A415" s="2" t="inlineStr">
        <is>
          <t>86201a8c69fe5815</t>
        </is>
      </c>
      <c r="B415" s="2" t="inlineStr">
        <is>
          <t>2026-09-29 16:56</t>
        </is>
      </c>
      <c r="C415" s="3" t="inlineStr">
        <is>
          <t>Analista de SST y Ambiental</t>
        </is>
      </c>
      <c r="D415" s="3" t="inlineStr">
        <is>
          <t>Importante empresa del sector</t>
        </is>
      </c>
      <c r="E415" s="7" t="n">
        <v>0.5</v>
      </c>
      <c r="F415" s="2" t="inlineStr">
        <is>
          <t>Remoto</t>
        </is>
      </c>
      <c r="G415" s="5">
        <f>HYPERLINK("https://co.computrabajo.com/ofertas-de-trabajo/oferta-de-trabajo-de-analista-de-sst-y-ambiental-en-medellin-0895E6B31FC4695061373E686DCF3405", "Ver Vacante")</f>
        <v/>
      </c>
      <c r="H415" s="6" t="inlineStr">
        <is>
          <t>$ 2.200.000,00 (Mensual)</t>
        </is>
      </c>
      <c r="I415" s="3" t="inlineStr">
        <is>
          <t>[Afinidad: 50/100 - Afinidad Moderada] Afinidad parcial en seguridad y salud ocupacional. Modalidad: 100% Remoto en Colombia confirmado.</t>
        </is>
      </c>
      <c r="J415" s="2" t="inlineStr">
        <is>
          <t>Nueva</t>
        </is>
      </c>
      <c r="K415" s="3" t="inlineStr"/>
    </row>
    <row r="416" ht="22" customHeight="1">
      <c r="A416" s="2" t="inlineStr">
        <is>
          <t>46e9717e44c22e27</t>
        </is>
      </c>
      <c r="B416" s="2" t="inlineStr">
        <is>
          <t>2026-09-29 16:56</t>
        </is>
      </c>
      <c r="C416" s="3" t="inlineStr">
        <is>
          <t>Analista HSEQ</t>
        </is>
      </c>
      <c r="D416" s="3" t="inlineStr">
        <is>
          <t>Transportes Especializados JR SAS</t>
        </is>
      </c>
      <c r="E416" s="7" t="n">
        <v>0.5</v>
      </c>
      <c r="F416" s="2" t="inlineStr">
        <is>
          <t>Remoto</t>
        </is>
      </c>
      <c r="G416" s="5">
        <f>HYPERLINK("https://co.computrabajo.com/ofertas-de-trabajo/oferta-de-trabajo-de-analista-hseq-sector-ganadero-y-hotelero-en-villavicencio-D5D82FF691ED940C61373E686DCF3405", "Ver Vacante")</f>
        <v/>
      </c>
      <c r="H416" s="6" t="inlineStr"/>
      <c r="I416" s="3" t="inlineStr">
        <is>
          <t>[Afinidad: 50/100 - Afinidad Moderada] Afinidad parcial en seguridad y salud ocupacional. Modalidad: 100% Remoto en Colombia confirmado.</t>
        </is>
      </c>
      <c r="J416" s="2" t="inlineStr">
        <is>
          <t>Nueva</t>
        </is>
      </c>
      <c r="K416" s="3" t="inlineStr"/>
    </row>
    <row r="417" ht="22" customHeight="1">
      <c r="A417" s="2" t="inlineStr">
        <is>
          <t>cf4dd25358e73581</t>
        </is>
      </c>
      <c r="B417" s="2" t="inlineStr">
        <is>
          <t>2026-09-29 16:56</t>
        </is>
      </c>
      <c r="C417" s="3" t="inlineStr">
        <is>
          <t>Auxiliar SST Técnico y/o tecnólogo</t>
        </is>
      </c>
      <c r="D417" s="3" t="inlineStr">
        <is>
          <t>Productos Alimenticios LAS CASERITAS S.A.</t>
        </is>
      </c>
      <c r="E417" s="7" t="n">
        <v>0.5</v>
      </c>
      <c r="F417" s="2" t="inlineStr">
        <is>
          <t>Remoto</t>
        </is>
      </c>
      <c r="G417" s="5">
        <f>HYPERLINK("https://co.computrabajo.com/ofertas-de-trabajo/oferta-de-trabajo-de-auxiliar-sst-tecnico-yo-tecnologo-experiencia-pesv-en-sabaneta-F7BD1E37111FEB7F61373E686DCF3405", "Ver Vacante")</f>
        <v/>
      </c>
      <c r="H417" s="6" t="inlineStr">
        <is>
          <t>$ 2.100.000,00 (Mensual)</t>
        </is>
      </c>
      <c r="I417" s="3" t="inlineStr">
        <is>
          <t>[Afinidad: 50/100 - Afinidad Moderada] Afinidad parcial en seguridad y salud ocupacional. Modalidad: 100% Remoto en Colombia confirmado.</t>
        </is>
      </c>
      <c r="J417" s="2" t="inlineStr">
        <is>
          <t>Nueva</t>
        </is>
      </c>
      <c r="K417" s="3" t="inlineStr"/>
    </row>
    <row r="418" ht="22" customHeight="1">
      <c r="A418" s="2" t="inlineStr">
        <is>
          <t>e0289b96b5e5aca1</t>
        </is>
      </c>
      <c r="B418" s="2" t="inlineStr">
        <is>
          <t>2026-09-29 16:56</t>
        </is>
      </c>
      <c r="C418" s="3" t="inlineStr">
        <is>
          <t>Analista de Infraestructura</t>
        </is>
      </c>
      <c r="D418" s="3" t="inlineStr">
        <is>
          <t>BOGOTA MOVIL</t>
        </is>
      </c>
      <c r="E418" s="7" t="n">
        <v>0.5</v>
      </c>
      <c r="F418" s="2" t="inlineStr">
        <is>
          <t>Remoto</t>
        </is>
      </c>
      <c r="G418" s="5">
        <f>HYPERLINK("https://co.computrabajo.com/ofertas-de-trabajo/oferta-de-trabajo-de-analista-de-infraestructura-en-bogota-dc-84538088ACE7C2A761373E686DCF3405", "Ver Vacante")</f>
        <v/>
      </c>
      <c r="H418" s="6" t="inlineStr">
        <is>
          <t>$ 4.664.000,00 (Mensual)</t>
        </is>
      </c>
      <c r="I418" s="3" t="inlineStr">
        <is>
          <t>[Afinidad: 50/100 - Afinidad Moderada] Afinidad parcial en infraestructura vial y transporte. Modalidad: 100% Remoto en Colombia confirmado.</t>
        </is>
      </c>
      <c r="J418" s="2" t="inlineStr">
        <is>
          <t>Nueva</t>
        </is>
      </c>
      <c r="K418" s="3" t="inlineStr"/>
    </row>
    <row r="419" ht="22" customHeight="1">
      <c r="A419" s="2" t="inlineStr">
        <is>
          <t>99732df7cf109dca</t>
        </is>
      </c>
      <c r="B419" s="2" t="inlineStr">
        <is>
          <t>2026-09-29 16:56</t>
        </is>
      </c>
      <c r="C419" s="3" t="inlineStr">
        <is>
          <t>Director jurídico - concesión vial</t>
        </is>
      </c>
      <c r="D419" s="3" t="inlineStr">
        <is>
          <t>Confidencial</t>
        </is>
      </c>
      <c r="E419" s="7" t="n">
        <v>0.5</v>
      </c>
      <c r="F419" s="2" t="inlineStr">
        <is>
          <t>Remoto</t>
        </is>
      </c>
      <c r="G419" s="5">
        <f>HYPERLINK("https://www.elempleo.com/co/ofertas-trabajo/director-juridico-concesion-vial-1886773755", "Ver Vacante")</f>
        <v/>
      </c>
      <c r="H419" s="6" t="inlineStr"/>
      <c r="I419" s="3" t="inlineStr">
        <is>
          <t>[Afinidad: 50/100 - Afinidad Moderada] Afinidad parcial en infraestructura vial y transporte. Modalidad: 100% Remoto en Colombia confirmado.</t>
        </is>
      </c>
      <c r="J419" s="2" t="inlineStr">
        <is>
          <t>Nueva</t>
        </is>
      </c>
      <c r="K419" s="3" t="inlineStr"/>
    </row>
    <row r="420" ht="22" customHeight="1">
      <c r="A420" s="2" t="inlineStr">
        <is>
          <t>f4061b893930be56</t>
        </is>
      </c>
      <c r="B420" s="2" t="inlineStr">
        <is>
          <t>2026-09-29 16:56</t>
        </is>
      </c>
      <c r="C420" s="3" t="inlineStr">
        <is>
          <t>Director de proyecto</t>
        </is>
      </c>
      <c r="D420" s="3" t="inlineStr">
        <is>
          <t>Confidencial</t>
        </is>
      </c>
      <c r="E420" s="7" t="n">
        <v>0.5</v>
      </c>
      <c r="F420" s="2" t="inlineStr">
        <is>
          <t>Remoto</t>
        </is>
      </c>
      <c r="G420" s="5">
        <f>HYPERLINK("https://www.elempleo.com/co/ofertas-trabajo/director-de-proyecto-1886773471", "Ver Vacante")</f>
        <v/>
      </c>
      <c r="H420" s="6" t="inlineStr"/>
      <c r="I420" s="3" t="inlineStr">
        <is>
          <t>[Afinidad: 50/100 - Afinidad Moderada] Afinidad en disciplina base (Ingeniera Civil Especialista en Vías y SST) sin especialidad directa en vías/SST. Modalidad: 100% Remoto en Colombia confirmado.</t>
        </is>
      </c>
      <c r="J420" s="2" t="inlineStr">
        <is>
          <t>Nueva</t>
        </is>
      </c>
      <c r="K420" s="3" t="inlineStr"/>
    </row>
    <row r="421" ht="22" customHeight="1">
      <c r="A421" s="2" t="inlineStr">
        <is>
          <t>7021630d6c4620eb</t>
        </is>
      </c>
      <c r="B421" s="2" t="inlineStr">
        <is>
          <t>2026-09-29 16:56</t>
        </is>
      </c>
      <c r="C421" s="3" t="inlineStr">
        <is>
          <t>PROFESIONAL SENIOR CIVIL - GUAYEPO - MISIÓN</t>
        </is>
      </c>
      <c r="D421" s="3" t="inlineStr">
        <is>
          <t>Enel Colombia</t>
        </is>
      </c>
      <c r="E421" s="7" t="n">
        <v>0.5</v>
      </c>
      <c r="F421" s="2" t="inlineStr">
        <is>
          <t>Remoto</t>
        </is>
      </c>
      <c r="G421" s="5">
        <f>HYPERLINK("https://co.linkedin.com/jobs/view/profesional-senior-civil-guayepo-misi%C3%B3n-at-enel-colombia-4471255555", "Ver Vacante")</f>
        <v/>
      </c>
      <c r="H421" s="6" t="inlineStr"/>
      <c r="I421" s="3" t="inlineStr">
        <is>
          <t>[Afinidad: 50/100 - Afinidad Moderada] Afinidad en disciplina base (Ingeniera Civil Especialista en Vías y SST) sin especialidad directa en vías/SST. Modalidad: 100% Remoto en Colombia confirmado.</t>
        </is>
      </c>
      <c r="J421" s="2" t="inlineStr">
        <is>
          <t>Nueva</t>
        </is>
      </c>
      <c r="K421" s="3" t="inlineStr"/>
    </row>
    <row r="422" ht="22" customHeight="1">
      <c r="A422" s="2" t="inlineStr">
        <is>
          <t>3a1611ee1dc030fc</t>
        </is>
      </c>
      <c r="B422" s="2" t="inlineStr">
        <is>
          <t>2026-09-29 16:56</t>
        </is>
      </c>
      <c r="C422" s="3" t="inlineStr">
        <is>
          <t>Analista sst</t>
        </is>
      </c>
      <c r="D422" s="3" t="inlineStr">
        <is>
          <t>Comfandi</t>
        </is>
      </c>
      <c r="E422" s="7" t="n">
        <v>0.5</v>
      </c>
      <c r="F422" s="2" t="inlineStr">
        <is>
          <t>Remoto</t>
        </is>
      </c>
      <c r="G422" s="5">
        <f>HYPERLINK("https://co.linkedin.com/jobs/view/analista-sst-at-comfandi-4473041435", "Ver Vacante")</f>
        <v/>
      </c>
      <c r="H422" s="6" t="inlineStr"/>
      <c r="I422" s="3" t="inlineStr">
        <is>
          <t>[Afinidad: 50/100 - Afinidad Moderada] Afinidad parcial en seguridad y salud ocupacional. Modalidad: 100% Remoto en Colombia confirmado.</t>
        </is>
      </c>
      <c r="J422" s="2" t="inlineStr">
        <is>
          <t>Nueva</t>
        </is>
      </c>
      <c r="K422" s="3" t="inlineStr"/>
    </row>
    <row r="423" ht="22" customHeight="1">
      <c r="A423" s="2" t="inlineStr">
        <is>
          <t>020d30801f243ad2</t>
        </is>
      </c>
      <c r="B423" s="2" t="inlineStr">
        <is>
          <t>2026-09-29 16:56</t>
        </is>
      </c>
      <c r="C423" s="3" t="inlineStr">
        <is>
          <t>Analista de SST</t>
        </is>
      </c>
      <c r="D423" s="3" t="inlineStr">
        <is>
          <t>D1 S.A.S</t>
        </is>
      </c>
      <c r="E423" s="7" t="n">
        <v>0.5</v>
      </c>
      <c r="F423" s="2" t="inlineStr">
        <is>
          <t>Remoto</t>
        </is>
      </c>
      <c r="G423" s="5">
        <f>HYPERLINK("https://co.linkedin.com/jobs/view/analista-de-sst-at-d1-s-a-s-4471726263", "Ver Vacante")</f>
        <v/>
      </c>
      <c r="H423" s="6" t="inlineStr"/>
      <c r="I423" s="3" t="inlineStr">
        <is>
          <t>[Afinidad: 50/100 - Afinidad Moderada] Afinidad parcial en seguridad y salud ocupacional. Modalidad: 100% Remoto en Colombia confirmado.</t>
        </is>
      </c>
      <c r="J423" s="2" t="inlineStr">
        <is>
          <t>Nueva</t>
        </is>
      </c>
      <c r="K423" s="3" t="inlineStr"/>
    </row>
    <row r="424" ht="22" customHeight="1">
      <c r="A424" s="2" t="inlineStr">
        <is>
          <t>6cfa919f356ead48</t>
        </is>
      </c>
      <c r="B424" s="2" t="inlineStr">
        <is>
          <t>2026-09-29 16:56</t>
        </is>
      </c>
      <c r="C424" s="3" t="inlineStr">
        <is>
          <t>Tecnico en salud ocupacional</t>
        </is>
      </c>
      <c r="D424" s="3" t="inlineStr">
        <is>
          <t>Industrias Metálicas Anro</t>
        </is>
      </c>
      <c r="E424" s="7" t="n">
        <v>0.5</v>
      </c>
      <c r="F424" s="2" t="inlineStr">
        <is>
          <t>Remoto</t>
        </is>
      </c>
      <c r="G424" s="5">
        <f>HYPERLINK("https://co.linkedin.com/jobs/view/tecnico-en-salud-ocupacional-at-industrias-met%C3%A1licas-anro-4468013193", "Ver Vacante")</f>
        <v/>
      </c>
      <c r="H424" s="6" t="inlineStr"/>
      <c r="I424" s="3" t="inlineStr">
        <is>
          <t>[Afinidad: 50/100 - Afinidad Moderada] Afinidad parcial en seguridad y salud ocupacional. Modalidad: 100% Remoto en Colombia confirmado.</t>
        </is>
      </c>
      <c r="J424" s="2" t="inlineStr">
        <is>
          <t>Nueva</t>
        </is>
      </c>
      <c r="K424" s="3" t="inlineStr"/>
    </row>
    <row r="425" ht="22" customHeight="1">
      <c r="A425" s="2" t="inlineStr">
        <is>
          <t>5e036e740884f39c</t>
        </is>
      </c>
      <c r="B425" s="2" t="inlineStr">
        <is>
          <t>2026-09-29 16:56</t>
        </is>
      </c>
      <c r="C425" s="3" t="inlineStr">
        <is>
          <t>Director de proyecto</t>
        </is>
      </c>
      <c r="D425" s="3" t="inlineStr">
        <is>
          <t>Ospinas &amp; Cía. S.A.</t>
        </is>
      </c>
      <c r="E425" s="7" t="n">
        <v>0.5</v>
      </c>
      <c r="F425" s="2" t="inlineStr">
        <is>
          <t>Remoto</t>
        </is>
      </c>
      <c r="G425" s="5">
        <f>HYPERLINK("https://co.linkedin.com/jobs/view/director-de-proyecto-at-ospinas-c%C3%ADa-s-a-4471212521", "Ver Vacante")</f>
        <v/>
      </c>
      <c r="H425" s="6" t="inlineStr"/>
      <c r="I425" s="3" t="inlineStr">
        <is>
          <t>[Afinidad: 50/100 - Afinidad Moderada] Afinidad en disciplina base (Ingeniera Civil Especialista en Vías y SST) sin especialidad directa en vías/SST. Modalidad: 100% Remoto en Colombia confirmado.</t>
        </is>
      </c>
      <c r="J425" s="2" t="inlineStr">
        <is>
          <t>Nueva</t>
        </is>
      </c>
      <c r="K425" s="3" t="inlineStr"/>
    </row>
    <row r="426" ht="22" customHeight="1">
      <c r="A426" s="2" t="inlineStr">
        <is>
          <t>0c19effab36a2934</t>
        </is>
      </c>
      <c r="B426" s="2" t="inlineStr">
        <is>
          <t>2026-09-29 16:56</t>
        </is>
      </c>
      <c r="C426" s="3" t="inlineStr">
        <is>
          <t>Director de Proyectos Inmobiliarios | Base Barranquilla</t>
        </is>
      </c>
      <c r="D426" s="3" t="inlineStr">
        <is>
          <t>Ospinas &amp; Cía. S.A.</t>
        </is>
      </c>
      <c r="E426" s="7" t="n">
        <v>0.5</v>
      </c>
      <c r="F426" s="2" t="inlineStr">
        <is>
          <t>Remoto</t>
        </is>
      </c>
      <c r="G426" s="5">
        <f>HYPERLINK("https://co.linkedin.com/jobs/view/director-de-proyectos-inmobiliarios-base-barranquilla-at-ospinas-c%C3%ADa-s-a-4471208656", "Ver Vacante")</f>
        <v/>
      </c>
      <c r="H426" s="6" t="inlineStr"/>
      <c r="I426" s="3" t="inlineStr">
        <is>
          <t>[Afinidad: 50/100 - Afinidad Moderada] Afinidad en disciplina base (Ingeniera Civil Especialista en Vías y SST) sin especialidad directa en vías/SST. Modalidad: 100% Remoto en Colombia confirmado.</t>
        </is>
      </c>
      <c r="J426" s="2" t="inlineStr">
        <is>
          <t>Nueva</t>
        </is>
      </c>
      <c r="K426" s="3" t="inlineStr"/>
    </row>
    <row r="427" ht="22" customHeight="1">
      <c r="A427" s="2" t="inlineStr">
        <is>
          <t>8866c6d524273852</t>
        </is>
      </c>
      <c r="B427" s="2" t="inlineStr">
        <is>
          <t>2026-09-29 16:56</t>
        </is>
      </c>
      <c r="C427" s="3" t="inlineStr">
        <is>
          <t>Lider de Proyectos SST - Construcción - Manufactura</t>
        </is>
      </c>
      <c r="D427" s="3" t="inlineStr">
        <is>
          <t>LER Prevención</t>
        </is>
      </c>
      <c r="E427" s="7" t="n">
        <v>0.5</v>
      </c>
      <c r="F427" s="2" t="inlineStr">
        <is>
          <t>Remoto</t>
        </is>
      </c>
      <c r="G427" s="5">
        <f>HYPERLINK("https://co.linkedin.com/jobs/view/lider-de-proyectos-sst-construcci%C3%B3n-manufactura-at-ler-prevenci%C3%B3n-4471740571", "Ver Vacante")</f>
        <v/>
      </c>
      <c r="H427" s="6" t="inlineStr"/>
      <c r="I427" s="3" t="inlineStr">
        <is>
          <t>[Afinidad: 50/100 - Afinidad Moderada] Afinidad parcial en seguridad y salud ocupacional. Modalidad: 100% Remoto en Colombia confirmado.</t>
        </is>
      </c>
      <c r="J427" s="2" t="inlineStr">
        <is>
          <t>Nueva</t>
        </is>
      </c>
      <c r="K427" s="3" t="inlineStr"/>
    </row>
    <row r="428" ht="22" customHeight="1">
      <c r="A428" s="2" t="inlineStr">
        <is>
          <t>5199355566a75a1a</t>
        </is>
      </c>
      <c r="B428" s="2" t="inlineStr">
        <is>
          <t>2026-09-29 16:56</t>
        </is>
      </c>
      <c r="C428" s="3" t="inlineStr">
        <is>
          <t>Ingeniero Líder Civil Generación Distribuida</t>
        </is>
      </c>
      <c r="D428" s="3" t="inlineStr">
        <is>
          <t>Vattio Energía solar</t>
        </is>
      </c>
      <c r="E428" s="7" t="n">
        <v>0.5</v>
      </c>
      <c r="F428" s="2" t="inlineStr">
        <is>
          <t>Remoto</t>
        </is>
      </c>
      <c r="G428" s="5">
        <f>HYPERLINK("https://co.linkedin.com/jobs/view/ingeniero-l%C3%ADder-civil-generaci%C3%B3n-distribuida-at-vattio-energ%C3%ADa-solar-4465109200", "Ver Vacante")</f>
        <v/>
      </c>
      <c r="H428" s="6" t="inlineStr"/>
      <c r="I428" s="3" t="inlineStr">
        <is>
          <t>[Afinidad: 50/100 - Afinidad Moderada] Afinidad en disciplina base (Ingeniera Civil Especialista en Vías y SST) sin especialidad directa en vías/SST. Modalidad: 100% Remoto en Colombia confirmado.</t>
        </is>
      </c>
      <c r="J428" s="2" t="inlineStr">
        <is>
          <t>Nueva</t>
        </is>
      </c>
      <c r="K428" s="3" t="inlineStr"/>
    </row>
    <row r="429" ht="22" customHeight="1">
      <c r="A429" s="2" t="inlineStr">
        <is>
          <t>c685298300c728b9</t>
        </is>
      </c>
      <c r="B429" s="2" t="inlineStr">
        <is>
          <t>2026-09-30 16:46</t>
        </is>
      </c>
      <c r="C429" s="3" t="inlineStr">
        <is>
          <t>Analista HSEQ</t>
        </is>
      </c>
      <c r="D429" s="3" t="inlineStr">
        <is>
          <t>ANAVA LOGISTICS S.A.S</t>
        </is>
      </c>
      <c r="E429" s="7" t="n">
        <v>0.5</v>
      </c>
      <c r="F429" s="2" t="inlineStr">
        <is>
          <t>Remoto</t>
        </is>
      </c>
      <c r="G429" s="5">
        <f>HYPERLINK("https://co.computrabajo.com/ofertas-de-trabajo/oferta-de-trabajo-de-analista-hseq-bogota-en-bogota-dc-E53A4F22A973920F61373E686DCF3405", "Ver Vacante")</f>
        <v/>
      </c>
      <c r="H429" s="6" t="inlineStr">
        <is>
          <t>$ 2.800.000,00 (Mensual)</t>
        </is>
      </c>
      <c r="I429" s="3" t="inlineStr">
        <is>
          <t>[Afinidad: 50/100 - Afinidad Moderada] Afinidad parcial en seguridad y salud ocupacional. Modalidad: 100% Remoto en Colombia confirmado.</t>
        </is>
      </c>
      <c r="J429" s="2" t="inlineStr">
        <is>
          <t>Nueva</t>
        </is>
      </c>
      <c r="K429" s="3" t="inlineStr"/>
    </row>
    <row r="430" ht="22" customHeight="1">
      <c r="A430" s="2" t="inlineStr">
        <is>
          <t>156dd5420c6e5b92</t>
        </is>
      </c>
      <c r="B430" s="2" t="inlineStr">
        <is>
          <t>2026-09-30 16:46</t>
        </is>
      </c>
      <c r="C430" s="3" t="inlineStr">
        <is>
          <t>Analista de SST y ambiental</t>
        </is>
      </c>
      <c r="D430" s="3" t="inlineStr">
        <is>
          <t>Importante empresa del sector</t>
        </is>
      </c>
      <c r="E430" s="7" t="n">
        <v>0.5</v>
      </c>
      <c r="F430" s="2" t="inlineStr">
        <is>
          <t>Remoto</t>
        </is>
      </c>
      <c r="G430" s="5">
        <f>HYPERLINK("https://co.computrabajo.com/ofertas-de-trabajo/oferta-de-trabajo-de-analista-de-sst-y-ambiental-en-medellin-F63968234861F97461373E686DCF3405", "Ver Vacante")</f>
        <v/>
      </c>
      <c r="H430" s="6" t="inlineStr"/>
      <c r="I430" s="3" t="inlineStr">
        <is>
          <t>[Afinidad: 50/100 - Afinidad Moderada] Afinidad parcial en seguridad y salud ocupacional. Modalidad: 100% Remoto en Colombia confirmado.</t>
        </is>
      </c>
      <c r="J430" s="2" t="inlineStr">
        <is>
          <t>Nueva</t>
        </is>
      </c>
      <c r="K430" s="3" t="inlineStr"/>
    </row>
    <row r="431" ht="22" customHeight="1">
      <c r="A431" s="2" t="inlineStr">
        <is>
          <t>de5fd6fd93eea8e4</t>
        </is>
      </c>
      <c r="B431" s="2" t="inlineStr">
        <is>
          <t>2026-09-30 16:46</t>
        </is>
      </c>
      <c r="C431" s="3" t="inlineStr">
        <is>
          <t>Analista de Mantenimiento de Flota / PESV</t>
        </is>
      </c>
      <c r="D431" s="3" t="inlineStr">
        <is>
          <t>IMPROVE SOLUTIONS S.A.S</t>
        </is>
      </c>
      <c r="E431" s="7" t="n">
        <v>0.5</v>
      </c>
      <c r="F431" s="2" t="inlineStr">
        <is>
          <t>Remoto</t>
        </is>
      </c>
      <c r="G431" s="5">
        <f>HYPERLINK("https://co.computrabajo.com/ofertas-de-trabajo/oferta-de-trabajo-de-analista-de-mantenimiento-de-flota-pesv-en-cucuta-19A84F3B4E4E919A61373E686DCF3405", "Ver Vacante")</f>
        <v/>
      </c>
      <c r="H431" s="6" t="inlineStr"/>
      <c r="I431" s="3" t="inlineStr">
        <is>
          <t>[Afinidad: 50/100 - Afinidad Moderada] Afinidad parcial en infraestructura vial y transporte. Modalidad: 100% Remoto en Colombia confirmado.</t>
        </is>
      </c>
      <c r="J431" s="2" t="inlineStr">
        <is>
          <t>Nueva</t>
        </is>
      </c>
      <c r="K431" s="3" t="inlineStr"/>
    </row>
    <row r="432" ht="22" customHeight="1">
      <c r="A432" s="2" t="inlineStr">
        <is>
          <t>853675d9ef3b39d2</t>
        </is>
      </c>
      <c r="B432" s="2" t="inlineStr">
        <is>
          <t>2026-09-30 16:46</t>
        </is>
      </c>
      <c r="C432" s="3" t="inlineStr">
        <is>
          <t>Director de Interventoría en Medellín</t>
        </is>
      </c>
      <c r="D432" s="3" t="inlineStr">
        <is>
          <t>ARCA ARQUITECTURA E INGENIERIA SA</t>
        </is>
      </c>
      <c r="E432" s="7" t="n">
        <v>0.5</v>
      </c>
      <c r="F432" s="2" t="inlineStr">
        <is>
          <t>Remoto</t>
        </is>
      </c>
      <c r="G432" s="5">
        <f>HYPERLINK("https://co.computrabajo.com/ofertas-de-trabajo/oferta-de-trabajo-de-director-de-interventoria-en-medellin-edificaciones-tiempo-completo-en-medellin-3A72E83C8F1B1FD161373E686DCF3405", "Ver Vacante")</f>
        <v/>
      </c>
      <c r="H432" s="6" t="inlineStr"/>
      <c r="I432" s="3" t="inlineStr">
        <is>
          <t>[Afinidad: 50/100 - Afinidad Moderada] Afinidad en disciplina base (Ingeniera Civil Especialista en Vías y SST) sin especialidad directa en vías/SST. Modalidad: 100% Remoto en Colombia confirmado.</t>
        </is>
      </c>
      <c r="J432" s="2" t="inlineStr">
        <is>
          <t>Nueva</t>
        </is>
      </c>
      <c r="K432" s="3" t="inlineStr"/>
    </row>
    <row r="433" ht="22" customHeight="1">
      <c r="A433" s="2" t="inlineStr">
        <is>
          <t>ec9675dfecf38b43</t>
        </is>
      </c>
      <c r="B433" s="2" t="inlineStr">
        <is>
          <t>2026-09-30 16:46</t>
        </is>
      </c>
      <c r="C433" s="3" t="inlineStr">
        <is>
          <t>Analista de seguridad y salud en el trabajo</t>
        </is>
      </c>
      <c r="D433" s="3" t="inlineStr">
        <is>
          <t>Confidencial</t>
        </is>
      </c>
      <c r="E433" s="7" t="n">
        <v>0.5</v>
      </c>
      <c r="F433" s="2" t="inlineStr">
        <is>
          <t>Remoto</t>
        </is>
      </c>
      <c r="G433" s="5">
        <f>HYPERLINK("https://www.elempleo.com/co/ofertas-trabajo/analista-de-seguridad-y-salud-en-el-trabajo-1886729482", "Ver Vacante")</f>
        <v/>
      </c>
      <c r="H433" s="6" t="inlineStr"/>
      <c r="I433" s="3" t="inlineStr">
        <is>
          <t>[Afinidad: 50/100 - Afinidad Moderada] Afinidad parcial en seguridad y salud ocupacional. Modalidad: 100% Remoto en Colombia confirmado.</t>
        </is>
      </c>
      <c r="J433" s="2" t="inlineStr">
        <is>
          <t>Nueva</t>
        </is>
      </c>
      <c r="K433" s="3" t="inlineStr"/>
    </row>
    <row r="434" ht="22" customHeight="1">
      <c r="A434" s="2" t="inlineStr">
        <is>
          <t>ac2f660951d79124</t>
        </is>
      </c>
      <c r="B434" s="2" t="inlineStr">
        <is>
          <t>2026-09-30 16:46</t>
        </is>
      </c>
      <c r="C434" s="3" t="inlineStr">
        <is>
          <t>Medellin - consultor de sistemas de gestion - hseq</t>
        </is>
      </c>
      <c r="D434" s="3" t="inlineStr">
        <is>
          <t>Confidencial</t>
        </is>
      </c>
      <c r="E434" s="7" t="n">
        <v>0.5</v>
      </c>
      <c r="F434" s="2" t="inlineStr">
        <is>
          <t>Remoto</t>
        </is>
      </c>
      <c r="G434" s="5">
        <f>HYPERLINK("https://www.elempleo.com/co/ofertas-trabajo/medellin-consultor-de-sistemas-de-gestion-hseq-1886774314", "Ver Vacante")</f>
        <v/>
      </c>
      <c r="H434" s="6" t="inlineStr"/>
      <c r="I434" s="3" t="inlineStr">
        <is>
          <t>[Afinidad: 50/100 - Afinidad Moderada] Afinidad parcial en seguridad y salud ocupacional. Modalidad: 100% Remoto en Colombia confirmado.</t>
        </is>
      </c>
      <c r="J434" s="2" t="inlineStr">
        <is>
          <t>Nueva</t>
        </is>
      </c>
      <c r="K434" s="3" t="inlineStr"/>
    </row>
    <row r="435" ht="22" customHeight="1">
      <c r="A435" s="2" t="inlineStr">
        <is>
          <t>9f4f14a1c8a21c83</t>
        </is>
      </c>
      <c r="B435" s="2" t="inlineStr">
        <is>
          <t>2026-09-30 16:46</t>
        </is>
      </c>
      <c r="C435" s="3" t="inlineStr">
        <is>
          <t>Director de proyecto</t>
        </is>
      </c>
      <c r="D435" s="3" t="inlineStr">
        <is>
          <t>Confidencial</t>
        </is>
      </c>
      <c r="E435" s="7" t="n">
        <v>0.5</v>
      </c>
      <c r="F435" s="2" t="inlineStr">
        <is>
          <t>Remoto</t>
        </is>
      </c>
      <c r="G435" s="5">
        <f>HYPERLINK("https://www.elempleo.com/co/ofertas-trabajo/director-de-proyecto-1886773926", "Ver Vacante")</f>
        <v/>
      </c>
      <c r="H435" s="6" t="inlineStr"/>
      <c r="I435" s="3" t="inlineStr">
        <is>
          <t>[Afinidad: 50/100 - Afinidad Moderada] Afinidad en disciplina base (Ingeniera Civil Especialista en Vías y SST) sin especialidad directa en vías/SST. Modalidad: 100% Remoto en Colombia confirmado.</t>
        </is>
      </c>
      <c r="J435" s="2" t="inlineStr">
        <is>
          <t>Nueva</t>
        </is>
      </c>
      <c r="K435" s="3" t="inlineStr"/>
    </row>
    <row r="436" ht="22" customHeight="1">
      <c r="A436" s="2" t="inlineStr">
        <is>
          <t>4a349fac4ca6ef49</t>
        </is>
      </c>
      <c r="B436" s="2" t="inlineStr">
        <is>
          <t>2026-09-30 16:46</t>
        </is>
      </c>
      <c r="C436" s="3" t="inlineStr">
        <is>
          <t>Medellín - consultor sistemas de gestión sst- con licencia en sst</t>
        </is>
      </c>
      <c r="D436" s="3" t="inlineStr">
        <is>
          <t>Confidencial</t>
        </is>
      </c>
      <c r="E436" s="7" t="n">
        <v>0.5</v>
      </c>
      <c r="F436" s="2" t="inlineStr">
        <is>
          <t>Remoto</t>
        </is>
      </c>
      <c r="G436" s="5">
        <f>HYPERLINK("https://www.elempleo.com/co/ofertas-trabajo/medellin-consultor-sistemas-de-gestion-sst-con-licencia-en-sst-1886774334", "Ver Vacante")</f>
        <v/>
      </c>
      <c r="H436" s="6" t="inlineStr"/>
      <c r="I436" s="3" t="inlineStr">
        <is>
          <t>[Afinidad: 50/100 - Afinidad Moderada] Afinidad parcial en seguridad y salud ocupacional. Modalidad: 100% Remoto en Colombia confirmado. Observación: Requiere Licencia en Seguridad y Salud en el Trabajo (SST) vigente.</t>
        </is>
      </c>
      <c r="J436" s="2" t="inlineStr">
        <is>
          <t>Nueva</t>
        </is>
      </c>
      <c r="K436" s="3" t="inlineStr"/>
    </row>
    <row r="437" ht="22" customHeight="1">
      <c r="A437" s="2" t="inlineStr">
        <is>
          <t>1b6b5035162f6976</t>
        </is>
      </c>
      <c r="B437" s="2" t="inlineStr">
        <is>
          <t>2026-09-30 16:46</t>
        </is>
      </c>
      <c r="C437" s="3" t="inlineStr">
        <is>
          <t>Profesional senior civil - guayepo, atlántico - misión</t>
        </is>
      </c>
      <c r="D437" s="3" t="inlineStr">
        <is>
          <t>Enel Colombia S.A ESP</t>
        </is>
      </c>
      <c r="E437" s="7" t="n">
        <v>0.5</v>
      </c>
      <c r="F437" s="2" t="inlineStr">
        <is>
          <t>Remoto</t>
        </is>
      </c>
      <c r="G437" s="5">
        <f>HYPERLINK("https://www.elempleo.com/co/ofertas-trabajo/profesional-senior-civil-guayepo-atlantico-mision-1886774211", "Ver Vacante")</f>
        <v/>
      </c>
      <c r="H437" s="6" t="inlineStr"/>
      <c r="I437" s="3" t="inlineStr">
        <is>
          <t>[Afinidad: 50/100 - Afinidad Moderada] Afinidad en disciplina base (Ingeniera Civil Especialista en Vías y SST) sin especialidad directa en vías/SST. Modalidad: 100% Remoto en Colombia confirmado.</t>
        </is>
      </c>
      <c r="J437" s="2" t="inlineStr">
        <is>
          <t>Nueva</t>
        </is>
      </c>
      <c r="K437" s="3" t="inlineStr"/>
    </row>
    <row r="438" ht="22" customHeight="1">
      <c r="A438" s="2" t="inlineStr">
        <is>
          <t>d8439fb23eef5c73</t>
        </is>
      </c>
      <c r="B438" s="2" t="inlineStr">
        <is>
          <t>2026-09-30 16:46</t>
        </is>
      </c>
      <c r="C438" s="3" t="inlineStr">
        <is>
          <t>Senior BIM/CAD Modeler - Linear Infrastructure &amp; Site Civils</t>
        </is>
      </c>
      <c r="D438" s="3" t="inlineStr">
        <is>
          <t>AECOM</t>
        </is>
      </c>
      <c r="E438" s="7" t="n">
        <v>0.5</v>
      </c>
      <c r="F438" s="2" t="inlineStr">
        <is>
          <t>Remoto</t>
        </is>
      </c>
      <c r="G438" s="5">
        <f>HYPERLINK("https://co.linkedin.com/jobs/view/senior-bim-cad-modeler-linear-infrastructure-site-civils-at-aecom-4416329093", "Ver Vacante")</f>
        <v/>
      </c>
      <c r="H438" s="6" t="inlineStr"/>
      <c r="I438" s="3" t="inlineStr">
        <is>
          <t>[Afinidad: 50/100 - Afinidad Moderada] Afinidad en disciplina base (Ingeniera Civil Especialista en Vías y SST) sin especialidad directa en vías/SST. Modalidad: 100% Remoto en Colombia confirmado.</t>
        </is>
      </c>
      <c r="J438" s="2" t="inlineStr">
        <is>
          <t>Nueva</t>
        </is>
      </c>
      <c r="K438" s="3" t="inlineStr"/>
    </row>
    <row r="439" ht="22" customHeight="1">
      <c r="A439" s="2" t="inlineStr">
        <is>
          <t>9e6a613f2d568c61</t>
        </is>
      </c>
      <c r="B439" s="2" t="inlineStr">
        <is>
          <t>2026-09-30 16:46</t>
        </is>
      </c>
      <c r="C439" s="3" t="inlineStr">
        <is>
          <t>ANALISTA DE SST-328212</t>
        </is>
      </c>
      <c r="D439" s="3" t="inlineStr">
        <is>
          <t>Colección Talento</t>
        </is>
      </c>
      <c r="E439" s="7" t="n">
        <v>0.5</v>
      </c>
      <c r="F439" s="2" t="inlineStr">
        <is>
          <t>Remoto</t>
        </is>
      </c>
      <c r="G439" s="5">
        <f>HYPERLINK("https://co.linkedin.com/jobs/view/analista-de-sst-328212-at-colecci%C3%B3n-talento-4473728913", "Ver Vacante")</f>
        <v/>
      </c>
      <c r="H439" s="6" t="inlineStr"/>
      <c r="I439" s="3" t="inlineStr">
        <is>
          <t>[Afinidad: 50/100 - Afinidad Moderada] Afinidad parcial en seguridad y salud ocupacional. Modalidad: 100% Remoto en Colombia confirmado.</t>
        </is>
      </c>
      <c r="J439" s="2" t="inlineStr">
        <is>
          <t>Nueva</t>
        </is>
      </c>
      <c r="K439" s="3" t="inlineStr"/>
    </row>
    <row r="440" ht="22" customHeight="1">
      <c r="A440" s="2" t="inlineStr">
        <is>
          <t>d15b8c924d61a818</t>
        </is>
      </c>
      <c r="B440" s="2" t="inlineStr">
        <is>
          <t>2026-10-01 17:23</t>
        </is>
      </c>
      <c r="C440" s="3" t="inlineStr">
        <is>
          <t>Director HSEQ</t>
        </is>
      </c>
      <c r="D440" s="3" t="inlineStr">
        <is>
          <t>Importante empresa del sector logístico</t>
        </is>
      </c>
      <c r="E440" s="7" t="n">
        <v>0.5</v>
      </c>
      <c r="F440" s="2" t="inlineStr">
        <is>
          <t>Remoto</t>
        </is>
      </c>
      <c r="G440" s="5">
        <f>HYPERLINK("https://co.computrabajo.com/ofertas-de-trabajo/oferta-de-trabajo-de-director-hseq-en-bogota-dc-B2A28649D83D9F1061373E686DCF3405", "Ver Vacante")</f>
        <v/>
      </c>
      <c r="H440" s="6" t="inlineStr">
        <is>
          <t>$ 5.300.000,00 (Mensual)</t>
        </is>
      </c>
      <c r="I440" s="3" t="inlineStr">
        <is>
          <t>[Afinidad: 50/100 - Afinidad Moderada] Afinidad parcial en seguridad y salud ocupacional. Modalidad: 100% Remoto en Colombia confirmado.</t>
        </is>
      </c>
      <c r="J440" s="2" t="inlineStr">
        <is>
          <t>Nueva</t>
        </is>
      </c>
      <c r="K440" s="3" t="inlineStr"/>
    </row>
    <row r="441" ht="22" customHeight="1">
      <c r="A441" s="2" t="inlineStr">
        <is>
          <t>aeb81cd33e2ad2b4</t>
        </is>
      </c>
      <c r="B441" s="2" t="inlineStr">
        <is>
          <t>2026-10-01 17:23</t>
        </is>
      </c>
      <c r="C441" s="3" t="inlineStr">
        <is>
          <t>Ingeniero industrial con especializacion en SST</t>
        </is>
      </c>
      <c r="D441" s="3" t="inlineStr">
        <is>
          <t>ACTIVOS S A S</t>
        </is>
      </c>
      <c r="E441" s="7" t="n">
        <v>0.5</v>
      </c>
      <c r="F441" s="2" t="inlineStr">
        <is>
          <t>Remoto</t>
        </is>
      </c>
      <c r="G441" s="5">
        <f>HYPERLINK("https://co.computrabajo.com/ofertas-de-trabajo/oferta-de-trabajo-de-ingeniero-industrial-con-especializacion-en-sst-empresa-de-transporte-en-bogota-dc-1C9CB2E49ACC82C061373E686DCF3405", "Ver Vacante")</f>
        <v/>
      </c>
      <c r="H441" s="6" t="inlineStr">
        <is>
          <t>$ 4.104.000,00 (Mensual)</t>
        </is>
      </c>
      <c r="I441" s="3" t="inlineStr">
        <is>
          <t>[Afinidad: 50/100 - Afinidad Moderada] Afinidad parcial en seguridad y salud ocupacional. Modalidad: 100% Remoto en Colombia confirmado.</t>
        </is>
      </c>
      <c r="J441" s="2" t="inlineStr">
        <is>
          <t>Nueva</t>
        </is>
      </c>
      <c r="K441" s="3" t="inlineStr"/>
    </row>
    <row r="442" ht="22" customHeight="1">
      <c r="A442" s="2" t="inlineStr">
        <is>
          <t>f3a391add027d6b7</t>
        </is>
      </c>
      <c r="B442" s="2" t="inlineStr">
        <is>
          <t>2026-10-01 17:23</t>
        </is>
      </c>
      <c r="C442" s="3" t="inlineStr">
        <is>
          <t>Profesional Líder del SG SST</t>
        </is>
      </c>
      <c r="D442" s="3" t="inlineStr">
        <is>
          <t>Yobel SCM SAS</t>
        </is>
      </c>
      <c r="E442" s="7" t="n">
        <v>0.5</v>
      </c>
      <c r="F442" s="2" t="inlineStr">
        <is>
          <t>Remoto</t>
        </is>
      </c>
      <c r="G442" s="5">
        <f>HYPERLINK("https://co.computrabajo.com/ofertas-de-trabajo/oferta-de-trabajo-de-profesional-lider-del-sg-sst-en-guarne-07745DA7BA41FD9461373E686DCF3405", "Ver Vacante")</f>
        <v/>
      </c>
      <c r="H442" s="6" t="inlineStr">
        <is>
          <t>$ 3.500.000,00 (Mensual)</t>
        </is>
      </c>
      <c r="I442" s="3" t="inlineStr">
        <is>
          <t>[Afinidad: 50/100 - Afinidad Moderada] Afinidad parcial en seguridad y salud ocupacional. Modalidad: 100% Remoto en Colombia confirmado.</t>
        </is>
      </c>
      <c r="J442" s="2" t="inlineStr">
        <is>
          <t>Nueva</t>
        </is>
      </c>
      <c r="K442" s="3" t="inlineStr"/>
    </row>
    <row r="443" ht="22" customHeight="1">
      <c r="A443" s="2" t="inlineStr">
        <is>
          <t>aadee9ed5e690be5</t>
        </is>
      </c>
      <c r="B443" s="2" t="inlineStr">
        <is>
          <t>2026-10-01 17:23</t>
        </is>
      </c>
      <c r="C443" s="3" t="inlineStr">
        <is>
          <t>Analista de Seguridad y Salud en el Trabajo Experiencia en riesgo Biológico</t>
        </is>
      </c>
      <c r="D443" s="3" t="inlineStr">
        <is>
          <t>Importante empresa del sector</t>
        </is>
      </c>
      <c r="E443" s="7" t="n">
        <v>0.5</v>
      </c>
      <c r="F443" s="2" t="inlineStr">
        <is>
          <t>Remoto</t>
        </is>
      </c>
      <c r="G443" s="5">
        <f>HYPERLINK("https://co.computrabajo.com/ofertas-de-trabajo/oferta-de-trabajo-de-analista-de-seguridad-y-salud-en-el-trabajo-experiencia-en-riesgo-biologico-en-bogota-dc-4712F3C6D150BFF261373E686DCF3405", "Ver Vacante")</f>
        <v/>
      </c>
      <c r="H443" s="6" t="inlineStr">
        <is>
          <t>$ 2.000.000,00 (Mensual)</t>
        </is>
      </c>
      <c r="I443" s="3" t="inlineStr">
        <is>
          <t>[Afinidad: 50/100 - Afinidad Moderada] Afinidad parcial en seguridad y salud ocupacional. Modalidad: 100% Remoto en Colombia confirmado.</t>
        </is>
      </c>
      <c r="J443" s="2" t="inlineStr">
        <is>
          <t>Nueva</t>
        </is>
      </c>
      <c r="K443" s="3" t="inlineStr"/>
    </row>
    <row r="444" ht="22" customHeight="1">
      <c r="A444" s="2" t="inlineStr">
        <is>
          <t>3be8f8c00d5d50b8</t>
        </is>
      </c>
      <c r="B444" s="2" t="inlineStr">
        <is>
          <t>2026-10-01 17:23</t>
        </is>
      </c>
      <c r="C444" s="3" t="inlineStr">
        <is>
          <t>Director de Ingeniería</t>
        </is>
      </c>
      <c r="D444" s="3" t="inlineStr">
        <is>
          <t>GLOBALEM S.A.S</t>
        </is>
      </c>
      <c r="E444" s="7" t="n">
        <v>0.5</v>
      </c>
      <c r="F444" s="2" t="inlineStr">
        <is>
          <t>Remoto</t>
        </is>
      </c>
      <c r="G444" s="5">
        <f>HYPERLINK("https://co.computrabajo.com/ofertas-de-trabajo/oferta-de-trabajo-de-director-de-ingenieria-bogota-en-bogota-dc-CABEC6A60647344F61373E686DCF3405", "Ver Vacante")</f>
        <v/>
      </c>
      <c r="H444" s="6" t="inlineStr"/>
      <c r="I444" s="3" t="inlineStr">
        <is>
          <t>[Afinidad: 50/100 - Afinidad Moderada] Afinidad en disciplina base (Ingeniera Civil Especialista en Vías y SST) sin especialidad directa en vías/SST. Modalidad: 100% Remoto en Colombia confirmado.</t>
        </is>
      </c>
      <c r="J444" s="2" t="inlineStr">
        <is>
          <t>Nueva</t>
        </is>
      </c>
      <c r="K444" s="3" t="inlineStr"/>
    </row>
    <row r="445" ht="22" customHeight="1">
      <c r="A445" s="2" t="inlineStr">
        <is>
          <t>84cb3c05b2d64401</t>
        </is>
      </c>
      <c r="B445" s="2" t="inlineStr">
        <is>
          <t>2026-10-01 17:23</t>
        </is>
      </c>
      <c r="C445" s="3" t="inlineStr">
        <is>
          <t>Ingeniero de infraestructura-campo</t>
        </is>
      </c>
      <c r="D445" s="3" t="inlineStr">
        <is>
          <t>Confidencial</t>
        </is>
      </c>
      <c r="E445" s="7" t="n">
        <v>0.5</v>
      </c>
      <c r="F445" s="2" t="inlineStr">
        <is>
          <t>Remoto</t>
        </is>
      </c>
      <c r="G445" s="5">
        <f>HYPERLINK("https://www.elempleo.com/co/ofertas-trabajo/ingeniero-de-infraestructuracampo-1886774794", "Ver Vacante")</f>
        <v/>
      </c>
      <c r="H445" s="6" t="inlineStr"/>
      <c r="I445" s="3" t="inlineStr">
        <is>
          <t>[Afinidad: 50/100 - Afinidad Moderada] Afinidad parcial en infraestructura vial y transporte. Modalidad: 100% Remoto en Colombia confirmado.</t>
        </is>
      </c>
      <c r="J445" s="2" t="inlineStr">
        <is>
          <t>Nueva</t>
        </is>
      </c>
      <c r="K445" s="3" t="inlineStr"/>
    </row>
    <row r="446" ht="22" customHeight="1">
      <c r="A446" s="2" t="inlineStr">
        <is>
          <t>9887ab94ca1c250e</t>
        </is>
      </c>
      <c r="B446" s="2" t="inlineStr">
        <is>
          <t>2026-10-01 17:23</t>
        </is>
      </c>
      <c r="C446" s="3" t="inlineStr">
        <is>
          <t>Medellín - consultor mecanico sst- con licencia en sst</t>
        </is>
      </c>
      <c r="D446" s="3" t="inlineStr">
        <is>
          <t>Confidencial</t>
        </is>
      </c>
      <c r="E446" s="7" t="n">
        <v>0.5</v>
      </c>
      <c r="F446" s="2" t="inlineStr">
        <is>
          <t>Remoto</t>
        </is>
      </c>
      <c r="G446" s="5">
        <f>HYPERLINK("https://www.elempleo.com/co/ofertas-trabajo/medellin-consultor-mecanico-sst-con-licencia-en-sst-1886774358", "Ver Vacante")</f>
        <v/>
      </c>
      <c r="H446" s="6" t="inlineStr"/>
      <c r="I446" s="3" t="inlineStr">
        <is>
          <t>[Afinidad: 50/100 - Afinidad Moderada] Afinidad parcial en seguridad y salud ocupacional. Modalidad: 100% Remoto en Colombia confirmado. Observación: Requiere Licencia en Seguridad y Salud en el Trabajo (SST) vigente.</t>
        </is>
      </c>
      <c r="J446" s="2" t="inlineStr">
        <is>
          <t>Nueva</t>
        </is>
      </c>
      <c r="K446" s="3" t="inlineStr"/>
    </row>
    <row r="447" ht="22" customHeight="1">
      <c r="A447" s="2" t="inlineStr">
        <is>
          <t>c7185ee68119665c</t>
        </is>
      </c>
      <c r="B447" s="2" t="inlineStr">
        <is>
          <t>2026-10-01 17:23</t>
        </is>
      </c>
      <c r="C447" s="3" t="inlineStr">
        <is>
          <t>Analista sheq sst sector minero - girardota</t>
        </is>
      </c>
      <c r="D447" s="3" t="inlineStr">
        <is>
          <t>ADECCO COLOMBIA S A</t>
        </is>
      </c>
      <c r="E447" s="7" t="n">
        <v>0.5</v>
      </c>
      <c r="F447" s="2" t="inlineStr">
        <is>
          <t>Remoto</t>
        </is>
      </c>
      <c r="G447" s="5">
        <f>HYPERLINK("https://www.elempleo.com/co/ofertas-trabajo/analista-sheq-sst-sector-minero-girardota-1886774366", "Ver Vacante")</f>
        <v/>
      </c>
      <c r="H447" s="6" t="inlineStr"/>
      <c r="I447" s="3" t="inlineStr">
        <is>
          <t>[Afinidad: 50/100 - Afinidad Moderada] Afinidad parcial en seguridad y salud ocupacional. Modalidad: 100% Remoto en Colombia confirmado.</t>
        </is>
      </c>
      <c r="J447" s="2" t="inlineStr">
        <is>
          <t>Nueva</t>
        </is>
      </c>
      <c r="K447" s="3" t="inlineStr"/>
    </row>
    <row r="448" ht="22" customHeight="1">
      <c r="A448" s="2" t="inlineStr">
        <is>
          <t>f8af76ec85ef6dd7</t>
        </is>
      </c>
      <c r="B448" s="2" t="inlineStr">
        <is>
          <t>2026-10-01 17:23</t>
        </is>
      </c>
      <c r="C448" s="3" t="inlineStr">
        <is>
          <t>Inspector SST con Licencia tecnico en adelante</t>
        </is>
      </c>
      <c r="D448" s="3" t="inlineStr">
        <is>
          <t>Asertempo Colombia S.A.S</t>
        </is>
      </c>
      <c r="E448" s="7" t="n">
        <v>0.5</v>
      </c>
      <c r="F448" s="2" t="inlineStr">
        <is>
          <t>Remoto</t>
        </is>
      </c>
      <c r="G448" s="5">
        <f>HYPERLINK("https://co.linkedin.com/jobs/view/inspector-sst-con-licencia-tecnico-en-adelante-at-asertempo-colombia-s-a-s-4474185216", "Ver Vacante")</f>
        <v/>
      </c>
      <c r="H448" s="6" t="inlineStr"/>
      <c r="I448" s="3" t="inlineStr">
        <is>
          <t>[Afinidad: 50/100 - Afinidad Moderada] Afinidad parcial en seguridad y salud ocupacional. Modalidad: 100% Remoto en Colombia confirmado.</t>
        </is>
      </c>
      <c r="J448" s="2" t="inlineStr">
        <is>
          <t>Nueva</t>
        </is>
      </c>
      <c r="K448" s="3" t="inlineStr"/>
    </row>
    <row r="449" ht="22" customHeight="1">
      <c r="A449" s="2" t="inlineStr">
        <is>
          <t>5b4053cac5b94200</t>
        </is>
      </c>
      <c r="B449" s="2" t="inlineStr">
        <is>
          <t>2026-10-01 17:23</t>
        </is>
      </c>
      <c r="C449" s="3" t="inlineStr">
        <is>
          <t>COORDINADOR TECNICO SALUD OCUPACIONAL REGIONAL</t>
        </is>
      </c>
      <c r="D449" s="3" t="inlineStr">
        <is>
          <t>Keralty</t>
        </is>
      </c>
      <c r="E449" s="7" t="n">
        <v>0.5</v>
      </c>
      <c r="F449" s="2" t="inlineStr">
        <is>
          <t>Remoto</t>
        </is>
      </c>
      <c r="G449" s="5">
        <f>HYPERLINK("https://co.linkedin.com/jobs/view/coordinador-tecnico-salud-ocupacional-regional-at-keralty-4473921272", "Ver Vacante")</f>
        <v/>
      </c>
      <c r="H449" s="6" t="inlineStr"/>
      <c r="I449" s="3" t="inlineStr">
        <is>
          <t>[Afinidad: 50/100 - Afinidad Moderada] Afinidad parcial en seguridad y salud ocupacional. Modalidad: 100% Remoto en Colombia confirmado.</t>
        </is>
      </c>
      <c r="J449" s="2" t="inlineStr">
        <is>
          <t>Nueva</t>
        </is>
      </c>
      <c r="K449" s="3" t="inlineStr"/>
    </row>
    <row r="450" ht="22" customHeight="1">
      <c r="A450" s="2" t="inlineStr">
        <is>
          <t>5929049924f2f540</t>
        </is>
      </c>
      <c r="B450" s="2" t="inlineStr">
        <is>
          <t>2026-10-01 17:23</t>
        </is>
      </c>
      <c r="C450" s="3" t="inlineStr">
        <is>
          <t>PROFESIONAL SENIOR CIVIL</t>
        </is>
      </c>
      <c r="D450" s="3" t="inlineStr">
        <is>
          <t>Anonima</t>
        </is>
      </c>
      <c r="E450" s="7" t="n">
        <v>0.5</v>
      </c>
      <c r="F450" s="2" t="inlineStr">
        <is>
          <t>Remoto</t>
        </is>
      </c>
      <c r="G450" s="5">
        <f>HYPERLINK("https://co.linkedin.com/jobs/view/profesional-senior-civil-at-anonima-4473965085", "Ver Vacante")</f>
        <v/>
      </c>
      <c r="H450" s="6" t="inlineStr"/>
      <c r="I450" s="3" t="inlineStr">
        <is>
          <t>[Afinidad: 50/100 - Afinidad Moderada] Afinidad en disciplina base (Ingeniera Civil Especialista en Vías y SST) sin especialidad directa en vías/SST. Modalidad: 100% Remoto en Colombia confirmado.</t>
        </is>
      </c>
      <c r="J450" s="2" t="inlineStr">
        <is>
          <t>Nueva</t>
        </is>
      </c>
      <c r="K450" s="3" t="inlineStr"/>
    </row>
    <row r="451" ht="22" customHeight="1">
      <c r="A451" s="2" t="inlineStr">
        <is>
          <t>5c891997f301d30d</t>
        </is>
      </c>
      <c r="B451" s="2" t="inlineStr">
        <is>
          <t>2026-10-02 16:36</t>
        </is>
      </c>
      <c r="C451" s="3" t="inlineStr">
        <is>
          <t>Analista SST</t>
        </is>
      </c>
      <c r="D451" s="3" t="inlineStr">
        <is>
          <t>TEMPORARIOS S.A</t>
        </is>
      </c>
      <c r="E451" s="7" t="n">
        <v>0.5</v>
      </c>
      <c r="F451" s="2" t="inlineStr">
        <is>
          <t>Remoto</t>
        </is>
      </c>
      <c r="G451" s="5">
        <f>HYPERLINK("https://co.computrabajo.com/ofertas-de-trabajo/oferta-de-trabajo-de-analista-sst-bogota-en-bogota-dc-2D271B3D9B925DEB61373E686DCF3405", "Ver Vacante")</f>
        <v/>
      </c>
      <c r="H451" s="6" t="inlineStr">
        <is>
          <t>$ 4.500.000,00 (Mensual)</t>
        </is>
      </c>
      <c r="I451" s="3" t="inlineStr">
        <is>
          <t>[Afinidad: 50/100 - Afinidad Moderada] Afinidad parcial en seguridad y salud ocupacional. Modalidad: 100% Remoto en Colombia confirmado.</t>
        </is>
      </c>
      <c r="J451" s="2" t="inlineStr">
        <is>
          <t>Nueva</t>
        </is>
      </c>
      <c r="K451" s="3" t="inlineStr"/>
    </row>
    <row r="452" ht="22" customHeight="1">
      <c r="A452" s="2" t="inlineStr">
        <is>
          <t>46f8e0b3fcc907fd</t>
        </is>
      </c>
      <c r="B452" s="2" t="inlineStr">
        <is>
          <t>2026-10-02 16:36</t>
        </is>
      </c>
      <c r="C452" s="3" t="inlineStr">
        <is>
          <t>Ingeniero(a) de infraestructura ti e inteligencia artificial</t>
        </is>
      </c>
      <c r="D452" s="3" t="inlineStr">
        <is>
          <t>ASISTEMYCA SAS</t>
        </is>
      </c>
      <c r="E452" s="7" t="n">
        <v>0.5</v>
      </c>
      <c r="F452" s="2" t="inlineStr">
        <is>
          <t>Remoto</t>
        </is>
      </c>
      <c r="G452" s="5">
        <f>HYPERLINK("https://www.elempleo.com/co/ofertas-trabajo/ingenieroa-de-infraestructura-ti-e-inteligencia-artificial-1886775238", "Ver Vacante")</f>
        <v/>
      </c>
      <c r="H452" s="6" t="inlineStr"/>
      <c r="I452" s="3" t="inlineStr">
        <is>
          <t>[Afinidad: 50/100 - Afinidad Moderada] Afinidad parcial en infraestructura vial y transporte. Modalidad: 100% Remoto en Colombia confirmado.</t>
        </is>
      </c>
      <c r="J452" s="2" t="inlineStr">
        <is>
          <t>Nueva</t>
        </is>
      </c>
      <c r="K452" s="3" t="inlineStr"/>
    </row>
    <row r="453" ht="22" customHeight="1">
      <c r="A453" s="2" t="inlineStr">
        <is>
          <t>0778701471bcd782</t>
        </is>
      </c>
      <c r="B453" s="2" t="inlineStr">
        <is>
          <t>2026-10-02 16:36</t>
        </is>
      </c>
      <c r="C453" s="3" t="inlineStr">
        <is>
          <t>Gerente de proyectos</t>
        </is>
      </c>
      <c r="D453" s="3" t="inlineStr">
        <is>
          <t>Confidencial</t>
        </is>
      </c>
      <c r="E453" s="7" t="n">
        <v>0.5</v>
      </c>
      <c r="F453" s="2" t="inlineStr">
        <is>
          <t>Remoto</t>
        </is>
      </c>
      <c r="G453" s="5">
        <f>HYPERLINK("https://www.elempleo.com/co/ofertas-trabajo/gerente-de-proyectos-1886775084", "Ver Vacante")</f>
        <v/>
      </c>
      <c r="H453" s="6" t="inlineStr"/>
      <c r="I453" s="3" t="inlineStr">
        <is>
          <t>[Afinidad: 50/100 - Afinidad Moderada] Afinidad en disciplina base (Ingeniera Civil Especialista en Vías y SST) sin especialidad directa en vías/SST. Modalidad: 100% Remoto en Colombia confirmado.</t>
        </is>
      </c>
      <c r="J453" s="2" t="inlineStr">
        <is>
          <t>Nueva</t>
        </is>
      </c>
      <c r="K453" s="3" t="inlineStr"/>
    </row>
    <row r="454" ht="22" customHeight="1">
      <c r="A454" s="2" t="inlineStr">
        <is>
          <t>28c4962b0d4cc90a</t>
        </is>
      </c>
      <c r="B454" s="2" t="inlineStr">
        <is>
          <t>2026-10-02 16:36</t>
        </is>
      </c>
      <c r="C454" s="3" t="inlineStr">
        <is>
          <t>GERENTE DE SST, SOCIAL, AMBIENTAL Y CALIDAD DE OBRA</t>
        </is>
      </c>
      <c r="D454" s="3" t="inlineStr">
        <is>
          <t>OHLA COLOMBIA</t>
        </is>
      </c>
      <c r="E454" s="7" t="n">
        <v>0.5</v>
      </c>
      <c r="F454" s="2" t="inlineStr">
        <is>
          <t>Remoto</t>
        </is>
      </c>
      <c r="G454" s="5">
        <f>HYPERLINK("https://co.linkedin.com/jobs/view/gerente-de-sst-social-ambiental-y-calidad-de-obra-at-ohla-colombia-4472827571", "Ver Vacante")</f>
        <v/>
      </c>
      <c r="H454" s="6" t="inlineStr"/>
      <c r="I454" s="3" t="inlineStr">
        <is>
          <t>[Afinidad: 50/100 - Afinidad Moderada] Afinidad parcial en seguridad y salud ocupacional. Modalidad: 100% Remoto en Colombia confirmado.</t>
        </is>
      </c>
      <c r="J454" s="2" t="inlineStr">
        <is>
          <t>Nueva</t>
        </is>
      </c>
      <c r="K454" s="3" t="inlineStr"/>
    </row>
    <row r="455" ht="22" customHeight="1">
      <c r="A455" s="2" t="inlineStr">
        <is>
          <t>ad900dcc50d0149d</t>
        </is>
      </c>
      <c r="B455" s="2" t="inlineStr">
        <is>
          <t>2026-10-02 16:36</t>
        </is>
      </c>
      <c r="C455" s="3" t="inlineStr">
        <is>
          <t>Analista SST Manizales</t>
        </is>
      </c>
      <c r="D455" s="3" t="inlineStr">
        <is>
          <t>Constructora Las Galias</t>
        </is>
      </c>
      <c r="E455" s="7" t="n">
        <v>0.5</v>
      </c>
      <c r="F455" s="2" t="inlineStr">
        <is>
          <t>Remoto</t>
        </is>
      </c>
      <c r="G455" s="5">
        <f>HYPERLINK("https://co.linkedin.com/jobs/view/analista-sst-manizales-at-constructora-las-galias-4460527919", "Ver Vacante")</f>
        <v/>
      </c>
      <c r="H455" s="6" t="inlineStr"/>
      <c r="I455" s="3" t="inlineStr">
        <is>
          <t>[Afinidad: 50/100 - Afinidad Moderada] Afinidad parcial en seguridad y salud ocupacional. Modalidad: 100% Remoto en Colombia confirmado.</t>
        </is>
      </c>
      <c r="J455" s="2" t="inlineStr">
        <is>
          <t>Nueva</t>
        </is>
      </c>
      <c r="K455" s="3" t="inlineStr"/>
    </row>
    <row r="456" ht="22" customHeight="1">
      <c r="A456" s="2" t="inlineStr">
        <is>
          <t>75db2d65eadb5dd0</t>
        </is>
      </c>
      <c r="B456" s="2" t="inlineStr">
        <is>
          <t>2026-10-03 15:09</t>
        </is>
      </c>
      <c r="C456" s="3" t="inlineStr">
        <is>
          <t>Analista de seguridad y salud en el trabajo tocancipa</t>
        </is>
      </c>
      <c r="D456" s="3" t="inlineStr">
        <is>
          <t>SUMMAR PRODUCTIVIDAD S.A.S</t>
        </is>
      </c>
      <c r="E456" s="7" t="n">
        <v>0.5</v>
      </c>
      <c r="F456" s="2" t="inlineStr">
        <is>
          <t>Remoto</t>
        </is>
      </c>
      <c r="G456" s="5">
        <f>HYPERLINK("https://www.elempleo.com/co/ofertas-trabajo/analista-de-seguridad-y-salud-en-el-trabajo-tocancipa-1886759227", "Ver Vacante")</f>
        <v/>
      </c>
      <c r="H456" s="6" t="inlineStr"/>
      <c r="I456" s="3" t="inlineStr">
        <is>
          <t>[Afinidad: 50/100 - Afinidad Moderada] Afinidad parcial en seguridad y salud ocupacional. Modalidad: 100% Remoto en Colombia confirmado.</t>
        </is>
      </c>
      <c r="J456" s="2" t="inlineStr">
        <is>
          <t>Nueva</t>
        </is>
      </c>
      <c r="K456" s="3" t="inlineStr"/>
    </row>
    <row r="457" ht="22" customHeight="1">
      <c r="A457" s="2" t="inlineStr">
        <is>
          <t>1b6d4849e1fba3f5</t>
        </is>
      </c>
      <c r="B457" s="2" t="inlineStr">
        <is>
          <t>2026-10-03 15:09</t>
        </is>
      </c>
      <c r="C457" s="3" t="inlineStr">
        <is>
          <t>Gerente de proyecto logística</t>
        </is>
      </c>
      <c r="D457" s="3" t="inlineStr">
        <is>
          <t>Confidencial</t>
        </is>
      </c>
      <c r="E457" s="7" t="n">
        <v>0.5</v>
      </c>
      <c r="F457" s="2" t="inlineStr">
        <is>
          <t>Remoto</t>
        </is>
      </c>
      <c r="G457" s="5">
        <f>HYPERLINK("https://www.elempleo.com/co/ofertas-trabajo/gerente-de-proyecto-logistica-1886774903", "Ver Vacante")</f>
        <v/>
      </c>
      <c r="H457" s="6" t="inlineStr"/>
      <c r="I457" s="3" t="inlineStr">
        <is>
          <t>[Afinidad: 50/100 - Afinidad Moderada] Afinidad en disciplina base (Ingeniera Civil Especialista en Vías y SST) sin especialidad directa en vías/SST. Modalidad: 100% Remoto en Colombia confirmado.</t>
        </is>
      </c>
      <c r="J457" s="2" t="inlineStr">
        <is>
          <t>Nueva</t>
        </is>
      </c>
      <c r="K457" s="3" t="inlineStr"/>
    </row>
    <row r="458" ht="22" customHeight="1">
      <c r="A458" s="2" t="inlineStr">
        <is>
          <t>542fd17d134b6e2e</t>
        </is>
      </c>
      <c r="B458" s="2" t="inlineStr">
        <is>
          <t>2026-10-03 15:09</t>
        </is>
      </c>
      <c r="C458" s="3" t="inlineStr">
        <is>
          <t>Analista de seguridad y salud en el trabajo</t>
        </is>
      </c>
      <c r="D458" s="3" t="inlineStr">
        <is>
          <t>Muebles Tugó</t>
        </is>
      </c>
      <c r="E458" s="7" t="n">
        <v>0.5</v>
      </c>
      <c r="F458" s="2" t="inlineStr">
        <is>
          <t>Remoto</t>
        </is>
      </c>
      <c r="G458" s="5">
        <f>HYPERLINK("https://co.linkedin.com/jobs/view/analista-de-seguridad-y-salud-en-el-trabajo-at-muebles-tug%C3%B3-4475060186", "Ver Vacante")</f>
        <v/>
      </c>
      <c r="H458" s="6" t="inlineStr"/>
      <c r="I458" s="3" t="inlineStr">
        <is>
          <t>[Afinidad: 50/100 - Afinidad Moderada] Afinidad parcial en seguridad y salud ocupacional. Modalidad: 100% Remoto en Colombia confirmado.</t>
        </is>
      </c>
      <c r="J458" s="2" t="inlineStr">
        <is>
          <t>Nueva</t>
        </is>
      </c>
      <c r="K458" s="3" t="inlineStr"/>
    </row>
    <row r="459" ht="22" customHeight="1">
      <c r="A459" s="2" t="inlineStr">
        <is>
          <t>0091aeaf0d3ea8da</t>
        </is>
      </c>
      <c r="B459" s="2" t="inlineStr">
        <is>
          <t>2026-10-04 15:45</t>
        </is>
      </c>
      <c r="C459" s="3" t="inlineStr">
        <is>
          <t>Gerente de proyectos</t>
        </is>
      </c>
      <c r="D459" s="3" t="inlineStr">
        <is>
          <t>Confidencial</t>
        </is>
      </c>
      <c r="E459" s="7" t="n">
        <v>0.5</v>
      </c>
      <c r="F459" s="2" t="inlineStr">
        <is>
          <t>Remoto</t>
        </is>
      </c>
      <c r="G459" s="5">
        <f>HYPERLINK("https://www.elempleo.com/co/ofertas-trabajo/gerente-de-proyectos-1886773535", "Ver Vacante")</f>
        <v/>
      </c>
      <c r="H459" s="6" t="inlineStr"/>
      <c r="I459" s="3" t="inlineStr">
        <is>
          <t>[Afinidad: 50/100 - Afinidad Moderada] Afinidad en disciplina base (Ingeniera Civil Especialista en Vías y SST) sin especialidad directa en vías/SST. Modalidad: 100% Remoto en Colombia confirmado.</t>
        </is>
      </c>
      <c r="J459" s="2" t="inlineStr">
        <is>
          <t>Nueva</t>
        </is>
      </c>
      <c r="K459" s="3" t="inlineStr"/>
    </row>
    <row r="460" ht="22" customHeight="1">
      <c r="A460" s="2" t="inlineStr">
        <is>
          <t>67847ae63add190c</t>
        </is>
      </c>
      <c r="B460" s="2" t="inlineStr">
        <is>
          <t>2026-10-05 19:42</t>
        </is>
      </c>
      <c r="C460" s="3" t="inlineStr">
        <is>
          <t>Analista de Seguridad y Salud en el Trabajo Chía y Alrededores</t>
        </is>
      </c>
      <c r="D460" s="3" t="inlineStr">
        <is>
          <t>TU TEMPORAL S.A</t>
        </is>
      </c>
      <c r="E460" s="7" t="n">
        <v>0.5</v>
      </c>
      <c r="F460" s="2" t="inlineStr">
        <is>
          <t>Remoto</t>
        </is>
      </c>
      <c r="G460" s="5">
        <f>HYPERLINK("https://co.computrabajo.com/ofertas-de-trabajo/oferta-de-trabajo-de-analista-de-seguridad-y-salud-en-el-trabajo-chia-y-alrededores-en-chia-550C367ADF1D68E961373E686DCF3405", "Ver Vacante")</f>
        <v/>
      </c>
      <c r="H460" s="6" t="inlineStr">
        <is>
          <t>$ 2.900.000,00 (Mensual)</t>
        </is>
      </c>
      <c r="I460" s="3" t="inlineStr">
        <is>
          <t>[Afinidad: 50/100 - Afinidad Moderada] Afinidad parcial en seguridad y salud ocupacional. Modalidad: 100% Remoto en Colombia confirmado.</t>
        </is>
      </c>
      <c r="J460" s="2" t="inlineStr">
        <is>
          <t>Nueva</t>
        </is>
      </c>
      <c r="K460" s="3" t="inlineStr"/>
    </row>
    <row r="461" ht="22" customHeight="1">
      <c r="A461" s="2" t="inlineStr">
        <is>
          <t>7f6262d043837e59</t>
        </is>
      </c>
      <c r="B461" s="2" t="inlineStr">
        <is>
          <t>2026-10-05 19:42</t>
        </is>
      </c>
      <c r="C461" s="3" t="inlineStr">
        <is>
          <t>Analista de tráfico / seguridad vial</t>
        </is>
      </c>
      <c r="D461" s="3" t="inlineStr">
        <is>
          <t>SERDAN - MISION TEMPORAL</t>
        </is>
      </c>
      <c r="E461" s="7" t="n">
        <v>0.5</v>
      </c>
      <c r="F461" s="2" t="inlineStr">
        <is>
          <t>Remoto</t>
        </is>
      </c>
      <c r="G461" s="5">
        <f>HYPERLINK("https://co.computrabajo.com/ofertas-de-trabajo/oferta-de-trabajo-de-analista-de-trafico-seguridad-vial-experiencia-en-empresas-de-transporte-en-mosquera-149E0A9C9FCCE39861373E686DCF3405", "Ver Vacante")</f>
        <v/>
      </c>
      <c r="H461" s="6" t="inlineStr">
        <is>
          <t>$ 2.572.000,00 (Mensual)</t>
        </is>
      </c>
      <c r="I461" s="3" t="inlineStr">
        <is>
          <t>[Afinidad: 50/100 - Afinidad Moderada] Afinidad parcial en infraestructura vial y transporte. Modalidad: 100% Remoto en Colombia confirmado.</t>
        </is>
      </c>
      <c r="J461" s="2" t="inlineStr">
        <is>
          <t>Nueva</t>
        </is>
      </c>
      <c r="K461" s="3" t="inlineStr"/>
    </row>
    <row r="462" ht="22" customHeight="1">
      <c r="A462" s="2" t="inlineStr">
        <is>
          <t>b8b3b33262aa6315</t>
        </is>
      </c>
      <c r="B462" s="2" t="inlineStr">
        <is>
          <t>2026-10-05 19:42</t>
        </is>
      </c>
      <c r="C462" s="3" t="inlineStr">
        <is>
          <t>Analista de seguridad y salud en el trabajo</t>
        </is>
      </c>
      <c r="D462" s="3" t="inlineStr">
        <is>
          <t>Importante empresa del sector educativo</t>
        </is>
      </c>
      <c r="E462" s="7" t="n">
        <v>0.5</v>
      </c>
      <c r="F462" s="2" t="inlineStr">
        <is>
          <t>Remoto</t>
        </is>
      </c>
      <c r="G462" s="5">
        <f>HYPERLINK("https://co.computrabajo.com/ofertas-de-trabajo/oferta-de-trabajo-de-analista-de-seguridad-y-salud-en-el-trabajo-sst-en-bogota-dc-E304D5543B1DAC4261373E686DCF3405", "Ver Vacante")</f>
        <v/>
      </c>
      <c r="H462" s="6" t="inlineStr">
        <is>
          <t>$ 2.500.000,00 (Mensual)</t>
        </is>
      </c>
      <c r="I462" s="3" t="inlineStr">
        <is>
          <t>[Afinidad: 50/100 - Afinidad Moderada] Afinidad parcial en seguridad y salud ocupacional. Modalidad: 100% Remoto en Colombia confirmado.</t>
        </is>
      </c>
      <c r="J462" s="2" t="inlineStr">
        <is>
          <t>Nueva</t>
        </is>
      </c>
      <c r="K462" s="3" t="inlineStr"/>
    </row>
    <row r="463" ht="22" customHeight="1">
      <c r="A463" s="2" t="inlineStr">
        <is>
          <t>182ddb66c044fb31</t>
        </is>
      </c>
      <c r="B463" s="2" t="inlineStr">
        <is>
          <t>2026-10-05 19:42</t>
        </is>
      </c>
      <c r="C463" s="3" t="inlineStr">
        <is>
          <t>Analista o profesional de seguridad vial</t>
        </is>
      </c>
      <c r="D463" s="3" t="inlineStr">
        <is>
          <t>ACTIVOS S A S</t>
        </is>
      </c>
      <c r="E463" s="7" t="n">
        <v>0.5</v>
      </c>
      <c r="F463" s="2" t="inlineStr">
        <is>
          <t>Remoto</t>
        </is>
      </c>
      <c r="G463" s="5">
        <f>HYPERLINK("https://co.computrabajo.com/ofertas-de-trabajo/oferta-de-trabajo-de-analista-o-profesional-de-seguridad-vial-bogota-en-bogota-dc-C7BA557BEA1DDA4261373E686DCF3405", "Ver Vacante")</f>
        <v/>
      </c>
      <c r="H463" s="6" t="inlineStr">
        <is>
          <t>$ 2.808.000,00 (Mensual)</t>
        </is>
      </c>
      <c r="I463" s="3" t="inlineStr">
        <is>
          <t>[Afinidad: 50/100 - Afinidad Moderada] Afinidad parcial en infraestructura vial y transporte. Modalidad: 100% Remoto en Colombia confirmado.</t>
        </is>
      </c>
      <c r="J463" s="2" t="inlineStr">
        <is>
          <t>Nueva</t>
        </is>
      </c>
      <c r="K463" s="3" t="inlineStr"/>
    </row>
    <row r="464" ht="22" customHeight="1">
      <c r="A464" s="2" t="inlineStr">
        <is>
          <t>9b82c371dc834d3f</t>
        </is>
      </c>
      <c r="B464" s="2" t="inlineStr">
        <is>
          <t>2026-10-05 19:42</t>
        </is>
      </c>
      <c r="C464" s="3" t="inlineStr">
        <is>
          <t>Analista de Seguridad y Salud en el Trabajo/Rionegro</t>
        </is>
      </c>
      <c r="D464" s="3" t="inlineStr">
        <is>
          <t>SODEXO S.A.S</t>
        </is>
      </c>
      <c r="E464" s="7" t="n">
        <v>0.5</v>
      </c>
      <c r="F464" s="2" t="inlineStr">
        <is>
          <t>Remoto</t>
        </is>
      </c>
      <c r="G464" s="5">
        <f>HYPERLINK("https://co.computrabajo.com/ofertas-de-trabajo/oferta-de-trabajo-de-analista-de-seguridad-y-salud-en-el-trabajorionegro-en-medellin-847ADD9963811D7B61373E686DCF3405", "Ver Vacante")</f>
        <v/>
      </c>
      <c r="H464" s="6" t="inlineStr"/>
      <c r="I464" s="3" t="inlineStr">
        <is>
          <t>[Afinidad: 50/100 - Afinidad Moderada] Afinidad parcial en seguridad y salud ocupacional. Modalidad: 100% Remoto en Colombia confirmado.</t>
        </is>
      </c>
      <c r="J464" s="2" t="inlineStr">
        <is>
          <t>Nueva</t>
        </is>
      </c>
      <c r="K464" s="3" t="inlineStr"/>
    </row>
    <row r="465" ht="22" customHeight="1">
      <c r="A465" s="2" t="inlineStr">
        <is>
          <t>c12a15d8fd068a1e</t>
        </is>
      </c>
      <c r="B465" s="2" t="inlineStr">
        <is>
          <t>2026-10-05 19:42</t>
        </is>
      </c>
      <c r="C465" s="3" t="inlineStr">
        <is>
          <t>Director de HSEQ</t>
        </is>
      </c>
      <c r="D465" s="3" t="inlineStr">
        <is>
          <t>Autotanques de Colombia</t>
        </is>
      </c>
      <c r="E465" s="7" t="n">
        <v>0.5</v>
      </c>
      <c r="F465" s="2" t="inlineStr">
        <is>
          <t>Remoto</t>
        </is>
      </c>
      <c r="G465" s="5">
        <f>HYPERLINK("https://co.computrabajo.com/ofertas-de-trabajo/oferta-de-trabajo-de-director-de-hseq-empresa-del-sector-transporte-en-bucaramanga-414B424B3DBEC6F461373E686DCF3405", "Ver Vacante")</f>
        <v/>
      </c>
      <c r="H465" s="6" t="inlineStr">
        <is>
          <t>$ 4.000.000,00 (Mensual)</t>
        </is>
      </c>
      <c r="I465" s="3" t="inlineStr">
        <is>
          <t>[Afinidad: 50/100 - Afinidad Moderada] Afinidad parcial en seguridad y salud ocupacional. Modalidad: 100% Remoto en Colombia confirmado.</t>
        </is>
      </c>
      <c r="J465" s="2" t="inlineStr">
        <is>
          <t>Nueva</t>
        </is>
      </c>
      <c r="K465" s="3" t="inlineStr"/>
    </row>
    <row r="466" ht="22" customHeight="1">
      <c r="A466" s="2" t="inlineStr">
        <is>
          <t>948df644b66718ad</t>
        </is>
      </c>
      <c r="B466" s="2" t="inlineStr">
        <is>
          <t>2026-10-05 19:42</t>
        </is>
      </c>
      <c r="C466" s="3" t="inlineStr">
        <is>
          <t>Director de proyecto</t>
        </is>
      </c>
      <c r="D466" s="3" t="inlineStr">
        <is>
          <t>Confidencial</t>
        </is>
      </c>
      <c r="E466" s="7" t="n">
        <v>0.5</v>
      </c>
      <c r="F466" s="2" t="inlineStr">
        <is>
          <t>Remoto</t>
        </is>
      </c>
      <c r="G466" s="5">
        <f>HYPERLINK("https://www.elempleo.com/co/ofertas-trabajo/director-de-proyecto-1886768379", "Ver Vacante")</f>
        <v/>
      </c>
      <c r="H466" s="6" t="inlineStr"/>
      <c r="I466" s="3" t="inlineStr">
        <is>
          <t>[Afinidad: 50/100 - Afinidad Moderada] Afinidad en disciplina base (Ingeniera Civil Especialista en Vías y SST) sin especialidad directa en vías/SST. Modalidad: 100% Remoto en Colombia confirmado.</t>
        </is>
      </c>
      <c r="J466" s="2" t="inlineStr">
        <is>
          <t>Nueva</t>
        </is>
      </c>
      <c r="K466" s="3" t="inlineStr"/>
    </row>
    <row r="467" ht="22" customHeight="1">
      <c r="A467" s="2" t="inlineStr">
        <is>
          <t>7b159079519bb23f</t>
        </is>
      </c>
      <c r="B467" s="2" t="inlineStr">
        <is>
          <t>2026-10-05 19:42</t>
        </is>
      </c>
      <c r="C467" s="3" t="inlineStr">
        <is>
          <t>Director de proyecto</t>
        </is>
      </c>
      <c r="D467" s="3" t="inlineStr">
        <is>
          <t>Confidencial</t>
        </is>
      </c>
      <c r="E467" s="7" t="n">
        <v>0.5</v>
      </c>
      <c r="F467" s="2" t="inlineStr">
        <is>
          <t>Remoto</t>
        </is>
      </c>
      <c r="G467" s="5">
        <f>HYPERLINK("https://www.elempleo.com/co/ofertas-trabajo/director-de-proyecto-1886768376", "Ver Vacante")</f>
        <v/>
      </c>
      <c r="H467" s="6" t="inlineStr"/>
      <c r="I467" s="3" t="inlineStr">
        <is>
          <t>[Afinidad: 50/100 - Afinidad Moderada] Afinidad en disciplina base (Ingeniera Civil Especialista en Vías y SST) sin especialidad directa en vías/SST. Modalidad: 100% Remoto en Colombia confirmado.</t>
        </is>
      </c>
      <c r="J467" s="2" t="inlineStr">
        <is>
          <t>Nueva</t>
        </is>
      </c>
      <c r="K467" s="3" t="inlineStr"/>
    </row>
    <row r="468" ht="22" customHeight="1">
      <c r="A468" s="2" t="inlineStr">
        <is>
          <t>ec3afae45f3f6140</t>
        </is>
      </c>
      <c r="B468" s="2" t="inlineStr">
        <is>
          <t>2026-10-05 19:42</t>
        </is>
      </c>
      <c r="C468" s="3" t="inlineStr">
        <is>
          <t>Director de proyectos</t>
        </is>
      </c>
      <c r="D468" s="3" t="inlineStr">
        <is>
          <t>MENTORHUB COLOMBIA</t>
        </is>
      </c>
      <c r="E468" s="7" t="n">
        <v>0.5</v>
      </c>
      <c r="F468" s="2" t="inlineStr">
        <is>
          <t>Remoto</t>
        </is>
      </c>
      <c r="G468" s="5">
        <f>HYPERLINK("https://www.elempleo.com/co/ofertas-trabajo/director-de-proyectos-1886756286", "Ver Vacante")</f>
        <v/>
      </c>
      <c r="H468" s="6" t="inlineStr"/>
      <c r="I468" s="3" t="inlineStr">
        <is>
          <t>[Afinidad: 50/100 - Afinidad Moderada] Afinidad en disciplina base (Ingeniera Civil Especialista en Vías y SST) sin especialidad directa en vías/SST. Modalidad: 100% Remoto en Colombia confirmado.</t>
        </is>
      </c>
      <c r="J468" s="2" t="inlineStr">
        <is>
          <t>Nueva</t>
        </is>
      </c>
      <c r="K468" s="3" t="inlineStr"/>
    </row>
    <row r="469" ht="22" customHeight="1">
      <c r="A469" s="2" t="inlineStr">
        <is>
          <t>763a6462ee419836</t>
        </is>
      </c>
      <c r="B469" s="2" t="inlineStr">
        <is>
          <t>2026-10-05 19:42</t>
        </is>
      </c>
      <c r="C469" s="3" t="inlineStr">
        <is>
          <t>Director de proyectos de construcciones</t>
        </is>
      </c>
      <c r="D469" s="3" t="inlineStr">
        <is>
          <t>Confidencial</t>
        </is>
      </c>
      <c r="E469" s="7" t="n">
        <v>0.5</v>
      </c>
      <c r="F469" s="2" t="inlineStr">
        <is>
          <t>Remoto</t>
        </is>
      </c>
      <c r="G469" s="5">
        <f>HYPERLINK("https://www.elempleo.com/co/ofertas-trabajo/director-de-proyectos-de-construcciones-1886768359", "Ver Vacante")</f>
        <v/>
      </c>
      <c r="H469" s="6" t="inlineStr"/>
      <c r="I469" s="3" t="inlineStr">
        <is>
          <t>[Afinidad: 50/100 - Afinidad Moderada] Afinidad en disciplina base (Ingeniera Civil Especialista en Vías y SST) sin especialidad directa en vías/SST. Modalidad: 100% Remoto en Colombia confirmado.</t>
        </is>
      </c>
      <c r="J469" s="2" t="inlineStr">
        <is>
          <t>Nueva</t>
        </is>
      </c>
      <c r="K469" s="3" t="inlineStr"/>
    </row>
    <row r="470" ht="22" customHeight="1">
      <c r="A470" s="2" t="inlineStr">
        <is>
          <t>cee6bc8d9c12924e</t>
        </is>
      </c>
      <c r="B470" s="2" t="inlineStr">
        <is>
          <t>2026-10-05 19:42</t>
        </is>
      </c>
      <c r="C470" s="3" t="inlineStr">
        <is>
          <t>Senior Civil Engineer</t>
        </is>
      </c>
      <c r="D470" s="3" t="inlineStr">
        <is>
          <t>WSP en Colombia</t>
        </is>
      </c>
      <c r="E470" s="7" t="n">
        <v>0.5</v>
      </c>
      <c r="F470" s="2" t="inlineStr">
        <is>
          <t>Remoto</t>
        </is>
      </c>
      <c r="G470" s="5">
        <f>HYPERLINK("https://co.linkedin.com/jobs/view/senior-civil-engineer-at-wsp-en-colombia-4468901362", "Ver Vacante")</f>
        <v/>
      </c>
      <c r="H470" s="6" t="inlineStr"/>
      <c r="I470" s="3" t="inlineStr">
        <is>
          <t>[Afinidad: 50/100 - Afinidad Moderada] Afinidad en disciplina base (Ingeniera Civil Especialista en Vías y SST) sin especialidad directa en vías/SST. Modalidad: 100% Remoto en Colombia confirmado.</t>
        </is>
      </c>
      <c r="J470" s="2" t="inlineStr">
        <is>
          <t>Nueva</t>
        </is>
      </c>
      <c r="K470" s="3" t="inlineStr"/>
    </row>
    <row r="471" ht="22" customHeight="1">
      <c r="A471" s="2" t="inlineStr">
        <is>
          <t>ddbf83f896c4d7b0</t>
        </is>
      </c>
      <c r="B471" s="2" t="inlineStr">
        <is>
          <t>2026-10-05 19:42</t>
        </is>
      </c>
      <c r="C471" s="3" t="inlineStr">
        <is>
          <t>Director de proyecto</t>
        </is>
      </c>
      <c r="D471" s="3" t="inlineStr">
        <is>
          <t>SunColombia</t>
        </is>
      </c>
      <c r="E471" s="7" t="n">
        <v>0.5</v>
      </c>
      <c r="F471" s="2" t="inlineStr">
        <is>
          <t>Remoto</t>
        </is>
      </c>
      <c r="G471" s="5">
        <f>HYPERLINK("https://co.linkedin.com/jobs/view/director-de-proyecto-at-suncolombia-4469266449", "Ver Vacante")</f>
        <v/>
      </c>
      <c r="H471" s="6" t="inlineStr"/>
      <c r="I471" s="3" t="inlineStr">
        <is>
          <t>[Afinidad: 50/100 - Afinidad Moderada] Afinidad en disciplina base (Ingeniera Civil Especialista en Vías y SST) sin especialidad directa en vías/SST. Modalidad: 100% Remoto en Colombia confirmado.</t>
        </is>
      </c>
      <c r="J471" s="2" t="inlineStr">
        <is>
          <t>Nueva</t>
        </is>
      </c>
      <c r="K471" s="3" t="inlineStr"/>
    </row>
    <row r="472" ht="22" customHeight="1">
      <c r="A472" s="2" t="inlineStr">
        <is>
          <t>f29816eb9a4ff6d1</t>
        </is>
      </c>
      <c r="B472" s="2" t="inlineStr">
        <is>
          <t>2026-10-06 17:09</t>
        </is>
      </c>
      <c r="C472" s="3" t="inlineStr">
        <is>
          <t>asesor comercial tecnico , ser ingenierio , exp de tres años ventas técnicas B2B infraestructura</t>
        </is>
      </c>
      <c r="D472" s="3" t="inlineStr">
        <is>
          <t>Gestión Vial Integral S.A.S.</t>
        </is>
      </c>
      <c r="E472" s="7" t="n">
        <v>0.5</v>
      </c>
      <c r="F472" s="2" t="inlineStr">
        <is>
          <t>Remoto</t>
        </is>
      </c>
      <c r="G472" s="5">
        <f>HYPERLINK("https://co.computrabajo.com/ofertas-de-trabajo/oferta-de-trabajo-de-asesor-comercial-tecnico-ser-ingenierio-exp-de-tres-anos-ventas-tecnicas-b2b-infraestructura-en-bogota-dc-443704A5DC9B14D261373E686DCF3405", "Ver Vacante")</f>
        <v/>
      </c>
      <c r="H472" s="6" t="inlineStr">
        <is>
          <t>$ 4.500.000,00 (Mensual) + Comisiones</t>
        </is>
      </c>
      <c r="I472" s="3" t="inlineStr">
        <is>
          <t>[Afinidad: 50/100 - Afinidad Moderada] Afinidad parcial en infraestructura vial y transporte. Modalidad: 100% Remoto en Colombia confirmado.</t>
        </is>
      </c>
      <c r="J472" s="2" t="inlineStr">
        <is>
          <t>Nueva</t>
        </is>
      </c>
      <c r="K472" s="3" t="inlineStr"/>
    </row>
    <row r="473" ht="22" customHeight="1">
      <c r="A473" s="2" t="inlineStr">
        <is>
          <t>1f3c6f86daeb22a2</t>
        </is>
      </c>
      <c r="B473" s="2" t="inlineStr">
        <is>
          <t>2026-10-06 17:09</t>
        </is>
      </c>
      <c r="C473" s="3" t="inlineStr">
        <is>
          <t>Analista de Seguridad y Salud en el Trabajo/Rionegro</t>
        </is>
      </c>
      <c r="D473" s="3" t="inlineStr">
        <is>
          <t>SODEXO S.A.S</t>
        </is>
      </c>
      <c r="E473" s="7" t="n">
        <v>0.5</v>
      </c>
      <c r="F473" s="2" t="inlineStr">
        <is>
          <t>Remoto</t>
        </is>
      </c>
      <c r="G473" s="5">
        <f>HYPERLINK("https://co.computrabajo.com/ofertas-de-trabajo/oferta-de-trabajo-de-analista-de-seguridad-y-salud-en-el-trabajorionegro-en-rionegro-F560CCEC2B2DE6EE61373E686DCF3405", "Ver Vacante")</f>
        <v/>
      </c>
      <c r="H473" s="6" t="inlineStr"/>
      <c r="I473" s="3" t="inlineStr">
        <is>
          <t>[Afinidad: 50/100 - Afinidad Moderada] Afinidad parcial en seguridad y salud ocupacional. Modalidad: 100% Remoto en Colombia confirmado.</t>
        </is>
      </c>
      <c r="J473" s="2" t="inlineStr">
        <is>
          <t>Nueva</t>
        </is>
      </c>
      <c r="K473" s="3" t="inlineStr"/>
    </row>
    <row r="474" ht="22" customHeight="1">
      <c r="A474" s="2" t="inlineStr">
        <is>
          <t>09ab63dcb95da56c</t>
        </is>
      </c>
      <c r="B474" s="2" t="inlineStr">
        <is>
          <t>2026-10-06 17:09</t>
        </is>
      </c>
      <c r="C474" s="3" t="inlineStr">
        <is>
          <t>Líder Seguridad y Salud en el Trabajo</t>
        </is>
      </c>
      <c r="D474" s="3" t="inlineStr">
        <is>
          <t>Servicios Postales Especializados.</t>
        </is>
      </c>
      <c r="E474" s="7" t="n">
        <v>0.5</v>
      </c>
      <c r="F474" s="2" t="inlineStr">
        <is>
          <t>Remoto</t>
        </is>
      </c>
      <c r="G474" s="5">
        <f>HYPERLINK("https://co.computrabajo.com/ofertas-de-trabajo/oferta-de-trabajo-de-lider-seguridad-y-salud-en-el-trabajo-sector-transporte-en-medellin-0BE0598AEBD6E06B61373E686DCF3405", "Ver Vacante")</f>
        <v/>
      </c>
      <c r="H474" s="6" t="inlineStr">
        <is>
          <t>$ 3.300.000,00 (Mensual)</t>
        </is>
      </c>
      <c r="I474" s="3" t="inlineStr">
        <is>
          <t>[Afinidad: 50/100 - Afinidad Moderada] Afinidad parcial en seguridad y salud ocupacional. Modalidad: 100% Remoto en Colombia confirmado.</t>
        </is>
      </c>
      <c r="J474" s="2" t="inlineStr">
        <is>
          <t>Nueva</t>
        </is>
      </c>
      <c r="K474" s="3" t="inlineStr"/>
    </row>
    <row r="475" ht="22" customHeight="1">
      <c r="A475" s="2" t="inlineStr">
        <is>
          <t>661a5b25c5a15e2e</t>
        </is>
      </c>
      <c r="B475" s="2" t="inlineStr">
        <is>
          <t>2026-10-06 17:09</t>
        </is>
      </c>
      <c r="C475" s="3" t="inlineStr">
        <is>
          <t>Analista hse / bogotá</t>
        </is>
      </c>
      <c r="D475" s="3" t="inlineStr">
        <is>
          <t>MTS Administración total S.A.S</t>
        </is>
      </c>
      <c r="E475" s="7" t="n">
        <v>0.5</v>
      </c>
      <c r="F475" s="2" t="inlineStr">
        <is>
          <t>Remoto</t>
        </is>
      </c>
      <c r="G475" s="5">
        <f>HYPERLINK("https://www.elempleo.com/co/ofertas-trabajo/analista-hse-bogota-1886753905", "Ver Vacante")</f>
        <v/>
      </c>
      <c r="H475" s="6" t="inlineStr"/>
      <c r="I475" s="3" t="inlineStr">
        <is>
          <t>[Afinidad: 50/100 - Afinidad Moderada] Afinidad parcial en seguridad y salud ocupacional. Modalidad: 100% Remoto en Colombia confirmado.</t>
        </is>
      </c>
      <c r="J475" s="2" t="inlineStr">
        <is>
          <t>Nueva</t>
        </is>
      </c>
      <c r="K475" s="3" t="inlineStr"/>
    </row>
    <row r="476" ht="22" customHeight="1">
      <c r="A476" s="2" t="inlineStr">
        <is>
          <t>cf3e5557654a18b0</t>
        </is>
      </c>
      <c r="B476" s="2" t="inlineStr">
        <is>
          <t>2026-10-06 17:09</t>
        </is>
      </c>
      <c r="C476" s="3" t="inlineStr">
        <is>
          <t>Ingeniero de pavimentos</t>
        </is>
      </c>
      <c r="D476" s="3" t="inlineStr">
        <is>
          <t>Jeoprobe SAS</t>
        </is>
      </c>
      <c r="E476" s="7" t="n">
        <v>0.5</v>
      </c>
      <c r="F476" s="2" t="inlineStr">
        <is>
          <t>Remoto</t>
        </is>
      </c>
      <c r="G476" s="5">
        <f>HYPERLINK("https://co.linkedin.com/jobs/view/ingeniero-de-pavimentos-at-jeoprobe-sas-4476334326", "Ver Vacante")</f>
        <v/>
      </c>
      <c r="H476" s="6" t="inlineStr"/>
      <c r="I476" s="3" t="inlineStr">
        <is>
          <t>[Afinidad: 50/100 - Afinidad Moderada] Afinidad parcial en infraestructura vial y transporte. Modalidad: 100% Remoto en Colombia confirmado.</t>
        </is>
      </c>
      <c r="J476" s="2" t="inlineStr">
        <is>
          <t>Nueva</t>
        </is>
      </c>
      <c r="K476" s="3" t="inlineStr"/>
    </row>
    <row r="477" ht="22" customHeight="1">
      <c r="A477" s="2" t="inlineStr">
        <is>
          <t>4ecd820cc038daa9</t>
        </is>
      </c>
      <c r="B477" s="2" t="inlineStr">
        <is>
          <t>2026-10-06 17:09</t>
        </is>
      </c>
      <c r="C477" s="3" t="inlineStr">
        <is>
          <t>Director de Proyectos y Operaciones</t>
        </is>
      </c>
      <c r="D477" s="3" t="inlineStr">
        <is>
          <t>Corredor Empresarial</t>
        </is>
      </c>
      <c r="E477" s="7" t="n">
        <v>0.5</v>
      </c>
      <c r="F477" s="2" t="inlineStr">
        <is>
          <t>Remoto</t>
        </is>
      </c>
      <c r="G477" s="5">
        <f>HYPERLINK("https://co.linkedin.com/jobs/view/director-de-proyectos-y-operaciones-at-corredor-empresarial-4476176620", "Ver Vacante")</f>
        <v/>
      </c>
      <c r="H477" s="6" t="inlineStr"/>
      <c r="I477" s="3" t="inlineStr">
        <is>
          <t>[Afinidad: 50/100 - Afinidad Moderada] Afinidad en disciplina base (Ingeniera Civil Especialista en Vías y SST) sin especialidad directa en vías/SST. Modalidad: 100% Remoto en Colombia confirmado.</t>
        </is>
      </c>
      <c r="J477" s="2" t="inlineStr">
        <is>
          <t>Nueva</t>
        </is>
      </c>
      <c r="K477" s="3" t="inlineStr"/>
    </row>
    <row r="478" ht="22" customHeight="1">
      <c r="A478" s="2" t="inlineStr">
        <is>
          <t>30e607f4b2822b99</t>
        </is>
      </c>
      <c r="B478" s="2" t="inlineStr">
        <is>
          <t>2026-10-06 17:09</t>
        </is>
      </c>
      <c r="C478" s="3" t="inlineStr">
        <is>
          <t>Director de proyecto</t>
        </is>
      </c>
      <c r="D478" s="3" t="inlineStr">
        <is>
          <t>Construcciones Obycon S.A.S</t>
        </is>
      </c>
      <c r="E478" s="7" t="n">
        <v>0.5</v>
      </c>
      <c r="F478" s="2" t="inlineStr">
        <is>
          <t>Remoto</t>
        </is>
      </c>
      <c r="G478" s="5">
        <f>HYPERLINK("https://co.linkedin.com/jobs/view/director-de-proyecto-at-construcciones-obycon-s-a-s-4465085040", "Ver Vacante")</f>
        <v/>
      </c>
      <c r="H478" s="6" t="inlineStr"/>
      <c r="I478" s="3" t="inlineStr">
        <is>
          <t>[Afinidad: 50/100 - Afinidad Moderada] Afinidad en disciplina base (Ingeniera Civil Especialista en Vías y SST) sin especialidad directa en vías/SST. Modalidad: 100% Remoto en Colombia confirmado.</t>
        </is>
      </c>
      <c r="J478" s="2" t="inlineStr">
        <is>
          <t>Nueva</t>
        </is>
      </c>
      <c r="K478" s="3" t="inlineStr"/>
    </row>
    <row r="479" ht="22" customHeight="1">
      <c r="A479" s="2" t="inlineStr">
        <is>
          <t>09b073f3ccbc7c3d</t>
        </is>
      </c>
      <c r="B479" s="2" t="inlineStr">
        <is>
          <t>2026-10-07 17:47</t>
        </is>
      </c>
      <c r="C479" s="3" t="inlineStr">
        <is>
          <t>Analista del Sistema Gestión Integral y SST/ Licencia de Conducir B1Cartagena</t>
        </is>
      </c>
      <c r="D479" s="3" t="inlineStr">
        <is>
          <t>Saitemp S.A</t>
        </is>
      </c>
      <c r="E479" s="7" t="n">
        <v>0.5</v>
      </c>
      <c r="F479" s="2" t="inlineStr">
        <is>
          <t>Remoto</t>
        </is>
      </c>
      <c r="G479" s="5">
        <f>HYPERLINK("https://co.computrabajo.com/ofertas-de-trabajo/oferta-de-trabajo-de-analista-del-sistema-gestion-integral-y-sst-licencia-de-conducir-b1cartagena-en-cartagena-de-indias-73D727CED1B84ED561373E686DCF3405", "Ver Vacante")</f>
        <v/>
      </c>
      <c r="H479" s="6" t="inlineStr">
        <is>
          <t>$ 3.000.000,00 (Mensual)</t>
        </is>
      </c>
      <c r="I479" s="3" t="inlineStr">
        <is>
          <t>[Afinidad: 50/100 - Afinidad Moderada] Afinidad parcial en seguridad y salud ocupacional. Modalidad: 100% Remoto en Colombia confirmado.</t>
        </is>
      </c>
      <c r="J479" s="2" t="inlineStr">
        <is>
          <t>Nueva</t>
        </is>
      </c>
      <c r="K479" s="3" t="inlineStr"/>
    </row>
    <row r="480" ht="22" customHeight="1">
      <c r="A480" s="2" t="inlineStr">
        <is>
          <t>5b0a1323e42ca888</t>
        </is>
      </c>
      <c r="B480" s="2" t="inlineStr">
        <is>
          <t>2026-10-07 17:47</t>
        </is>
      </c>
      <c r="C480" s="3" t="inlineStr">
        <is>
          <t>Analista o profesional de seguridad vial</t>
        </is>
      </c>
      <c r="D480" s="3" t="inlineStr">
        <is>
          <t>ACTIVOS S A S</t>
        </is>
      </c>
      <c r="E480" s="7" t="n">
        <v>0.5</v>
      </c>
      <c r="F480" s="2" t="inlineStr">
        <is>
          <t>Remoto</t>
        </is>
      </c>
      <c r="G480" s="5">
        <f>HYPERLINK("https://co.computrabajo.com/ofertas-de-trabajo/oferta-de-trabajo-de-analista-o-profesional-de-seguridad-vial-bogota-en-bogota-dc-7D776DB2D53922BE61373E686DCF3405", "Ver Vacante")</f>
        <v/>
      </c>
      <c r="H480" s="6" t="inlineStr"/>
      <c r="I480" s="3" t="inlineStr">
        <is>
          <t>[Afinidad: 50/100 - Afinidad Moderada] Afinidad parcial en infraestructura vial y transporte. Modalidad: 100% Remoto en Colombia confirmado.</t>
        </is>
      </c>
      <c r="J480" s="2" t="inlineStr">
        <is>
          <t>Nueva</t>
        </is>
      </c>
      <c r="K480" s="3" t="inlineStr"/>
    </row>
    <row r="481" ht="22" customHeight="1">
      <c r="A481" s="2" t="inlineStr">
        <is>
          <t>846a0dbb51c8ac59</t>
        </is>
      </c>
      <c r="B481" s="2" t="inlineStr">
        <is>
          <t>2026-10-07 17:47</t>
        </is>
      </c>
      <c r="C481" s="3" t="inlineStr">
        <is>
          <t>Analista del Sistema Gestión Integral y SST/ Licencia de Conducir B1Cartagena</t>
        </is>
      </c>
      <c r="D481" s="3" t="inlineStr">
        <is>
          <t>Saitemp S.A</t>
        </is>
      </c>
      <c r="E481" s="7" t="n">
        <v>0.5</v>
      </c>
      <c r="F481" s="2" t="inlineStr">
        <is>
          <t>Remoto</t>
        </is>
      </c>
      <c r="G481" s="5">
        <f>HYPERLINK("https://co.computrabajo.com/ofertas-de-trabajo/oferta-de-trabajo-de-analista-del-sistema-gestion-integral-y-sst-licencia-de-conducir-b1cartagena-en-cartagena-de-indias-75FC7251F8B75A7C61373E686DCF3405", "Ver Vacante")</f>
        <v/>
      </c>
      <c r="H481" s="6" t="inlineStr">
        <is>
          <t>$ 3.000.000,00 (Mensual)</t>
        </is>
      </c>
      <c r="I481" s="3" t="inlineStr">
        <is>
          <t>[Afinidad: 50/100 - Afinidad Moderada] Afinidad parcial en seguridad y salud ocupacional. Modalidad: 100% Remoto en Colombia confirmado.</t>
        </is>
      </c>
      <c r="J481" s="2" t="inlineStr">
        <is>
          <t>Nueva</t>
        </is>
      </c>
      <c r="K481" s="3" t="inlineStr"/>
    </row>
    <row r="482" ht="22" customHeight="1">
      <c r="A482" s="2" t="inlineStr">
        <is>
          <t>da82c6d3675ab421</t>
        </is>
      </c>
      <c r="B482" s="2" t="inlineStr">
        <is>
          <t>2026-10-07 17:47</t>
        </is>
      </c>
      <c r="C482" s="3" t="inlineStr">
        <is>
          <t>Analista HSEQ</t>
        </is>
      </c>
      <c r="D482" s="3" t="inlineStr">
        <is>
          <t>Importante empresa del sector</t>
        </is>
      </c>
      <c r="E482" s="7" t="n">
        <v>0.5</v>
      </c>
      <c r="F482" s="2" t="inlineStr">
        <is>
          <t>Remoto</t>
        </is>
      </c>
      <c r="G482" s="5">
        <f>HYPERLINK("https://co.computrabajo.com/ofertas-de-trabajo/oferta-de-trabajo-de-analista-hseq-medellin-en-medellin-BEE0CD9DECD7563861373E686DCF3405", "Ver Vacante")</f>
        <v/>
      </c>
      <c r="H482" s="6" t="inlineStr">
        <is>
          <t>$ 2.400.000,00 (Mensual)</t>
        </is>
      </c>
      <c r="I482" s="3" t="inlineStr">
        <is>
          <t>[Afinidad: 50/100 - Afinidad Moderada] Afinidad parcial en seguridad y salud ocupacional. Modalidad: 100% Remoto en Colombia confirmado.</t>
        </is>
      </c>
      <c r="J482" s="2" t="inlineStr">
        <is>
          <t>Nueva</t>
        </is>
      </c>
      <c r="K482" s="3" t="inlineStr"/>
    </row>
    <row r="483" ht="22" customHeight="1">
      <c r="A483" s="2" t="inlineStr">
        <is>
          <t>6f6d591db18d8d01</t>
        </is>
      </c>
      <c r="B483" s="2" t="inlineStr">
        <is>
          <t>2026-10-07 17:47</t>
        </is>
      </c>
      <c r="C483" s="3" t="inlineStr">
        <is>
          <t>Analista HSEQ Sesquilé</t>
        </is>
      </c>
      <c r="D483" s="3" t="inlineStr">
        <is>
          <t>SULOGISTICS EXPRESS S.A.S.</t>
        </is>
      </c>
      <c r="E483" s="7" t="n">
        <v>0.5</v>
      </c>
      <c r="F483" s="2" t="inlineStr">
        <is>
          <t>Remoto</t>
        </is>
      </c>
      <c r="G483" s="5">
        <f>HYPERLINK("https://co.computrabajo.com/ofertas-de-trabajo/oferta-de-trabajo-de-analista-hseq-sesquile-cundinamarca-en-bogota-dc-393419ADE2616E1A61373E686DCF3405", "Ver Vacante")</f>
        <v/>
      </c>
      <c r="H483" s="6" t="inlineStr">
        <is>
          <t>$ 2.000.000,00 (Mensual)</t>
        </is>
      </c>
      <c r="I483" s="3" t="inlineStr">
        <is>
          <t>[Afinidad: 50/100 - Afinidad Moderada] Afinidad parcial en seguridad y salud ocupacional. Modalidad: 100% Remoto en Colombia confirmado.</t>
        </is>
      </c>
      <c r="J483" s="2" t="inlineStr">
        <is>
          <t>Nueva</t>
        </is>
      </c>
      <c r="K483" s="3" t="inlineStr"/>
    </row>
    <row r="484" ht="22" customHeight="1">
      <c r="A484" s="2" t="inlineStr">
        <is>
          <t>0adbf82cde8dca1b</t>
        </is>
      </c>
      <c r="B484" s="2" t="inlineStr">
        <is>
          <t>2026-10-07 17:47</t>
        </is>
      </c>
      <c r="C484" s="3" t="inlineStr">
        <is>
          <t>Analista de Seguridad y Salud en el Trabajo</t>
        </is>
      </c>
      <c r="D484" s="3" t="inlineStr">
        <is>
          <t>Alianza Temporal S.A.S</t>
        </is>
      </c>
      <c r="E484" s="7" t="n">
        <v>0.5</v>
      </c>
      <c r="F484" s="2" t="inlineStr">
        <is>
          <t>Remoto</t>
        </is>
      </c>
      <c r="G484" s="5">
        <f>HYPERLINK("https://co.computrabajo.com/ofertas-de-trabajo/oferta-de-trabajo-de-analista-de-seguridad-y-salud-en-el-trabajo-en-neiva-5E175FD6B7CEFE7A61373E686DCF3405", "Ver Vacante")</f>
        <v/>
      </c>
      <c r="H484" s="6" t="inlineStr">
        <is>
          <t>$ 1.750.905,00 (Mensual)</t>
        </is>
      </c>
      <c r="I484" s="3" t="inlineStr">
        <is>
          <t>[Afinidad: 50/100 - Afinidad Moderada] Afinidad parcial en seguridad y salud ocupacional. Modalidad: 100% Remoto en Colombia confirmado.</t>
        </is>
      </c>
      <c r="J484" s="2" t="inlineStr">
        <is>
          <t>Nueva</t>
        </is>
      </c>
      <c r="K484" s="3" t="inlineStr"/>
    </row>
    <row r="485" ht="22" customHeight="1">
      <c r="A485" s="2" t="inlineStr">
        <is>
          <t>39f5e9edd1b373c0</t>
        </is>
      </c>
      <c r="B485" s="2" t="inlineStr">
        <is>
          <t>2026-10-07 17:47</t>
        </is>
      </c>
      <c r="C485" s="3" t="inlineStr">
        <is>
          <t>Analista de infraestructura ti</t>
        </is>
      </c>
      <c r="D485" s="3" t="inlineStr">
        <is>
          <t>Desarrollo de Sistemas y Servicios SAS</t>
        </is>
      </c>
      <c r="E485" s="7" t="n">
        <v>0.5</v>
      </c>
      <c r="F485" s="2" t="inlineStr">
        <is>
          <t>Remoto</t>
        </is>
      </c>
      <c r="G485" s="5">
        <f>HYPERLINK("https://www.elempleo.com/co/ofertas-trabajo/analista-de-infraestructura-ti-1886556042", "Ver Vacante")</f>
        <v/>
      </c>
      <c r="H485" s="6" t="inlineStr"/>
      <c r="I485" s="3" t="inlineStr">
        <is>
          <t>[Afinidad: 50/100 - Afinidad Moderada] Afinidad parcial en infraestructura vial y transporte. Modalidad: 100% Remoto en Colombia confirmado.</t>
        </is>
      </c>
      <c r="J485" s="2" t="inlineStr">
        <is>
          <t>Nueva</t>
        </is>
      </c>
      <c r="K485" s="3" t="inlineStr"/>
    </row>
    <row r="486" ht="22" customHeight="1">
      <c r="A486" s="2" t="inlineStr">
        <is>
          <t>4384d47432e22ba6</t>
        </is>
      </c>
      <c r="B486" s="2" t="inlineStr">
        <is>
          <t>2026-10-07 17:47</t>
        </is>
      </c>
      <c r="C486" s="3" t="inlineStr">
        <is>
          <t>Director de proyectos barranquilla</t>
        </is>
      </c>
      <c r="D486" s="3" t="inlineStr">
        <is>
          <t>Confidencial</t>
        </is>
      </c>
      <c r="E486" s="7" t="n">
        <v>0.5</v>
      </c>
      <c r="F486" s="2" t="inlineStr">
        <is>
          <t>Remoto</t>
        </is>
      </c>
      <c r="G486" s="5">
        <f>HYPERLINK("https://www.elempleo.com/co/ofertas-trabajo/director-de-proyectos-barranquilla-1886777483", "Ver Vacante")</f>
        <v/>
      </c>
      <c r="H486" s="6" t="inlineStr"/>
      <c r="I486" s="3" t="inlineStr">
        <is>
          <t>[Afinidad: 50/100 - Afinidad Moderada] Afinidad en disciplina base (Ingeniera Civil Especialista en Vías y SST) sin especialidad directa en vías/SST. Modalidad: 100% Remoto en Colombia confirmado.</t>
        </is>
      </c>
      <c r="J486" s="2" t="inlineStr">
        <is>
          <t>Nueva</t>
        </is>
      </c>
      <c r="K486" s="3" t="inlineStr"/>
    </row>
    <row r="487" ht="22" customHeight="1">
      <c r="A487" s="2" t="inlineStr">
        <is>
          <t>6fb9f8449cebc818</t>
        </is>
      </c>
      <c r="B487" s="2" t="inlineStr">
        <is>
          <t>2026-10-07 17:47</t>
        </is>
      </c>
      <c r="C487" s="3" t="inlineStr">
        <is>
          <t>Profesional en SST Coordinador Técnico</t>
        </is>
      </c>
      <c r="D487" s="3" t="inlineStr">
        <is>
          <t>Intersalud Ocupacional</t>
        </is>
      </c>
      <c r="E487" s="7" t="n">
        <v>0.5</v>
      </c>
      <c r="F487" s="2" t="inlineStr">
        <is>
          <t>Remoto</t>
        </is>
      </c>
      <c r="G487" s="5">
        <f>HYPERLINK("https://co.linkedin.com/jobs/view/profesional-en-sst-coordinador-t%C3%A9cnico-at-intersalud-ocupacional-4476716177", "Ver Vacante")</f>
        <v/>
      </c>
      <c r="H487" s="6" t="inlineStr"/>
      <c r="I487" s="3" t="inlineStr">
        <is>
          <t>[Afinidad: 50/100 - Afinidad Moderada] Afinidad parcial en seguridad y salud ocupacional. Modalidad: 100% Remoto en Colombia confirmado.</t>
        </is>
      </c>
      <c r="J487" s="2" t="inlineStr">
        <is>
          <t>Nueva</t>
        </is>
      </c>
      <c r="K487" s="3" t="inlineStr"/>
    </row>
    <row r="488" ht="22" customHeight="1">
      <c r="A488" s="2" t="inlineStr">
        <is>
          <t>fbc73765fc547e80</t>
        </is>
      </c>
      <c r="B488" s="2" t="inlineStr">
        <is>
          <t>2026-10-07 17:47</t>
        </is>
      </c>
      <c r="C488" s="3" t="inlineStr">
        <is>
          <t>Director de Proyectos Especiales - Indefinido - Medellín</t>
        </is>
      </c>
      <c r="D488" s="3" t="inlineStr">
        <is>
          <t>hábilo</t>
        </is>
      </c>
      <c r="E488" s="7" t="n">
        <v>0.5</v>
      </c>
      <c r="F488" s="2" t="inlineStr">
        <is>
          <t>Remoto</t>
        </is>
      </c>
      <c r="G488" s="5">
        <f>HYPERLINK("https://co.linkedin.com/jobs/view/director-de-proyectos-especiales-indefinido-medell%C3%ADn-at-h%C3%A1bilo-4474438571", "Ver Vacante")</f>
        <v/>
      </c>
      <c r="H488" s="6" t="inlineStr"/>
      <c r="I488" s="3" t="inlineStr">
        <is>
          <t>[Afinidad: 50/100 - Afinidad Moderada] Afinidad en disciplina base (Ingeniera Civil Especialista en Vías y SST) sin especialidad directa en vías/SST. Modalidad: 100% Remoto en Colombia confirmado.</t>
        </is>
      </c>
      <c r="J488" s="2" t="inlineStr">
        <is>
          <t>Nueva</t>
        </is>
      </c>
      <c r="K488" s="3" t="inlineStr"/>
    </row>
    <row r="489" ht="22" customHeight="1">
      <c r="A489" s="2" t="inlineStr">
        <is>
          <t>a59ad28d21f1661a</t>
        </is>
      </c>
      <c r="B489" s="2" t="inlineStr">
        <is>
          <t>2026-10-07 17:47</t>
        </is>
      </c>
      <c r="C489" s="3" t="inlineStr">
        <is>
          <t>DIRECTOR(A) / GERENTE DE PROYECTO – MOVILIDAD Y PLANIFICACIÓN TERRITORIAL</t>
        </is>
      </c>
      <c r="D489" s="3" t="inlineStr">
        <is>
          <t>JAHV McGregor SAS</t>
        </is>
      </c>
      <c r="E489" s="7" t="n">
        <v>0.5</v>
      </c>
      <c r="F489" s="2" t="inlineStr">
        <is>
          <t>Remoto</t>
        </is>
      </c>
      <c r="G489" s="5">
        <f>HYPERLINK("https://co.linkedin.com/jobs/view/director-a-gerente-de-proyecto-%E2%80%93-movilidad-y-planificaci%C3%B3n-territorial-at-jahv-mcgregor-sas-4473385595", "Ver Vacante")</f>
        <v/>
      </c>
      <c r="H489" s="6" t="inlineStr"/>
      <c r="I489" s="3" t="inlineStr">
        <is>
          <t>[Afinidad: 50/100 - Afinidad Moderada] Afinidad en disciplina base (Ingeniera Civil Especialista en Vías y SST) sin especialidad directa en vías/SST. Modalidad: 100% Remoto en Colombia confirmado.</t>
        </is>
      </c>
      <c r="J489" s="2" t="inlineStr">
        <is>
          <t>Nueva</t>
        </is>
      </c>
      <c r="K489" s="3" t="inlineStr"/>
    </row>
    <row r="490" ht="22" customHeight="1">
      <c r="A490" s="2" t="inlineStr">
        <is>
          <t>4a4bbcf4d2e591e6</t>
        </is>
      </c>
      <c r="B490" s="2" t="inlineStr">
        <is>
          <t>2026-10-08 17:49</t>
        </is>
      </c>
      <c r="C490" s="3" t="inlineStr">
        <is>
          <t>Analista de SST/ Gestión Integral / Cartagena</t>
        </is>
      </c>
      <c r="D490" s="3" t="inlineStr">
        <is>
          <t>Saitemp S.A</t>
        </is>
      </c>
      <c r="E490" s="7" t="n">
        <v>0.5</v>
      </c>
      <c r="F490" s="2" t="inlineStr">
        <is>
          <t>Remoto</t>
        </is>
      </c>
      <c r="G490" s="5">
        <f>HYPERLINK("https://co.computrabajo.com/ofertas-de-trabajo/oferta-de-trabajo-de-analista-de-sst-gestion-integral-cartagena-en-cartagena-de-indias-19B9D4BC6F27812361373E686DCF3405", "Ver Vacante")</f>
        <v/>
      </c>
      <c r="H490" s="6" t="inlineStr">
        <is>
          <t>$ 3.000.000,00 (Mensual)</t>
        </is>
      </c>
      <c r="I490" s="3" t="inlineStr">
        <is>
          <t>[Afinidad: 50/100 - Afinidad Moderada] Afinidad parcial en seguridad y salud ocupacional. Modalidad: 100% Remoto en Colombia confirmado.</t>
        </is>
      </c>
      <c r="J490" s="2" t="inlineStr">
        <is>
          <t>Nueva</t>
        </is>
      </c>
      <c r="K490" s="3" t="inlineStr"/>
    </row>
    <row r="491" ht="22" customHeight="1">
      <c r="A491" s="2" t="inlineStr">
        <is>
          <t>599ca4fca958b480</t>
        </is>
      </c>
      <c r="B491" s="2" t="inlineStr">
        <is>
          <t>2026-10-08 17:49</t>
        </is>
      </c>
      <c r="C491" s="3" t="inlineStr">
        <is>
          <t>Analista del Sistema Gestión Integral y SST/ Licencia de Conducir B1Cartagena</t>
        </is>
      </c>
      <c r="D491" s="3" t="inlineStr">
        <is>
          <t>Saitemp S.A</t>
        </is>
      </c>
      <c r="E491" s="7" t="n">
        <v>0.5</v>
      </c>
      <c r="F491" s="2" t="inlineStr">
        <is>
          <t>Remoto</t>
        </is>
      </c>
      <c r="G491" s="5">
        <f>HYPERLINK("https://co.computrabajo.com/ofertas-de-trabajo/oferta-de-trabajo-de-analista-del-sistema-gestion-integral-y-sst-licencia-de-conducir-b1cartagena-en-cartagena-de-indias-DB8458FB2279A4A061373E686DCF3405", "Ver Vacante")</f>
        <v/>
      </c>
      <c r="H491" s="6" t="inlineStr">
        <is>
          <t>$ 3.000.000,00 (Mensual)</t>
        </is>
      </c>
      <c r="I491" s="3" t="inlineStr">
        <is>
          <t>[Afinidad: 50/100 - Afinidad Moderada] Afinidad parcial en seguridad y salud ocupacional. Modalidad: 100% Remoto en Colombia confirmado.</t>
        </is>
      </c>
      <c r="J491" s="2" t="inlineStr">
        <is>
          <t>Nueva</t>
        </is>
      </c>
      <c r="K491" s="3" t="inlineStr"/>
    </row>
    <row r="492" ht="22" customHeight="1">
      <c r="A492" s="2" t="inlineStr">
        <is>
          <t>2f75775e4b61d612</t>
        </is>
      </c>
      <c r="B492" s="2" t="inlineStr">
        <is>
          <t>2026-10-08 17:49</t>
        </is>
      </c>
      <c r="C492" s="3" t="inlineStr">
        <is>
          <t>Analista SST Barranquilla</t>
        </is>
      </c>
      <c r="D492" s="3" t="inlineStr">
        <is>
          <t>Central de Soldaduras</t>
        </is>
      </c>
      <c r="E492" s="7" t="n">
        <v>0.5</v>
      </c>
      <c r="F492" s="2" t="inlineStr">
        <is>
          <t>Remoto</t>
        </is>
      </c>
      <c r="G492" s="5">
        <f>HYPERLINK("https://co.computrabajo.com/ofertas-de-trabajo/oferta-de-trabajo-de-analista-sst-barranquilla-barranquilla-en-barranquilla-3555C9664FCDDC7461373E686DCF3405", "Ver Vacante")</f>
        <v/>
      </c>
      <c r="H492" s="6" t="inlineStr">
        <is>
          <t>$ 2.500.000,00 (Mensual)</t>
        </is>
      </c>
      <c r="I492" s="3" t="inlineStr">
        <is>
          <t>[Afinidad: 50/100 - Afinidad Moderada] Afinidad parcial en seguridad y salud ocupacional. Modalidad: 100% Remoto en Colombia confirmado.</t>
        </is>
      </c>
      <c r="J492" s="2" t="inlineStr">
        <is>
          <t>Nueva</t>
        </is>
      </c>
      <c r="K492" s="3" t="inlineStr"/>
    </row>
    <row r="493" ht="22" customHeight="1">
      <c r="A493" s="2" t="inlineStr">
        <is>
          <t>d6a083d792a58686</t>
        </is>
      </c>
      <c r="B493" s="2" t="inlineStr">
        <is>
          <t>2026-10-08 17:49</t>
        </is>
      </c>
      <c r="C493" s="3" t="inlineStr">
        <is>
          <t>Director de interventoría proyectos de tecnología</t>
        </is>
      </c>
      <c r="D493" s="3" t="inlineStr">
        <is>
          <t>Confidencial</t>
        </is>
      </c>
      <c r="E493" s="7" t="n">
        <v>0.5</v>
      </c>
      <c r="F493" s="2" t="inlineStr">
        <is>
          <t>Remoto</t>
        </is>
      </c>
      <c r="G493" s="5">
        <f>HYPERLINK("https://www.elempleo.com/co/ofertas-trabajo/director-de-interventoria-proyectos-de-tecnologia-1886751674", "Ver Vacante")</f>
        <v/>
      </c>
      <c r="H493" s="6" t="inlineStr"/>
      <c r="I493" s="3" t="inlineStr">
        <is>
          <t>[Afinidad: 50/100 - Afinidad Moderada] Afinidad en disciplina base (Ingeniera Civil Especialista en Vías y SST) sin especialidad directa en vías/SST. Modalidad: 100% Remoto en Colombia confirmado.</t>
        </is>
      </c>
      <c r="J493" s="2" t="inlineStr">
        <is>
          <t>Nueva</t>
        </is>
      </c>
      <c r="K493" s="3" t="inlineStr"/>
    </row>
    <row r="494" ht="22" customHeight="1">
      <c r="A494" s="2" t="inlineStr">
        <is>
          <t>71fa4670d99b5f51</t>
        </is>
      </c>
      <c r="B494" s="2" t="inlineStr">
        <is>
          <t>2026-10-08 17:49</t>
        </is>
      </c>
      <c r="C494" s="3" t="inlineStr">
        <is>
          <t>Analista sst barranquilla</t>
        </is>
      </c>
      <c r="D494" s="3" t="inlineStr">
        <is>
          <t>CENTRAL DE SOLDADURAS Y PROTECCION INDUSTRIAL SA</t>
        </is>
      </c>
      <c r="E494" s="7" t="n">
        <v>0.5</v>
      </c>
      <c r="F494" s="2" t="inlineStr">
        <is>
          <t>Remoto</t>
        </is>
      </c>
      <c r="G494" s="5">
        <f>HYPERLINK("https://www.elempleo.com/co/ofertas-trabajo/analista-sst-barranquilla-1886777808", "Ver Vacante")</f>
        <v/>
      </c>
      <c r="H494" s="6" t="inlineStr"/>
      <c r="I494" s="3" t="inlineStr">
        <is>
          <t>[Afinidad: 50/100 - Afinidad Moderada] Afinidad parcial en seguridad y salud ocupacional. Modalidad: 100% Remoto en Colombia confirmado.</t>
        </is>
      </c>
      <c r="J494" s="2" t="inlineStr">
        <is>
          <t>Nueva</t>
        </is>
      </c>
      <c r="K494" s="3" t="inlineStr"/>
    </row>
    <row r="495" ht="22" customHeight="1">
      <c r="A495" s="2" t="inlineStr">
        <is>
          <t>aa81b6cc9d391416</t>
        </is>
      </c>
      <c r="B495" s="2" t="inlineStr">
        <is>
          <t>2026-10-08 17:49</t>
        </is>
      </c>
      <c r="C495" s="3" t="inlineStr">
        <is>
          <t>Analista de sst</t>
        </is>
      </c>
      <c r="D495" s="3" t="inlineStr">
        <is>
          <t>SDT INGENIERIA</t>
        </is>
      </c>
      <c r="E495" s="7" t="n">
        <v>0.5</v>
      </c>
      <c r="F495" s="2" t="inlineStr">
        <is>
          <t>Remoto</t>
        </is>
      </c>
      <c r="G495" s="5">
        <f>HYPERLINK("https://www.elempleo.com/co/ofertas-trabajo/analista-de-sst-1886766788", "Ver Vacante")</f>
        <v/>
      </c>
      <c r="H495" s="6" t="inlineStr"/>
      <c r="I495" s="3" t="inlineStr">
        <is>
          <t>[Afinidad: 50/100 - Afinidad Moderada] Afinidad parcial en seguridad y salud ocupacional. Modalidad: 100% Remoto en Colombia confirmado.</t>
        </is>
      </c>
      <c r="J495" s="2" t="inlineStr">
        <is>
          <t>Nueva</t>
        </is>
      </c>
      <c r="K495" s="3" t="inlineStr"/>
    </row>
    <row r="496" ht="22" customHeight="1">
      <c r="A496" s="2" t="inlineStr">
        <is>
          <t>36f09f98081168b8</t>
        </is>
      </c>
      <c r="B496" s="2" t="inlineStr">
        <is>
          <t>2026-10-08 17:49</t>
        </is>
      </c>
      <c r="C496" s="3" t="inlineStr">
        <is>
          <t>Director de interventoría civil/ barranquilla</t>
        </is>
      </c>
      <c r="D496" s="3" t="inlineStr">
        <is>
          <t>INP PROYECTOS</t>
        </is>
      </c>
      <c r="E496" s="7" t="n">
        <v>0.5</v>
      </c>
      <c r="F496" s="2" t="inlineStr">
        <is>
          <t>Remoto</t>
        </is>
      </c>
      <c r="G496" s="5">
        <f>HYPERLINK("https://www.elempleo.com/co/ofertas-trabajo/director-de-interventoria-civil-barranquilla-1886778042", "Ver Vacante")</f>
        <v/>
      </c>
      <c r="H496" s="6" t="inlineStr"/>
      <c r="I496" s="3" t="inlineStr">
        <is>
          <t>[Afinidad: 50/100 - Afinidad Moderada] Afinidad en disciplina base (Ingeniera Civil Especialista en Vías y SST) sin especialidad directa en vías/SST. Modalidad: 100% Remoto en Colombia confirmado.</t>
        </is>
      </c>
      <c r="J496" s="2" t="inlineStr">
        <is>
          <t>Nueva</t>
        </is>
      </c>
      <c r="K496" s="3" t="inlineStr"/>
    </row>
    <row r="497" ht="22" customHeight="1">
      <c r="A497" s="2" t="inlineStr">
        <is>
          <t>8e266c5d7222e7b3</t>
        </is>
      </c>
      <c r="B497" s="2" t="inlineStr">
        <is>
          <t>2026-10-08 17:49</t>
        </is>
      </c>
      <c r="C497" s="3" t="inlineStr">
        <is>
          <t>ANALISTA DE PREVENCIÓN DE RIESGOS</t>
        </is>
      </c>
      <c r="D497" s="3" t="inlineStr">
        <is>
          <t>Softys</t>
        </is>
      </c>
      <c r="E497" s="7" t="n">
        <v>0.5</v>
      </c>
      <c r="F497" s="2" t="inlineStr">
        <is>
          <t>Remoto</t>
        </is>
      </c>
      <c r="G497" s="5">
        <f>HYPERLINK("https://co.linkedin.com/jobs/view/analista-de-prevenci%C3%B3n-de-riesgos-at-softys-4477414422", "Ver Vacante")</f>
        <v/>
      </c>
      <c r="H497" s="6" t="inlineStr"/>
      <c r="I497" s="3" t="inlineStr">
        <is>
          <t>[Afinidad: 50/100 - Afinidad Moderada] Afinidad parcial en seguridad y salud ocupacional. Modalidad: 100% Remoto en Colombia confirmado.</t>
        </is>
      </c>
      <c r="J497" s="2" t="inlineStr">
        <is>
          <t>Nueva</t>
        </is>
      </c>
      <c r="K497" s="3" t="inlineStr"/>
    </row>
    <row r="498" ht="22" customHeight="1">
      <c r="A498" s="2" t="inlineStr">
        <is>
          <t>dc956d32aa9a8b73</t>
        </is>
      </c>
      <c r="B498" s="2" t="inlineStr">
        <is>
          <t>2026-10-08 17:49</t>
        </is>
      </c>
      <c r="C498" s="3" t="inlineStr">
        <is>
          <t>Gerente HSEQ Colombia</t>
        </is>
      </c>
      <c r="D498" s="3" t="inlineStr">
        <is>
          <t>Confidential Global Company</t>
        </is>
      </c>
      <c r="E498" s="7" t="n">
        <v>0.5</v>
      </c>
      <c r="F498" s="2" t="inlineStr">
        <is>
          <t>Remoto</t>
        </is>
      </c>
      <c r="G498" s="5">
        <f>HYPERLINK("https://co.linkedin.com/jobs/view/gerente-hseq-colombia-at-confidential-global-company-4474848020", "Ver Vacante")</f>
        <v/>
      </c>
      <c r="H498" s="6" t="inlineStr"/>
      <c r="I498" s="3" t="inlineStr">
        <is>
          <t>[Afinidad: 50/100 - Afinidad Moderada] Afinidad parcial en seguridad y salud ocupacional. Modalidad: 100% Remoto en Colombia confirmado.</t>
        </is>
      </c>
      <c r="J498" s="2" t="inlineStr">
        <is>
          <t>Nueva</t>
        </is>
      </c>
      <c r="K498" s="3" t="inlineStr"/>
    </row>
    <row r="499" ht="22" customHeight="1">
      <c r="A499" s="2" t="inlineStr">
        <is>
          <t>3242aaf824bc3dda</t>
        </is>
      </c>
      <c r="B499" s="2" t="inlineStr">
        <is>
          <t>2026-10-09 17:24</t>
        </is>
      </c>
      <c r="C499" s="3" t="inlineStr">
        <is>
          <t>Analista de sst</t>
        </is>
      </c>
      <c r="D499" s="3" t="inlineStr">
        <is>
          <t>SDT INGENIERIA</t>
        </is>
      </c>
      <c r="E499" s="7" t="n">
        <v>0.5</v>
      </c>
      <c r="F499" s="2" t="inlineStr">
        <is>
          <t>Remoto</t>
        </is>
      </c>
      <c r="G499" s="5">
        <f>HYPERLINK("https://www.elempleo.com/co/ofertas-trabajo/analista-de-sst-1886767029", "Ver Vacante")</f>
        <v/>
      </c>
      <c r="H499" s="6" t="inlineStr"/>
      <c r="I499" s="3" t="inlineStr">
        <is>
          <t>[Afinidad: 50/100 - Afinidad Moderada] Afinidad parcial en seguridad y salud ocupacional. Modalidad: 100% Remoto en Colombia confirmado.</t>
        </is>
      </c>
      <c r="J499" s="2" t="inlineStr">
        <is>
          <t>Nueva</t>
        </is>
      </c>
      <c r="K499" s="3" t="inlineStr"/>
    </row>
    <row r="500" ht="22" customHeight="1">
      <c r="A500" s="2" t="inlineStr">
        <is>
          <t>499dfd3c3fe36759</t>
        </is>
      </c>
      <c r="B500" s="2" t="inlineStr">
        <is>
          <t>2026-10-09 17:24</t>
        </is>
      </c>
      <c r="C500" s="3" t="inlineStr">
        <is>
          <t>Coordinado/a de hseq tecnico / tecnologo</t>
        </is>
      </c>
      <c r="D500" s="3" t="inlineStr">
        <is>
          <t>GI GROUP STAFFING S.A.S</t>
        </is>
      </c>
      <c r="E500" s="7" t="n">
        <v>0.5</v>
      </c>
      <c r="F500" s="2" t="inlineStr">
        <is>
          <t>Remoto</t>
        </is>
      </c>
      <c r="G500" s="5">
        <f>HYPERLINK("https://www.elempleo.com/co/ofertas-trabajo/coordinado-a-de-hseq-tecnico-tecnologo-licencia-de-maternidad-1886771543", "Ver Vacante")</f>
        <v/>
      </c>
      <c r="H500" s="6" t="inlineStr"/>
      <c r="I500" s="3" t="inlineStr">
        <is>
          <t>[Afinidad: 50/100 - Afinidad Moderada] Afinidad parcial en seguridad y salud ocupacional. Modalidad: 100% Remoto en Colombia confirmado.</t>
        </is>
      </c>
      <c r="J500" s="2" t="inlineStr">
        <is>
          <t>Nueva</t>
        </is>
      </c>
      <c r="K500" s="3" t="inlineStr"/>
    </row>
    <row r="501" ht="22" customHeight="1">
      <c r="A501" s="2" t="inlineStr">
        <is>
          <t>0109762cd9024f46</t>
        </is>
      </c>
      <c r="B501" s="2" t="inlineStr">
        <is>
          <t>2026-10-09 17:24</t>
        </is>
      </c>
      <c r="C501" s="3" t="inlineStr">
        <is>
          <t>Técnico electromecánico de construccion, infraestructura y mineria - bogotá</t>
        </is>
      </c>
      <c r="D501" s="3" t="inlineStr">
        <is>
          <t>IMOCOM S.A.</t>
        </is>
      </c>
      <c r="E501" s="7" t="n">
        <v>0.5</v>
      </c>
      <c r="F501" s="2" t="inlineStr">
        <is>
          <t>Remoto</t>
        </is>
      </c>
      <c r="G501" s="5">
        <f>HYPERLINK("https://www.elempleo.com/co/ofertas-trabajo/tecnico-electromecanico-de-construccion-infraestructura-y-mineria-bogota-1886778387", "Ver Vacante")</f>
        <v/>
      </c>
      <c r="H501" s="6" t="inlineStr"/>
      <c r="I501" s="3" t="inlineStr">
        <is>
          <t>[Afinidad: 50/100 - Afinidad Moderada] Afinidad parcial en infraestructura vial y transporte. Modalidad: 100% Remoto en Colombia confirmado.</t>
        </is>
      </c>
      <c r="J501" s="2" t="inlineStr">
        <is>
          <t>Nueva</t>
        </is>
      </c>
      <c r="K501" s="3" t="inlineStr"/>
    </row>
    <row r="502" ht="22" customHeight="1">
      <c r="A502" s="2" t="inlineStr">
        <is>
          <t>ebbafdcb037d5a8f</t>
        </is>
      </c>
      <c r="B502" s="2" t="inlineStr">
        <is>
          <t>2026-10-09 17:24</t>
        </is>
      </c>
      <c r="C502" s="3" t="inlineStr">
        <is>
          <t>Director de interventoría alianza público privada</t>
        </is>
      </c>
      <c r="D502" s="3" t="inlineStr">
        <is>
          <t>JAHV MC GREGOR S.A.S</t>
        </is>
      </c>
      <c r="E502" s="7" t="n">
        <v>0.5</v>
      </c>
      <c r="F502" s="2" t="inlineStr">
        <is>
          <t>Remoto</t>
        </is>
      </c>
      <c r="G502" s="5">
        <f>HYPERLINK("https://www.elempleo.com/co/ofertas-trabajo/director-de-interventoria-alianza-publico-privada-1886778469", "Ver Vacante")</f>
        <v/>
      </c>
      <c r="H502" s="6" t="inlineStr"/>
      <c r="I502" s="3" t="inlineStr">
        <is>
          <t>[Afinidad: 50/100 - Afinidad Moderada] Afinidad en disciplina base (Ingeniera Civil Especialista en Vías y SST) sin especialidad directa en vías/SST. Modalidad: 100% Remoto en Colombia confirmado.</t>
        </is>
      </c>
      <c r="J502" s="2" t="inlineStr">
        <is>
          <t>Nueva</t>
        </is>
      </c>
      <c r="K502" s="3" t="inlineStr"/>
    </row>
    <row r="503" ht="22" customHeight="1">
      <c r="A503" s="2" t="inlineStr">
        <is>
          <t>32abefbaefd4cddd</t>
        </is>
      </c>
      <c r="B503" s="2" t="inlineStr">
        <is>
          <t>2026-10-09 17:24</t>
        </is>
      </c>
      <c r="C503" s="3" t="inlineStr">
        <is>
          <t>Analista EHS</t>
        </is>
      </c>
      <c r="D503" s="3" t="inlineStr">
        <is>
          <t>Lincoln Electric</t>
        </is>
      </c>
      <c r="E503" s="7" t="n">
        <v>0.5</v>
      </c>
      <c r="F503" s="2" t="inlineStr">
        <is>
          <t>Remoto</t>
        </is>
      </c>
      <c r="G503" s="5">
        <f>HYPERLINK("https://co.linkedin.com/jobs/view/analista-ehs-seguridad-y-salud-en-el-trabajo-at-lincoln-electric-4474840851", "Ver Vacante")</f>
        <v/>
      </c>
      <c r="H503" s="6" t="inlineStr"/>
      <c r="I503" s="3" t="inlineStr">
        <is>
          <t>[Afinidad: 50/100 - Afinidad Moderada] Afinidad parcial en seguridad y salud ocupacional. Modalidad: 100% Remoto en Colombia confirmado.</t>
        </is>
      </c>
      <c r="J503" s="2" t="inlineStr">
        <is>
          <t>Nueva</t>
        </is>
      </c>
      <c r="K503" s="3" t="inlineStr"/>
    </row>
    <row r="504" ht="22" customHeight="1">
      <c r="A504" s="2" t="inlineStr">
        <is>
          <t>9f48cd60fe83e0b2</t>
        </is>
      </c>
      <c r="B504" s="2" t="inlineStr">
        <is>
          <t>2026-10-09 17:24</t>
        </is>
      </c>
      <c r="C504" s="3" t="inlineStr">
        <is>
          <t>Líder HSEQ</t>
        </is>
      </c>
      <c r="D504" s="3" t="inlineStr">
        <is>
          <t>Maper S.A.</t>
        </is>
      </c>
      <c r="E504" s="7" t="n">
        <v>0.5</v>
      </c>
      <c r="F504" s="2" t="inlineStr">
        <is>
          <t>Remoto</t>
        </is>
      </c>
      <c r="G504" s="5">
        <f>HYPERLINK("https://co.linkedin.com/jobs/view/l%C3%ADder-hseq-at-maper-s-a-4477497086", "Ver Vacante")</f>
        <v/>
      </c>
      <c r="H504" s="6" t="inlineStr"/>
      <c r="I504" s="3" t="inlineStr">
        <is>
          <t>[Afinidad: 50/100 - Afinidad Moderada] Afinidad parcial en seguridad y salud ocupacional. Modalidad: 100% Remoto en Colombia confirmado.</t>
        </is>
      </c>
      <c r="J504" s="2" t="inlineStr">
        <is>
          <t>Nueva</t>
        </is>
      </c>
      <c r="K504" s="3" t="inlineStr"/>
    </row>
    <row r="505" ht="22" customHeight="1">
      <c r="A505" s="2" t="inlineStr">
        <is>
          <t>54509dab223406bc</t>
        </is>
      </c>
      <c r="B505" s="2" t="inlineStr">
        <is>
          <t>2026-10-09 17:24</t>
        </is>
      </c>
      <c r="C505" s="3" t="inlineStr">
        <is>
          <t>Ingeniero SST</t>
        </is>
      </c>
      <c r="D505" s="3" t="inlineStr">
        <is>
          <t>KMA Construcciones</t>
        </is>
      </c>
      <c r="E505" s="7" t="n">
        <v>0.5</v>
      </c>
      <c r="F505" s="2" t="inlineStr">
        <is>
          <t>Remoto</t>
        </is>
      </c>
      <c r="G505" s="5">
        <f>HYPERLINK("https://co.linkedin.com/jobs/view/ingeniero-sst-at-kma-construcciones-4477673383", "Ver Vacante")</f>
        <v/>
      </c>
      <c r="H505" s="6" t="inlineStr"/>
      <c r="I505" s="3" t="inlineStr">
        <is>
          <t>[Afinidad: 50/100 - Afinidad Moderada] Afinidad parcial en seguridad y salud ocupacional. Modalidad: 100% Remoto en Colombia confirmado.</t>
        </is>
      </c>
      <c r="J505" s="2" t="inlineStr">
        <is>
          <t>Nueva</t>
        </is>
      </c>
      <c r="K505" s="3" t="inlineStr"/>
    </row>
    <row r="506" ht="22" customHeight="1">
      <c r="A506" s="2" t="inlineStr">
        <is>
          <t>f6d29e951e9ba5cd</t>
        </is>
      </c>
      <c r="B506" s="2" t="inlineStr">
        <is>
          <t>2026-10-10 16:13</t>
        </is>
      </c>
      <c r="C506" s="3" t="inlineStr">
        <is>
          <t>Analista de Seguridad y Salud en el Trabajo</t>
        </is>
      </c>
      <c r="D506" s="3" t="inlineStr">
        <is>
          <t>Importante empresa del sector</t>
        </is>
      </c>
      <c r="E506" s="7" t="n">
        <v>0.5</v>
      </c>
      <c r="F506" s="2" t="inlineStr">
        <is>
          <t>Remoto</t>
        </is>
      </c>
      <c r="G506" s="5">
        <f>HYPERLINK("https://co.computrabajo.com/ofertas-de-trabajo/oferta-de-trabajo-de-analista-de-seguridad-y-salud-en-el-trabajo-en-medellin-FAEF3F867611F5DB61373E686DCF3405", "Ver Vacante")</f>
        <v/>
      </c>
      <c r="H506" s="6" t="inlineStr"/>
      <c r="I506" s="3" t="inlineStr">
        <is>
          <t>[Afinidad: 50/100 - Afinidad Moderada] Afinidad parcial en seguridad y salud ocupacional. Modalidad: 100% Remoto en Colombia confirmado.</t>
        </is>
      </c>
      <c r="J506" s="2" t="inlineStr">
        <is>
          <t>Nueva</t>
        </is>
      </c>
      <c r="K506" s="3" t="inlineStr"/>
    </row>
    <row r="507" ht="22" customHeight="1">
      <c r="A507" s="2" t="inlineStr">
        <is>
          <t>3a1177264c4af4b9</t>
        </is>
      </c>
      <c r="B507" s="2" t="inlineStr">
        <is>
          <t>2026-10-10 16:13</t>
        </is>
      </c>
      <c r="C507" s="3" t="inlineStr">
        <is>
          <t>Analista de SST</t>
        </is>
      </c>
      <c r="D507" s="3" t="inlineStr">
        <is>
          <t>FN Servicios</t>
        </is>
      </c>
      <c r="E507" s="7" t="n">
        <v>0.5</v>
      </c>
      <c r="F507" s="2" t="inlineStr">
        <is>
          <t>Remoto</t>
        </is>
      </c>
      <c r="G507" s="5">
        <f>HYPERLINK("https://co.computrabajo.com/ofertas-de-trabajo/oferta-de-trabajo-de-analista-de-sst-en-yumbo-49CDB83036A8FA1161373E686DCF3405", "Ver Vacante")</f>
        <v/>
      </c>
      <c r="H507" s="6" t="inlineStr">
        <is>
          <t>$ 3.023.502,00 (Mensual)</t>
        </is>
      </c>
      <c r="I507" s="3" t="inlineStr">
        <is>
          <t>[Afinidad: 50/100 - Afinidad Moderada] Afinidad parcial en seguridad y salud ocupacional. Modalidad: 100% Remoto en Colombia confirmado.</t>
        </is>
      </c>
      <c r="J507" s="2" t="inlineStr">
        <is>
          <t>Nueva</t>
        </is>
      </c>
      <c r="K507" s="3" t="inlineStr"/>
    </row>
    <row r="508" ht="22" customHeight="1">
      <c r="A508" s="2" t="inlineStr">
        <is>
          <t>5bbb69ab2f057428</t>
        </is>
      </c>
      <c r="B508" s="2" t="inlineStr">
        <is>
          <t>2026-10-10 16:13</t>
        </is>
      </c>
      <c r="C508" s="3" t="inlineStr">
        <is>
          <t>Director de SST</t>
        </is>
      </c>
      <c r="D508" s="3" t="inlineStr">
        <is>
          <t>Importante empresa del sector</t>
        </is>
      </c>
      <c r="E508" s="7" t="n">
        <v>0.5</v>
      </c>
      <c r="F508" s="2" t="inlineStr">
        <is>
          <t>Remoto</t>
        </is>
      </c>
      <c r="G508" s="5">
        <f>HYPERLINK("https://co.computrabajo.com/ofertas-de-trabajo/oferta-de-trabajo-de-director-de-sst-ingeniero-especialista-de-sst-en-barranquilla-D770A087992E5E8C61373E686DCF3405", "Ver Vacante")</f>
        <v/>
      </c>
      <c r="H508" s="6" t="inlineStr"/>
      <c r="I508" s="3" t="inlineStr">
        <is>
          <t>[Afinidad: 50/100 - Afinidad Moderada] Afinidad parcial en seguridad y salud ocupacional. Modalidad: 100% Remoto en Colombia confirmado.</t>
        </is>
      </c>
      <c r="J508" s="2" t="inlineStr">
        <is>
          <t>Nueva</t>
        </is>
      </c>
      <c r="K508" s="3" t="inlineStr"/>
    </row>
    <row r="509" ht="22" customHeight="1">
      <c r="A509" s="2" t="inlineStr">
        <is>
          <t>d6570de98c9840c3</t>
        </is>
      </c>
      <c r="B509" s="2" t="inlineStr">
        <is>
          <t>2026-10-10 16:13</t>
        </is>
      </c>
      <c r="C509" s="3" t="inlineStr">
        <is>
          <t>Lider de seguridad y salud en el trabajo</t>
        </is>
      </c>
      <c r="D509" s="3" t="inlineStr">
        <is>
          <t>ORGANIZACION GEN</t>
        </is>
      </c>
      <c r="E509" s="7" t="n">
        <v>0.5</v>
      </c>
      <c r="F509" s="2" t="inlineStr">
        <is>
          <t>Remoto</t>
        </is>
      </c>
      <c r="G509" s="5">
        <f>HYPERLINK("https://www.elempleo.com/co/ofertas-trabajo/lider-de-seguridad-y-salud-en-el-trabajo-1886779163", "Ver Vacante")</f>
        <v/>
      </c>
      <c r="H509" s="6" t="inlineStr"/>
      <c r="I509" s="3" t="inlineStr">
        <is>
          <t>[Afinidad: 50/100 - Afinidad Moderada] Afinidad parcial en seguridad y salud ocupacional. Modalidad: 100% Remoto en Colombia confirmado.</t>
        </is>
      </c>
      <c r="J509" s="2" t="inlineStr">
        <is>
          <t>Nueva</t>
        </is>
      </c>
      <c r="K509" s="3" t="inlineStr"/>
    </row>
    <row r="510" ht="22" customHeight="1">
      <c r="A510" s="2" t="inlineStr">
        <is>
          <t>788ad7d375adc1a0</t>
        </is>
      </c>
      <c r="B510" s="2" t="inlineStr">
        <is>
          <t>2026-10-10 16:13</t>
        </is>
      </c>
      <c r="C510" s="3" t="inlineStr">
        <is>
          <t>Inspector tecnico - idu</t>
        </is>
      </c>
      <c r="D510" s="3" t="inlineStr">
        <is>
          <t>MAB INGENIERIA DE VALOR SA</t>
        </is>
      </c>
      <c r="E510" s="7" t="n">
        <v>0.5</v>
      </c>
      <c r="F510" s="2" t="inlineStr">
        <is>
          <t>Remoto</t>
        </is>
      </c>
      <c r="G510" s="5">
        <f>HYPERLINK("https://www.elempleo.com/co/ofertas-trabajo/inspector-tecnico-idu-suba-1886776756", "Ver Vacante")</f>
        <v/>
      </c>
      <c r="H510" s="6" t="inlineStr"/>
      <c r="I510" s="3" t="inlineStr">
        <is>
          <t>[Afinidad: 50/100 - Afinidad Moderada] Afinidad parcial en infraestructura vial y transporte. Modalidad: 100% Remoto en Colombia confirmado.</t>
        </is>
      </c>
      <c r="J510" s="2" t="inlineStr">
        <is>
          <t>Nueva</t>
        </is>
      </c>
      <c r="K510" s="3" t="inlineStr"/>
    </row>
    <row r="511" ht="22" customHeight="1">
      <c r="A511" s="2" t="inlineStr">
        <is>
          <t>b2163ba944ba067e</t>
        </is>
      </c>
      <c r="B511" s="2" t="inlineStr">
        <is>
          <t>2026-10-10 16:13</t>
        </is>
      </c>
      <c r="C511" s="3" t="inlineStr">
        <is>
          <t>Analista de sst</t>
        </is>
      </c>
      <c r="D511" s="3" t="inlineStr">
        <is>
          <t>Confidencial</t>
        </is>
      </c>
      <c r="E511" s="7" t="n">
        <v>0.5</v>
      </c>
      <c r="F511" s="2" t="inlineStr">
        <is>
          <t>Remoto</t>
        </is>
      </c>
      <c r="G511" s="5">
        <f>HYPERLINK("https://www.elempleo.com/co/ofertas-trabajo/analista-de-sst-1886775924", "Ver Vacante")</f>
        <v/>
      </c>
      <c r="H511" s="6" t="inlineStr"/>
      <c r="I511" s="3" t="inlineStr">
        <is>
          <t>[Afinidad: 50/100 - Afinidad Moderada] Afinidad parcial en seguridad y salud ocupacional. Modalidad: 100% Remoto en Colombia confirmado.</t>
        </is>
      </c>
      <c r="J511" s="2" t="inlineStr">
        <is>
          <t>Nueva</t>
        </is>
      </c>
      <c r="K511" s="3" t="inlineStr"/>
    </row>
    <row r="512" ht="22" customHeight="1">
      <c r="A512" s="2" t="inlineStr">
        <is>
          <t>54f011a4bbc3566d</t>
        </is>
      </c>
      <c r="B512" s="2" t="inlineStr">
        <is>
          <t>2026-10-10 16:13</t>
        </is>
      </c>
      <c r="C512" s="3" t="inlineStr">
        <is>
          <t>Analista de seguridad y salud en el trabajo credibanco</t>
        </is>
      </c>
      <c r="D512" s="3" t="inlineStr">
        <is>
          <t>Confidencial</t>
        </is>
      </c>
      <c r="E512" s="7" t="n">
        <v>0.5</v>
      </c>
      <c r="F512" s="2" t="inlineStr">
        <is>
          <t>Remoto</t>
        </is>
      </c>
      <c r="G512" s="5">
        <f>HYPERLINK("https://www.elempleo.com/co/ofertas-trabajo/analista-de-seguridad-y-salud-en-el-trabajo-credibanco-1886774030", "Ver Vacante")</f>
        <v/>
      </c>
      <c r="H512" s="6" t="inlineStr"/>
      <c r="I512" s="3" t="inlineStr">
        <is>
          <t>[Afinidad: 50/100 - Afinidad Moderada] Afinidad parcial en seguridad y salud ocupacional. Modalidad: 100% Remoto en Colombia confirmado.</t>
        </is>
      </c>
      <c r="J512" s="2" t="inlineStr">
        <is>
          <t>Nueva</t>
        </is>
      </c>
      <c r="K512" s="3" t="inlineStr"/>
    </row>
    <row r="513" ht="22" customHeight="1">
      <c r="A513" s="2" t="inlineStr">
        <is>
          <t>10800df9ba1b3e4f</t>
        </is>
      </c>
      <c r="B513" s="2" t="inlineStr">
        <is>
          <t>2026-10-10 16:13</t>
        </is>
      </c>
      <c r="C513" s="3" t="inlineStr">
        <is>
          <t>INGENIERO RESIDENTE SST</t>
        </is>
      </c>
      <c r="D513" s="3" t="inlineStr">
        <is>
          <t>Grupo alc asociados sas</t>
        </is>
      </c>
      <c r="E513" s="7" t="n">
        <v>0.5</v>
      </c>
      <c r="F513" s="2" t="inlineStr">
        <is>
          <t>Remoto</t>
        </is>
      </c>
      <c r="G513" s="5">
        <f>HYPERLINK("https://co.linkedin.com/jobs/view/ingeniero-residente-sst-4477879083", "Ver Vacante")</f>
        <v/>
      </c>
      <c r="H513" s="6" t="inlineStr"/>
      <c r="I513" s="3" t="inlineStr">
        <is>
          <t>[Afinidad: 50/100 - Afinidad Moderada] Afinidad parcial en seguridad y salud ocupacional. Modalidad: 100% Remoto en Colombia confirmado.</t>
        </is>
      </c>
      <c r="J513" s="2" t="inlineStr">
        <is>
          <t>Nueva</t>
        </is>
      </c>
      <c r="K513" s="3" t="inlineStr"/>
    </row>
    <row r="514" ht="22" customHeight="1">
      <c r="A514" s="2" t="inlineStr">
        <is>
          <t>a0f69722e6c11581</t>
        </is>
      </c>
      <c r="B514" s="2" t="inlineStr">
        <is>
          <t>2026-10-11 16:39</t>
        </is>
      </c>
      <c r="C514" s="3" t="inlineStr">
        <is>
          <t>Analista mantenimiento e infraestructura - fontibon</t>
        </is>
      </c>
      <c r="D514" s="3" t="inlineStr">
        <is>
          <t>ALFA TRADING S.A.S.</t>
        </is>
      </c>
      <c r="E514" s="7" t="n">
        <v>0.5</v>
      </c>
      <c r="F514" s="2" t="inlineStr">
        <is>
          <t>Remoto</t>
        </is>
      </c>
      <c r="G514" s="5">
        <f>HYPERLINK("https://www.elempleo.com/co/ofertas-trabajo/analista-mantenimiento-e-infraestructura-fontibon-1886697592", "Ver Vacante")</f>
        <v/>
      </c>
      <c r="H514" s="6" t="inlineStr"/>
      <c r="I514" s="3" t="inlineStr">
        <is>
          <t>[Afinidad: 50/100 - Afinidad Moderada] Afinidad parcial en infraestructura vial y transporte. Modalidad: 100% Remoto en Colombia confirmado.</t>
        </is>
      </c>
      <c r="J514" s="2" t="inlineStr">
        <is>
          <t>Nueva</t>
        </is>
      </c>
      <c r="K514" s="3" t="inlineStr"/>
    </row>
    <row r="515" ht="22" customHeight="1">
      <c r="A515" s="2" t="inlineStr">
        <is>
          <t>377f186c3b4bebfb</t>
        </is>
      </c>
      <c r="B515" s="2" t="inlineStr">
        <is>
          <t>2026-10-11 16:39</t>
        </is>
      </c>
      <c r="C515" s="3" t="inlineStr">
        <is>
          <t>Gerente de proyectos</t>
        </is>
      </c>
      <c r="D515" s="3" t="inlineStr">
        <is>
          <t>ENTELGY COLOMBIA S.A.S</t>
        </is>
      </c>
      <c r="E515" s="7" t="n">
        <v>0.5</v>
      </c>
      <c r="F515" s="2" t="inlineStr">
        <is>
          <t>Remoto</t>
        </is>
      </c>
      <c r="G515" s="5">
        <f>HYPERLINK("https://www.elempleo.com/co/ofertas-trabajo/gerente-de-proyectos-erp-oracle-fusion-1886573332", "Ver Vacante")</f>
        <v/>
      </c>
      <c r="H515" s="6" t="inlineStr"/>
      <c r="I515" s="3" t="inlineStr">
        <is>
          <t>[Afinidad: 50/100 - Afinidad Moderada] Afinidad en disciplina base (Ingeniera Civil Especialista en Vías y SST) sin especialidad directa en vías/SST. Modalidad: 100% Remoto en Colombia confirmado.</t>
        </is>
      </c>
      <c r="J515" s="2" t="inlineStr">
        <is>
          <t>Nueva</t>
        </is>
      </c>
      <c r="K515" s="3" t="inlineStr"/>
    </row>
    <row r="516" ht="22" customHeight="1">
      <c r="A516" s="2" t="inlineStr">
        <is>
          <t>35986f89e972157a</t>
        </is>
      </c>
      <c r="B516" s="2" t="inlineStr">
        <is>
          <t>2026-10-11 16:39</t>
        </is>
      </c>
      <c r="C516" s="3" t="inlineStr">
        <is>
          <t>Gerente de proyectos</t>
        </is>
      </c>
      <c r="D516" s="3" t="inlineStr">
        <is>
          <t>Botánika Constructora SAS</t>
        </is>
      </c>
      <c r="E516" s="7" t="n">
        <v>0.5</v>
      </c>
      <c r="F516" s="2" t="inlineStr">
        <is>
          <t>Remoto</t>
        </is>
      </c>
      <c r="G516" s="5">
        <f>HYPERLINK("https://www.elempleo.com/co/ofertas-trabajo/gerente-de-proyectos-1886753884", "Ver Vacante")</f>
        <v/>
      </c>
      <c r="H516" s="6" t="inlineStr"/>
      <c r="I516" s="3" t="inlineStr">
        <is>
          <t>[Afinidad: 50/100 - Afinidad Moderada] Afinidad en disciplina base (Ingeniera Civil Especialista en Vías y SST) sin especialidad directa en vías/SST. Modalidad: 100% Remoto en Colombia confirmado.</t>
        </is>
      </c>
      <c r="J516" s="2" t="inlineStr">
        <is>
          <t>Nueva</t>
        </is>
      </c>
      <c r="K516" s="3" t="inlineStr"/>
    </row>
    <row r="517" ht="22" customHeight="1">
      <c r="A517" s="2" t="inlineStr">
        <is>
          <t>d8d69ef60cc44b32</t>
        </is>
      </c>
      <c r="B517" s="2" t="inlineStr">
        <is>
          <t>2026-10-11 16:39</t>
        </is>
      </c>
      <c r="C517" s="3" t="inlineStr">
        <is>
          <t>Director de proyecto</t>
        </is>
      </c>
      <c r="D517" s="3" t="inlineStr">
        <is>
          <t>Energua, S.A</t>
        </is>
      </c>
      <c r="E517" s="7" t="n">
        <v>0.5</v>
      </c>
      <c r="F517" s="2" t="inlineStr">
        <is>
          <t>Remoto</t>
        </is>
      </c>
      <c r="G517" s="5">
        <f>HYPERLINK("https://co.linkedin.com/jobs/view/director-de-proyecto-at-energua-s-a-4478328729", "Ver Vacante")</f>
        <v/>
      </c>
      <c r="H517" s="6" t="inlineStr"/>
      <c r="I517" s="3" t="inlineStr">
        <is>
          <t>[Afinidad: 50/100 - Afinidad Moderada] Afinidad en disciplina base (Ingeniera Civil Especialista en Vías y SST) sin especialidad directa en vías/SST. Modalidad: 100% Remoto en Colombia confirmado.</t>
        </is>
      </c>
      <c r="J517" s="2" t="inlineStr">
        <is>
          <t>Nueva</t>
        </is>
      </c>
      <c r="K517" s="3" t="inlineStr"/>
    </row>
    <row r="518" ht="22" customHeight="1">
      <c r="A518" s="2" t="inlineStr">
        <is>
          <t>4d53f280e67a0067</t>
        </is>
      </c>
      <c r="B518" s="2" t="inlineStr">
        <is>
          <t>2026-10-12 20:14</t>
        </is>
      </c>
      <c r="C518" s="3" t="inlineStr">
        <is>
          <t>Líder de Seguridad y Salud en el Trabajo</t>
        </is>
      </c>
      <c r="D518" s="3" t="inlineStr">
        <is>
          <t>TEMPOTRABAJO S.A.S</t>
        </is>
      </c>
      <c r="E518" s="7" t="n">
        <v>0.5</v>
      </c>
      <c r="F518" s="2" t="inlineStr">
        <is>
          <t>Remoto</t>
        </is>
      </c>
      <c r="G518" s="5">
        <f>HYPERLINK("https://co.linkedin.com/jobs/view/l%C3%ADder-de-seguridad-y-salud-en-el-trabajo-at-tempotrabajo-s-a-s-4462188022", "Ver Vacante")</f>
        <v/>
      </c>
      <c r="H518" s="6" t="inlineStr"/>
      <c r="I518" s="3" t="inlineStr">
        <is>
          <t>[Afinidad: 50/100 - Afinidad Moderada] Afinidad parcial en seguridad y salud ocupacional. Modalidad: 100% Remoto en Colombia confirmado.</t>
        </is>
      </c>
      <c r="J518" s="2" t="inlineStr">
        <is>
          <t>Nueva</t>
        </is>
      </c>
      <c r="K518" s="3" t="inlineStr"/>
    </row>
    <row r="519" ht="22" customHeight="1">
      <c r="A519" s="2" t="inlineStr">
        <is>
          <t>cf0519f123555c16</t>
        </is>
      </c>
      <c r="B519" s="2" t="inlineStr">
        <is>
          <t>2026-10-13 18:04</t>
        </is>
      </c>
      <c r="C519" s="3" t="inlineStr">
        <is>
          <t>Analista de SST</t>
        </is>
      </c>
      <c r="D519" s="3" t="inlineStr">
        <is>
          <t>EMPRESA DE SERVICIOS TEMPORALES MAXEMPLEOS S.A.S.</t>
        </is>
      </c>
      <c r="E519" s="7" t="n">
        <v>0.5</v>
      </c>
      <c r="F519" s="2" t="inlineStr">
        <is>
          <t>Remoto</t>
        </is>
      </c>
      <c r="G519" s="5">
        <f>HYPERLINK("https://co.computrabajo.com/ofertas-de-trabajo/oferta-de-trabajo-de-analista-de-sst-medellin-en-medellin-E310C076E92B90B961373E686DCF3405", "Ver Vacante")</f>
        <v/>
      </c>
      <c r="H519" s="6" t="inlineStr">
        <is>
          <t>$ 2.175.000,00 (Mensual)</t>
        </is>
      </c>
      <c r="I519" s="3" t="inlineStr">
        <is>
          <t>[Afinidad: 50/100 - Afinidad Moderada] Afinidad parcial en seguridad y salud ocupacional. Modalidad: 100% Remoto en Colombia confirmado.</t>
        </is>
      </c>
      <c r="J519" s="2" t="inlineStr">
        <is>
          <t>Nueva</t>
        </is>
      </c>
      <c r="K519" s="3" t="inlineStr"/>
    </row>
    <row r="520" ht="22" customHeight="1">
      <c r="A520" s="2" t="inlineStr">
        <is>
          <t>7dbcf3d6e7b2c967</t>
        </is>
      </c>
      <c r="B520" s="2" t="inlineStr">
        <is>
          <t>2026-10-13 18:04</t>
        </is>
      </c>
      <c r="C520" s="3" t="inlineStr">
        <is>
          <t>Técnico de Seguridad Vial</t>
        </is>
      </c>
      <c r="D520" s="3" t="inlineStr">
        <is>
          <t>Grupo emi S.A.S</t>
        </is>
      </c>
      <c r="E520" s="7" t="n">
        <v>0.5</v>
      </c>
      <c r="F520" s="2" t="inlineStr">
        <is>
          <t>Remoto</t>
        </is>
      </c>
      <c r="G520" s="5">
        <f>HYPERLINK("https://co.computrabajo.com/ofertas-de-trabajo/oferta-de-trabajo-de-tecnico-de-seguridad-vial-motorizado-bogota-en-bogota-dc-5BA6FE9648DBC1D461373E686DCF3405", "Ver Vacante")</f>
        <v/>
      </c>
      <c r="H520" s="6" t="inlineStr">
        <is>
          <t>$ 2.300.000,00 (Mensual)</t>
        </is>
      </c>
      <c r="I520" s="3" t="inlineStr">
        <is>
          <t>[Afinidad: 50/100 - Afinidad Moderada] Afinidad parcial en infraestructura vial y transporte. Modalidad: 100% Remoto en Colombia confirmado.</t>
        </is>
      </c>
      <c r="J520" s="2" t="inlineStr">
        <is>
          <t>Nueva</t>
        </is>
      </c>
      <c r="K520" s="3" t="inlineStr"/>
    </row>
    <row r="521" ht="22" customHeight="1">
      <c r="A521" s="2" t="inlineStr">
        <is>
          <t>c008438982e4a9e8</t>
        </is>
      </c>
      <c r="B521" s="2" t="inlineStr">
        <is>
          <t>2026-10-13 18:04</t>
        </is>
      </c>
      <c r="C521" s="3" t="inlineStr">
        <is>
          <t>Líder hseq</t>
        </is>
      </c>
      <c r="D521" s="3" t="inlineStr">
        <is>
          <t>Fibra Redes Construcciones S.A.S</t>
        </is>
      </c>
      <c r="E521" s="7" t="n">
        <v>0.5</v>
      </c>
      <c r="F521" s="2" t="inlineStr">
        <is>
          <t>Remoto</t>
        </is>
      </c>
      <c r="G521" s="5">
        <f>HYPERLINK("https://www.elempleo.com/co/ofertas-trabajo/lider-hseq-1886761814", "Ver Vacante")</f>
        <v/>
      </c>
      <c r="H521" s="6" t="inlineStr"/>
      <c r="I521" s="3" t="inlineStr">
        <is>
          <t>[Afinidad: 50/100 - Afinidad Moderada] Afinidad parcial en seguridad y salud ocupacional. Modalidad: 100% Remoto en Colombia confirmado.</t>
        </is>
      </c>
      <c r="J521" s="2" t="inlineStr">
        <is>
          <t>Nueva</t>
        </is>
      </c>
      <c r="K521" s="3" t="inlineStr"/>
    </row>
    <row r="522" ht="22" customHeight="1">
      <c r="A522" s="2" t="inlineStr">
        <is>
          <t>6a55d4ab9069767f</t>
        </is>
      </c>
      <c r="B522" s="2" t="inlineStr">
        <is>
          <t>2026-10-13 18:04</t>
        </is>
      </c>
      <c r="C522" s="3" t="inlineStr">
        <is>
          <t>Consultor sst (prestación de servicios) - empresa de señalización / para norcasia caldas</t>
        </is>
      </c>
      <c r="D522" s="3" t="inlineStr">
        <is>
          <t>Listos S.A.S</t>
        </is>
      </c>
      <c r="E522" s="7" t="n">
        <v>0.5</v>
      </c>
      <c r="F522" s="2" t="inlineStr">
        <is>
          <t>Remoto</t>
        </is>
      </c>
      <c r="G522" s="5">
        <f>HYPERLINK("https://www.elempleo.com/co/ofertas-trabajo/consultor-sst-prestacion-de-servicios-empresa-de-senalizacion-para-norcasia-caldas-1886779482", "Ver Vacante")</f>
        <v/>
      </c>
      <c r="H522" s="6" t="inlineStr"/>
      <c r="I522" s="3" t="inlineStr">
        <is>
          <t>[Afinidad: 50/100 - Afinidad Moderada] Afinidad parcial en seguridad y salud ocupacional. Modalidad: 100% Remoto en Colombia confirmado.</t>
        </is>
      </c>
      <c r="J522" s="2" t="inlineStr">
        <is>
          <t>Nueva</t>
        </is>
      </c>
      <c r="K522" s="3" t="inlineStr"/>
    </row>
    <row r="523" ht="22" customHeight="1">
      <c r="A523" s="2" t="inlineStr">
        <is>
          <t>c2205066f67950c1</t>
        </is>
      </c>
      <c r="B523" s="2" t="inlineStr">
        <is>
          <t>2026-10-13 18:04</t>
        </is>
      </c>
      <c r="C523" s="3" t="inlineStr">
        <is>
          <t>Senior Civil Engineer</t>
        </is>
      </c>
      <c r="D523" s="3" t="inlineStr">
        <is>
          <t>WSP en Colombia</t>
        </is>
      </c>
      <c r="E523" s="7" t="n">
        <v>0.5</v>
      </c>
      <c r="F523" s="2" t="inlineStr">
        <is>
          <t>Remoto</t>
        </is>
      </c>
      <c r="G523" s="5">
        <f>HYPERLINK("https://co.linkedin.com/jobs/view/senior-civil-engineer-at-wsp-en-colombia-4468596576", "Ver Vacante")</f>
        <v/>
      </c>
      <c r="H523" s="6" t="inlineStr"/>
      <c r="I523" s="3" t="inlineStr">
        <is>
          <t>[Afinidad: 50/100 - Afinidad Moderada] Afinidad en disciplina base (Ingeniera Civil Especialista en Vías y SST) sin especialidad directa en vías/SST. Modalidad: 100% Remoto en Colombia confirmado.</t>
        </is>
      </c>
      <c r="J523" s="2" t="inlineStr">
        <is>
          <t>Nueva</t>
        </is>
      </c>
      <c r="K523" s="3" t="inlineStr"/>
    </row>
    <row r="524" ht="22" customHeight="1">
      <c r="A524" s="2" t="inlineStr">
        <is>
          <t>8bfdcd2918428b27</t>
        </is>
      </c>
      <c r="B524" s="2" t="inlineStr">
        <is>
          <t>2026-10-13 18:04</t>
        </is>
      </c>
      <c r="C524" s="3" t="inlineStr">
        <is>
          <t>Senior Civil Engineer</t>
        </is>
      </c>
      <c r="D524" s="3" t="inlineStr">
        <is>
          <t>Worley</t>
        </is>
      </c>
      <c r="E524" s="7" t="n">
        <v>0.5</v>
      </c>
      <c r="F524" s="2" t="inlineStr">
        <is>
          <t>Remoto</t>
        </is>
      </c>
      <c r="G524" s="5">
        <f>HYPERLINK("https://co.linkedin.com/jobs/view/senior-civil-engineer-talent-pool-ecopetrol-at-worley-4474350208", "Ver Vacante")</f>
        <v/>
      </c>
      <c r="H524" s="6" t="inlineStr"/>
      <c r="I524" s="3" t="inlineStr">
        <is>
          <t>[Afinidad: 50/100 - Afinidad Moderada] Afinidad en disciplina base (Ingeniera Civil Especialista en Vías y SST) sin especialidad directa en vías/SST. Modalidad: 100% Remoto en Colombia confirmado.</t>
        </is>
      </c>
      <c r="J524" s="2" t="inlineStr">
        <is>
          <t>Nueva</t>
        </is>
      </c>
      <c r="K524" s="3" t="inlineStr"/>
    </row>
    <row r="525" ht="22" customHeight="1">
      <c r="A525" s="2" t="inlineStr">
        <is>
          <t>dcbfedd72ea315f3</t>
        </is>
      </c>
      <c r="B525" s="2" t="inlineStr">
        <is>
          <t>2026-10-14 15:48</t>
        </is>
      </c>
      <c r="C525" s="3" t="inlineStr">
        <is>
          <t>Líder Pesv y Ambiental</t>
        </is>
      </c>
      <c r="D525" s="3" t="inlineStr">
        <is>
          <t>Contratamos S.A.S.</t>
        </is>
      </c>
      <c r="E525" s="7" t="n">
        <v>0.5</v>
      </c>
      <c r="F525" s="2" t="inlineStr">
        <is>
          <t>Remoto</t>
        </is>
      </c>
      <c r="G525" s="5">
        <f>HYPERLINK("https://co.computrabajo.com/ofertas-de-trabajo/oferta-de-trabajo-de-lider-pesv-y-ambiental-calle-80-en-bogota-dc-DDFFD7E60419DEAD61373E686DCF3405", "Ver Vacante")</f>
        <v/>
      </c>
      <c r="H525" s="6" t="inlineStr"/>
      <c r="I525" s="3" t="inlineStr">
        <is>
          <t>[Afinidad: 50/100 - Afinidad Moderada] Afinidad parcial en infraestructura vial y transporte. Modalidad: 100% Remoto en Colombia confirmado.</t>
        </is>
      </c>
      <c r="J525" s="2" t="inlineStr">
        <is>
          <t>Nueva</t>
        </is>
      </c>
      <c r="K525" s="3" t="inlineStr"/>
    </row>
    <row r="526" ht="22" customHeight="1">
      <c r="A526" s="2" t="inlineStr">
        <is>
          <t>a716d4100a0f8155</t>
        </is>
      </c>
      <c r="B526" s="2" t="inlineStr">
        <is>
          <t>2026-10-14 15:48</t>
        </is>
      </c>
      <c r="C526" s="3" t="inlineStr">
        <is>
          <t>Técnico de infraestructura y redes de telecomunicaciones - casanare</t>
        </is>
      </c>
      <c r="D526" s="3" t="inlineStr">
        <is>
          <t>SDT INGENIERIA</t>
        </is>
      </c>
      <c r="E526" s="7" t="n">
        <v>0.5</v>
      </c>
      <c r="F526" s="2" t="inlineStr">
        <is>
          <t>Remoto</t>
        </is>
      </c>
      <c r="G526" s="5">
        <f>HYPERLINK("https://www.elempleo.com/co/ofertas-trabajo/tecnico-de-infraestructura-y-redes-de-telecomunicaciones-casanare-1886779754", "Ver Vacante")</f>
        <v/>
      </c>
      <c r="H526" s="6" t="inlineStr"/>
      <c r="I526" s="3" t="inlineStr">
        <is>
          <t>[Afinidad: 50/100 - Afinidad Moderada] Afinidad parcial en infraestructura vial y transporte. Modalidad: 100% Remoto en Colombia confirmado.</t>
        </is>
      </c>
      <c r="J526" s="2" t="inlineStr">
        <is>
          <t>Nueva</t>
        </is>
      </c>
      <c r="K526" s="3" t="inlineStr"/>
    </row>
    <row r="527" ht="22" customHeight="1">
      <c r="A527" s="2" t="inlineStr">
        <is>
          <t>e16481764d9ac0be</t>
        </is>
      </c>
      <c r="B527" s="2" t="inlineStr">
        <is>
          <t>2026-10-14 15:48</t>
        </is>
      </c>
      <c r="C527" s="3" t="inlineStr">
        <is>
          <t>Analista de seguridad y salud en el trabajo</t>
        </is>
      </c>
      <c r="D527" s="3" t="inlineStr">
        <is>
          <t>KAESER Compresores de Colombia</t>
        </is>
      </c>
      <c r="E527" s="7" t="n">
        <v>0.5</v>
      </c>
      <c r="F527" s="2" t="inlineStr">
        <is>
          <t>Remoto</t>
        </is>
      </c>
      <c r="G527" s="5">
        <f>HYPERLINK("https://co.linkedin.com/jobs/view/analista-de-seguridad-y-salud-en-el-trabajo-pcd-at-kaeser-compresores-de-colombia-4479222663", "Ver Vacante")</f>
        <v/>
      </c>
      <c r="H527" s="6" t="inlineStr"/>
      <c r="I527" s="3" t="inlineStr">
        <is>
          <t>[Afinidad: 50/100 - Afinidad Moderada] Afinidad parcial en seguridad y salud ocupacional. Modalidad: 100% Remoto en Colombia confirmado.</t>
        </is>
      </c>
      <c r="J527" s="2" t="inlineStr">
        <is>
          <t>Nueva</t>
        </is>
      </c>
      <c r="K527" s="3" t="inlineStr"/>
    </row>
    <row r="528" ht="22" customHeight="1">
      <c r="A528" s="2" t="inlineStr">
        <is>
          <t>dc4b0f214ffa8362</t>
        </is>
      </c>
      <c r="B528" s="2" t="inlineStr">
        <is>
          <t>2026-10-14 15:48</t>
        </is>
      </c>
      <c r="C528" s="3" t="inlineStr">
        <is>
          <t>Director de Proyectos y Construcción</t>
        </is>
      </c>
      <c r="D528" s="3" t="inlineStr">
        <is>
          <t>Michael Page</t>
        </is>
      </c>
      <c r="E528" s="7" t="n">
        <v>0.5</v>
      </c>
      <c r="F528" s="2" t="inlineStr">
        <is>
          <t>Remoto</t>
        </is>
      </c>
      <c r="G528" s="5">
        <f>HYPERLINK("https://co.linkedin.com/jobs/view/director-de-proyectos-y-construcci%C3%B3n-at-michael-page-4478188340", "Ver Vacante")</f>
        <v/>
      </c>
      <c r="H528" s="6" t="inlineStr"/>
      <c r="I528" s="3" t="inlineStr">
        <is>
          <t>[Afinidad: 50/100 - Afinidad Moderada] Afinidad en disciplina base (Ingeniera Civil Especialista en Vías y SST) sin especialidad directa en vías/SST. Modalidad: 100% Remoto en Colombia confirmado.</t>
        </is>
      </c>
      <c r="J528" s="2" t="inlineStr">
        <is>
          <t>Nueva</t>
        </is>
      </c>
      <c r="K528" s="3" t="inlineStr"/>
    </row>
    <row r="529" ht="22" customHeight="1">
      <c r="A529" s="2" t="inlineStr">
        <is>
          <t>788b9cdc48691333</t>
        </is>
      </c>
      <c r="B529" s="2" t="inlineStr">
        <is>
          <t>2026-10-14 15:48</t>
        </is>
      </c>
      <c r="C529" s="3" t="inlineStr">
        <is>
          <t>Director de proyectos ambientales</t>
        </is>
      </c>
      <c r="D529" s="3" t="inlineStr">
        <is>
          <t>Metro Quadrantte Construction</t>
        </is>
      </c>
      <c r="E529" s="7" t="n">
        <v>0.5</v>
      </c>
      <c r="F529" s="2" t="inlineStr">
        <is>
          <t>Remoto</t>
        </is>
      </c>
      <c r="G529" s="5">
        <f>HYPERLINK("https://co.linkedin.com/jobs/view/director-de-proyectos-ambientales-at-metro-quadrantte-construction-4479218980", "Ver Vacante")</f>
        <v/>
      </c>
      <c r="H529" s="6" t="inlineStr"/>
      <c r="I529" s="3" t="inlineStr">
        <is>
          <t>[Afinidad: 50/100 - Afinidad Moderada] Afinidad en disciplina base (Ingeniera Civil Especialista en Vías y SST) sin especialidad directa en vías/SST. Modalidad: 100% Remoto en Colombia confirmado.</t>
        </is>
      </c>
      <c r="J529" s="2" t="inlineStr">
        <is>
          <t>Nueva</t>
        </is>
      </c>
      <c r="K529" s="3" t="inlineStr"/>
    </row>
    <row r="530" ht="22" customHeight="1">
      <c r="A530" s="2" t="inlineStr">
        <is>
          <t>b16c711f00d91f2f</t>
        </is>
      </c>
      <c r="B530" s="2" t="inlineStr">
        <is>
          <t>2026-10-15 15:36</t>
        </is>
      </c>
      <c r="C530" s="3" t="inlineStr">
        <is>
          <t>Analista de Seguridad y Salud en el Trabajo / Bogota</t>
        </is>
      </c>
      <c r="D530" s="3" t="inlineStr">
        <is>
          <t>Gi Group Colombia</t>
        </is>
      </c>
      <c r="E530" s="7" t="n">
        <v>0.5</v>
      </c>
      <c r="F530" s="2" t="inlineStr">
        <is>
          <t>Remoto</t>
        </is>
      </c>
      <c r="G530" s="5">
        <f>HYPERLINK("https://co.computrabajo.com/ofertas-de-trabajo/oferta-de-trabajo-de-analista-de-seguridad-y-salud-en-el-trabajo-bogota-en-bogota-dc-6C52717166EEE4AD61373E686DCF3405", "Ver Vacante")</f>
        <v/>
      </c>
      <c r="H530" s="6" t="inlineStr">
        <is>
          <t>$ 4.000.000,00 (Mensual)</t>
        </is>
      </c>
      <c r="I530" s="3" t="inlineStr">
        <is>
          <t>[Afinidad: 50/100 - Afinidad Moderada] Afinidad parcial en seguridad y salud ocupacional. Modalidad: 100% Remoto en Colombia confirmado.</t>
        </is>
      </c>
      <c r="J530" s="2" t="inlineStr">
        <is>
          <t>Nueva</t>
        </is>
      </c>
      <c r="K530" s="3" t="inlineStr"/>
    </row>
    <row r="531" ht="22" customHeight="1">
      <c r="A531" s="2" t="inlineStr">
        <is>
          <t>96a63ec87377dad7</t>
        </is>
      </c>
      <c r="B531" s="2" t="inlineStr">
        <is>
          <t>2026-10-15 15:36</t>
        </is>
      </c>
      <c r="C531" s="3" t="inlineStr">
        <is>
          <t>Analista de seguridad y salud en el trabajo en Medellín!</t>
        </is>
      </c>
      <c r="D531" s="3" t="inlineStr">
        <is>
          <t>Importante empresa del sector</t>
        </is>
      </c>
      <c r="E531" s="7" t="n">
        <v>0.5</v>
      </c>
      <c r="F531" s="2" t="inlineStr">
        <is>
          <t>Remoto</t>
        </is>
      </c>
      <c r="G531" s="5">
        <f>HYPERLINK("https://co.computrabajo.com/ofertas-de-trabajo/oferta-de-trabajo-de-analista-de-seguridad-y-salud-en-el-trabajo-en-medellin-plantas-de-produccion-grandes-en-cali-50B7B5D56601C99A61373E686DCF3405", "Ver Vacante")</f>
        <v/>
      </c>
      <c r="H531" s="6" t="inlineStr">
        <is>
          <t>$ 3.200.000,00 (Mensual)</t>
        </is>
      </c>
      <c r="I531" s="3" t="inlineStr">
        <is>
          <t>[Afinidad: 50/100 - Afinidad Moderada] Afinidad parcial en seguridad y salud ocupacional. Modalidad: 100% Remoto en Colombia confirmado.</t>
        </is>
      </c>
      <c r="J531" s="2" t="inlineStr">
        <is>
          <t>Nueva</t>
        </is>
      </c>
      <c r="K531" s="3" t="inlineStr"/>
    </row>
    <row r="532" ht="22" customHeight="1">
      <c r="A532" s="2" t="inlineStr">
        <is>
          <t>e0889a6fb5b8e45e</t>
        </is>
      </c>
      <c r="B532" s="2" t="inlineStr">
        <is>
          <t>2026-10-15 15:36</t>
        </is>
      </c>
      <c r="C532" s="3" t="inlineStr">
        <is>
          <t>Analista de HSEQ</t>
        </is>
      </c>
      <c r="D532" s="3" t="inlineStr">
        <is>
          <t>Importante empresa del sector</t>
        </is>
      </c>
      <c r="E532" s="7" t="n">
        <v>0.5</v>
      </c>
      <c r="F532" s="2" t="inlineStr">
        <is>
          <t>Remoto</t>
        </is>
      </c>
      <c r="G532" s="5">
        <f>HYPERLINK("https://co.computrabajo.com/ofertas-de-trabajo/oferta-de-trabajo-de-analista-de-hseq-contrato-directo-con-la-compania-en-funza-373FAD54294F90AC61373E686DCF3405", "Ver Vacante")</f>
        <v/>
      </c>
      <c r="H532" s="6" t="inlineStr"/>
      <c r="I532" s="3" t="inlineStr">
        <is>
          <t>[Afinidad: 50/100 - Afinidad Moderada] Afinidad parcial en seguridad y salud ocupacional. Modalidad: 100% Remoto en Colombia confirmado.</t>
        </is>
      </c>
      <c r="J532" s="2" t="inlineStr">
        <is>
          <t>Nueva</t>
        </is>
      </c>
      <c r="K532" s="3" t="inlineStr"/>
    </row>
    <row r="533" ht="22" customHeight="1">
      <c r="A533" s="2" t="inlineStr">
        <is>
          <t>62e770ac2c7bb60b</t>
        </is>
      </c>
      <c r="B533" s="2" t="inlineStr">
        <is>
          <t>2026-10-15 15:36</t>
        </is>
      </c>
      <c r="C533" s="3" t="inlineStr">
        <is>
          <t>Ingeniero industrial con especializacion en SST</t>
        </is>
      </c>
      <c r="D533" s="3" t="inlineStr">
        <is>
          <t>ACTIVOS S A S</t>
        </is>
      </c>
      <c r="E533" s="7" t="n">
        <v>0.5</v>
      </c>
      <c r="F533" s="2" t="inlineStr">
        <is>
          <t>Remoto</t>
        </is>
      </c>
      <c r="G533" s="5">
        <f>HYPERLINK("https://co.computrabajo.com/ofertas-de-trabajo/oferta-de-trabajo-de-ingeniero-industrial-con-especializacion-en-sst-experiencia-en-seguridad-vial-en-bogota-dc-1A8B2A54DBA63F6561373E686DCF3405", "Ver Vacante")</f>
        <v/>
      </c>
      <c r="H533" s="6" t="inlineStr">
        <is>
          <t>$ 4.536.000,00 (Mensual)</t>
        </is>
      </c>
      <c r="I533" s="3" t="inlineStr">
        <is>
          <t>[Afinidad: 50/100 - Afinidad Moderada] Afinidad parcial en seguridad y salud ocupacional. Modalidad: 100% Remoto en Colombia confirmado.</t>
        </is>
      </c>
      <c r="J533" s="2" t="inlineStr">
        <is>
          <t>Nueva</t>
        </is>
      </c>
      <c r="K533" s="3" t="inlineStr"/>
    </row>
    <row r="534" ht="22" customHeight="1">
      <c r="A534" s="2" t="inlineStr">
        <is>
          <t>ce72b729e069fb6b</t>
        </is>
      </c>
      <c r="B534" s="2" t="inlineStr">
        <is>
          <t>2026-10-15 15:36</t>
        </is>
      </c>
      <c r="C534" s="3" t="inlineStr">
        <is>
          <t>director de proyectos</t>
        </is>
      </c>
      <c r="D534" s="3" t="inlineStr">
        <is>
          <t>NAVARRO E HIJOS CONSTRUCTORES SAS</t>
        </is>
      </c>
      <c r="E534" s="7" t="n">
        <v>0.5</v>
      </c>
      <c r="F534" s="2" t="inlineStr">
        <is>
          <t>Remoto</t>
        </is>
      </c>
      <c r="G534" s="5">
        <f>HYPERLINK("https://co.computrabajo.com/ofertas-de-trabajo/oferta-de-trabajo-de-director-de-proyectos-en-galapa-5C3721D21A631E4C61373E686DCF3405", "Ver Vacante")</f>
        <v/>
      </c>
      <c r="H534" s="6" t="inlineStr">
        <is>
          <t>$ 5.000.000,00 (Mensual) + Comisiones</t>
        </is>
      </c>
      <c r="I534" s="3" t="inlineStr">
        <is>
          <t>[Afinidad: 50/100 - Afinidad Moderada] Afinidad en disciplina base (Ingeniera Civil Especialista en Vías y SST) sin especialidad directa en vías/SST. Modalidad: 100% Remoto en Colombia confirmado.</t>
        </is>
      </c>
      <c r="J534" s="2" t="inlineStr">
        <is>
          <t>Nueva</t>
        </is>
      </c>
      <c r="K534" s="3" t="inlineStr"/>
    </row>
    <row r="535" ht="22" customHeight="1">
      <c r="A535" s="2" t="inlineStr">
        <is>
          <t>430d70533bacfcb6</t>
        </is>
      </c>
      <c r="B535" s="2" t="inlineStr">
        <is>
          <t>2026-10-15 15:36</t>
        </is>
      </c>
      <c r="C535" s="3" t="inlineStr">
        <is>
          <t>Director hseq barranquilla</t>
        </is>
      </c>
      <c r="D535" s="3" t="inlineStr">
        <is>
          <t>Aseocolba S. A.</t>
        </is>
      </c>
      <c r="E535" s="7" t="n">
        <v>0.5</v>
      </c>
      <c r="F535" s="2" t="inlineStr">
        <is>
          <t>Remoto</t>
        </is>
      </c>
      <c r="G535" s="5">
        <f>HYPERLINK("https://www.elempleo.com/co/ofertas-trabajo/director-hseq-barranquilla-1886780511", "Ver Vacante")</f>
        <v/>
      </c>
      <c r="H535" s="6" t="inlineStr"/>
      <c r="I535" s="3" t="inlineStr">
        <is>
          <t>[Afinidad: 50/100 - Afinidad Moderada] Afinidad parcial en seguridad y salud ocupacional. Modalidad: 100% Remoto en Colombia confirmado.</t>
        </is>
      </c>
      <c r="J535" s="2" t="inlineStr">
        <is>
          <t>Nueva</t>
        </is>
      </c>
      <c r="K535" s="3" t="inlineStr"/>
    </row>
    <row r="536" ht="22" customHeight="1">
      <c r="A536" s="2" t="inlineStr">
        <is>
          <t>ce75715ad483fb4f</t>
        </is>
      </c>
      <c r="B536" s="2" t="inlineStr">
        <is>
          <t>2026-10-16 15:18</t>
        </is>
      </c>
      <c r="C536" s="3" t="inlineStr">
        <is>
          <t>Analista SST / Empresa de Manofactura</t>
        </is>
      </c>
      <c r="D536" s="3" t="inlineStr">
        <is>
          <t>ladoinsa labores dotaciones industriales SAS</t>
        </is>
      </c>
      <c r="E536" s="7" t="n">
        <v>0.5</v>
      </c>
      <c r="F536" s="2" t="inlineStr">
        <is>
          <t>Remoto</t>
        </is>
      </c>
      <c r="G536" s="5">
        <f>HYPERLINK("https://co.computrabajo.com/ofertas-de-trabajo/oferta-de-trabajo-de-analista-sst-empresa-de-manofactura-contratacion-inmediata-en-bogota-dc-39A7E62920CA248061373E686DCF3405", "Ver Vacante")</f>
        <v/>
      </c>
      <c r="H536" s="6" t="inlineStr">
        <is>
          <t>$ 2.200.000,00 (Mensual)</t>
        </is>
      </c>
      <c r="I536" s="3" t="inlineStr">
        <is>
          <t>[Afinidad: 50/100 - Afinidad Moderada] Afinidad parcial en seguridad y salud ocupacional. Modalidad: 100% Remoto en Colombia confirmado.</t>
        </is>
      </c>
      <c r="J536" s="2" t="inlineStr">
        <is>
          <t>Nueva</t>
        </is>
      </c>
      <c r="K536" s="3" t="inlineStr"/>
    </row>
    <row r="537" ht="22" customHeight="1">
      <c r="A537" s="2" t="inlineStr">
        <is>
          <t>dbc967ca8571788f</t>
        </is>
      </c>
      <c r="B537" s="2" t="inlineStr">
        <is>
          <t>2026-10-16 15:18</t>
        </is>
      </c>
      <c r="C537" s="3" t="inlineStr">
        <is>
          <t>Analista profesional para Seguridad Industrial</t>
        </is>
      </c>
      <c r="D537" s="3" t="inlineStr">
        <is>
          <t>Importante empresa del sector</t>
        </is>
      </c>
      <c r="E537" s="7" t="n">
        <v>0.5</v>
      </c>
      <c r="F537" s="2" t="inlineStr">
        <is>
          <t>Remoto</t>
        </is>
      </c>
      <c r="G537" s="5">
        <f>HYPERLINK("https://co.computrabajo.com/ofertas-de-trabajo/oferta-de-trabajo-de-analista-profesional-para-seguridad-industrial-en-funza-53DA060A99B3209661373E686DCF3405", "Ver Vacante")</f>
        <v/>
      </c>
      <c r="H537" s="6" t="inlineStr">
        <is>
          <t>$ 4.008.000,00 (Mensual)</t>
        </is>
      </c>
      <c r="I537" s="3" t="inlineStr">
        <is>
          <t>[Afinidad: 50/100 - Afinidad Moderada] Afinidad parcial en seguridad y salud ocupacional. Modalidad: 100% Remoto en Colombia confirmado.</t>
        </is>
      </c>
      <c r="J537" s="2" t="inlineStr">
        <is>
          <t>Nueva</t>
        </is>
      </c>
      <c r="K537" s="3" t="inlineStr"/>
    </row>
    <row r="538" ht="22" customHeight="1">
      <c r="A538" s="2" t="inlineStr">
        <is>
          <t>7f2e01f4d1639f31</t>
        </is>
      </c>
      <c r="B538" s="2" t="inlineStr">
        <is>
          <t>2026-10-16 15:18</t>
        </is>
      </c>
      <c r="C538" s="3" t="inlineStr">
        <is>
          <t>Consultor HSEQ Experiencia Multicuenta</t>
        </is>
      </c>
      <c r="D538" s="3" t="inlineStr">
        <is>
          <t>Adecco Colombia S.A.</t>
        </is>
      </c>
      <c r="E538" s="7" t="n">
        <v>0.5</v>
      </c>
      <c r="F538" s="2" t="inlineStr">
        <is>
          <t>Remoto</t>
        </is>
      </c>
      <c r="G538" s="5">
        <f>HYPERLINK("https://co.computrabajo.com/ofertas-de-trabajo/oferta-de-trabajo-de-consultor-hseq-experiencia-multicuenta-bogota-en-bogota-dc-9454B12A7EA365A461373E686DCF3405", "Ver Vacante")</f>
        <v/>
      </c>
      <c r="H538" s="6" t="inlineStr">
        <is>
          <t>$ 2.645.000,00 (Mensual)</t>
        </is>
      </c>
      <c r="I538" s="3" t="inlineStr">
        <is>
          <t>[Afinidad: 50/100 - Afinidad Moderada] Afinidad parcial en seguridad y salud ocupacional. Modalidad: 100% Remoto en Colombia confirmado.</t>
        </is>
      </c>
      <c r="J538" s="2" t="inlineStr">
        <is>
          <t>Nueva</t>
        </is>
      </c>
      <c r="K538" s="3" t="inlineStr"/>
    </row>
    <row r="539" ht="22" customHeight="1">
      <c r="A539" s="2" t="inlineStr">
        <is>
          <t>8102850221022b39</t>
        </is>
      </c>
      <c r="B539" s="2" t="inlineStr">
        <is>
          <t>2026-10-16 15:18</t>
        </is>
      </c>
      <c r="C539" s="3" t="inlineStr">
        <is>
          <t>Analista de Sst</t>
        </is>
      </c>
      <c r="D539" s="3" t="inlineStr">
        <is>
          <t>ACTIVOS S A S</t>
        </is>
      </c>
      <c r="E539" s="7" t="n">
        <v>0.5</v>
      </c>
      <c r="F539" s="2" t="inlineStr">
        <is>
          <t>Remoto</t>
        </is>
      </c>
      <c r="G539" s="5">
        <f>HYPERLINK("https://co.computrabajo.com/ofertas-de-trabajo/oferta-de-trabajo-de-analista-de-sst-barranquilla-en-barranquilla-6E5BEB34C1E736F061373E686DCF3405", "Ver Vacante")</f>
        <v/>
      </c>
      <c r="H539" s="6" t="inlineStr">
        <is>
          <t>$ 2.935.001,00 (Mensual)</t>
        </is>
      </c>
      <c r="I539" s="3" t="inlineStr">
        <is>
          <t>[Afinidad: 50/100 - Afinidad Moderada] Afinidad parcial en seguridad y salud ocupacional. Modalidad: 100% Remoto en Colombia confirmado.</t>
        </is>
      </c>
      <c r="J539" s="2" t="inlineStr">
        <is>
          <t>Nueva</t>
        </is>
      </c>
      <c r="K539" s="3" t="inlineStr"/>
    </row>
    <row r="540" ht="22" customHeight="1">
      <c r="A540" s="2" t="inlineStr">
        <is>
          <t>ad07017441b62ec9</t>
        </is>
      </c>
      <c r="B540" s="2" t="inlineStr">
        <is>
          <t>2026-10-16 15:18</t>
        </is>
      </c>
      <c r="C540" s="3" t="inlineStr">
        <is>
          <t>Gerente de proyectos ti</t>
        </is>
      </c>
      <c r="D540" s="3" t="inlineStr">
        <is>
          <t>EyS IT SAS</t>
        </is>
      </c>
      <c r="E540" s="7" t="n">
        <v>0.5</v>
      </c>
      <c r="F540" s="2" t="inlineStr">
        <is>
          <t>Remoto</t>
        </is>
      </c>
      <c r="G540" s="5">
        <f>HYPERLINK("https://www.elempleo.com/co/ofertas-trabajo/gerente-de-proyectos-ti-1886776586", "Ver Vacante")</f>
        <v/>
      </c>
      <c r="H540" s="6" t="inlineStr"/>
      <c r="I540" s="3" t="inlineStr">
        <is>
          <t>[Afinidad: 50/100 - Afinidad Moderada] Afinidad en disciplina base (Ingeniera Civil Especialista en Vías y SST) sin especialidad directa en vías/SST. Modalidad: 100% Remoto en Colombia confirmado.</t>
        </is>
      </c>
      <c r="J540" s="2" t="inlineStr">
        <is>
          <t>Nueva</t>
        </is>
      </c>
      <c r="K540" s="3" t="inlineStr"/>
    </row>
    <row r="541" ht="22" customHeight="1">
      <c r="A541" s="2" t="inlineStr">
        <is>
          <t>fae7637fa5755261</t>
        </is>
      </c>
      <c r="B541" s="2" t="inlineStr">
        <is>
          <t>2026-10-17 14:12</t>
        </is>
      </c>
      <c r="C541" s="3" t="inlineStr">
        <is>
          <t>Consultor Seguridad y salud en el trabajo</t>
        </is>
      </c>
      <c r="D541" s="3" t="inlineStr">
        <is>
          <t>INDUSTRIAS ALIMENTICIAS R&amp;J S A S</t>
        </is>
      </c>
      <c r="E541" s="7" t="n">
        <v>0.5</v>
      </c>
      <c r="F541" s="2" t="inlineStr">
        <is>
          <t>Remoto</t>
        </is>
      </c>
      <c r="G541" s="5">
        <f>HYPERLINK("https://co.computrabajo.com/ofertas-de-trabajo/oferta-de-trabajo-de-consultor-seguridad-y-salud-en-el-trabajo-sg-sst-en-bogota-dc-898D867B20A5983E61373E686DCF3405", "Ver Vacante")</f>
        <v/>
      </c>
      <c r="H541" s="6" t="inlineStr">
        <is>
          <t>Presencial y remoto</t>
        </is>
      </c>
      <c r="I541" s="3" t="inlineStr">
        <is>
          <t>[Afinidad: 50/100 - Afinidad Moderada] Afinidad parcial en seguridad y salud ocupacional. Modalidad: 100% Remoto en Colombia confirmado.</t>
        </is>
      </c>
      <c r="J541" s="2" t="inlineStr">
        <is>
          <t>Nueva</t>
        </is>
      </c>
      <c r="K541" s="3" t="inlineStr"/>
    </row>
    <row r="542" ht="22" customHeight="1">
      <c r="A542" s="2" t="inlineStr">
        <is>
          <t>9715e95acac232b4</t>
        </is>
      </c>
      <c r="B542" s="2" t="inlineStr">
        <is>
          <t>2026-10-17 14:12</t>
        </is>
      </c>
      <c r="C542" s="3" t="inlineStr">
        <is>
          <t>Consultor HSEQ Manejo de Multicuenta</t>
        </is>
      </c>
      <c r="D542" s="3" t="inlineStr">
        <is>
          <t>Adecco Colombia S.A.</t>
        </is>
      </c>
      <c r="E542" s="7" t="n">
        <v>0.5</v>
      </c>
      <c r="F542" s="2" t="inlineStr">
        <is>
          <t>Remoto</t>
        </is>
      </c>
      <c r="G542" s="5">
        <f>HYPERLINK("https://co.computrabajo.com/ofertas-de-trabajo/oferta-de-trabajo-de-consultor-hseq-manejo-de-multicuenta-bogota-en-bogota-dc-9454B12A7EA365A461373E686DCF3405", "Ver Vacante")</f>
        <v/>
      </c>
      <c r="H542" s="6" t="inlineStr">
        <is>
          <t>$ 2.645.000,00 (Mensual)</t>
        </is>
      </c>
      <c r="I542" s="3" t="inlineStr">
        <is>
          <t>[Afinidad: 50/100 - Afinidad Moderada] Afinidad parcial en seguridad y salud ocupacional. Modalidad: 100% Remoto en Colombia confirmado.</t>
        </is>
      </c>
      <c r="J542" s="2" t="inlineStr">
        <is>
          <t>Nueva</t>
        </is>
      </c>
      <c r="K542" s="3" t="inlineStr"/>
    </row>
    <row r="543" ht="22" customHeight="1">
      <c r="A543" s="2" t="inlineStr">
        <is>
          <t>68f703e57e2ad697</t>
        </is>
      </c>
      <c r="B543" s="2" t="inlineStr">
        <is>
          <t>2026-10-17 14:12</t>
        </is>
      </c>
      <c r="C543" s="3" t="inlineStr">
        <is>
          <t>Líder SST</t>
        </is>
      </c>
      <c r="D543" s="3" t="inlineStr">
        <is>
          <t>CAYENA AZUL CHC SAS</t>
        </is>
      </c>
      <c r="E543" s="7" t="n">
        <v>0.5</v>
      </c>
      <c r="F543" s="2" t="inlineStr">
        <is>
          <t>Remoto</t>
        </is>
      </c>
      <c r="G543" s="5">
        <f>HYPERLINK("https://co.computrabajo.com/ofertas-de-trabajo/oferta-de-trabajo-de-lider-sst-sector-salud-en-barranquilla-C655BE33F85673FF61373E686DCF3405", "Ver Vacante")</f>
        <v/>
      </c>
      <c r="H543" s="6" t="inlineStr">
        <is>
          <t>$ 2.500.000,00 (Mensual)</t>
        </is>
      </c>
      <c r="I543" s="3" t="inlineStr">
        <is>
          <t>[Afinidad: 50/100 - Afinidad Moderada] Afinidad parcial en seguridad y salud ocupacional. Modalidad: 100% Remoto en Colombia confirmado.</t>
        </is>
      </c>
      <c r="J543" s="2" t="inlineStr">
        <is>
          <t>Nueva</t>
        </is>
      </c>
      <c r="K543" s="3" t="inlineStr"/>
    </row>
    <row r="544" ht="22" customHeight="1">
      <c r="A544" s="2" t="inlineStr">
        <is>
          <t>b7ca389abe215813</t>
        </is>
      </c>
      <c r="B544" s="2" t="inlineStr">
        <is>
          <t>2026-10-17 14:12</t>
        </is>
      </c>
      <c r="C544" s="3" t="inlineStr">
        <is>
          <t>Gerente HSE</t>
        </is>
      </c>
      <c r="D544" s="3" t="inlineStr">
        <is>
          <t>LHH</t>
        </is>
      </c>
      <c r="E544" s="7" t="n">
        <v>0.5</v>
      </c>
      <c r="F544" s="2" t="inlineStr">
        <is>
          <t>Remoto</t>
        </is>
      </c>
      <c r="G544" s="5">
        <f>HYPERLINK("https://co.linkedin.com/jobs/view/gerente-hse-at-lhh-4479630420", "Ver Vacante")</f>
        <v/>
      </c>
      <c r="H544" s="6" t="inlineStr"/>
      <c r="I544" s="3" t="inlineStr">
        <is>
          <t>[Afinidad: 50/100 - Afinidad Moderada] Afinidad parcial en seguridad y salud ocupacional. Modalidad: 100% Remoto en Colombia confirmado.</t>
        </is>
      </c>
      <c r="J544" s="2" t="inlineStr">
        <is>
          <t>Nueva</t>
        </is>
      </c>
      <c r="K544" s="3" t="inlineStr"/>
    </row>
    <row r="545" ht="22" customHeight="1">
      <c r="A545" s="2" t="inlineStr">
        <is>
          <t>b55954435d797fc0</t>
        </is>
      </c>
      <c r="B545" s="2" t="inlineStr">
        <is>
          <t>2026-10-18 14:24</t>
        </is>
      </c>
      <c r="C545" s="3" t="inlineStr">
        <is>
          <t>Proyectista civil - semi senior</t>
        </is>
      </c>
      <c r="D545" s="3" t="inlineStr">
        <is>
          <t>Confidencial</t>
        </is>
      </c>
      <c r="E545" s="7" t="n">
        <v>0.5</v>
      </c>
      <c r="F545" s="2" t="inlineStr">
        <is>
          <t>Remoto</t>
        </is>
      </c>
      <c r="G545" s="5">
        <f>HYPERLINK("https://www.elempleo.com/co/ofertas-trabajo/proyectista-civil-semi-senior-1886736963", "Ver Vacante")</f>
        <v/>
      </c>
      <c r="H545" s="6" t="inlineStr"/>
      <c r="I545" s="3" t="inlineStr">
        <is>
          <t>[Afinidad: 50/100 - Afinidad Moderada] Afinidad en disciplina base (Ingeniera Civil Especialista en Vías y SST) sin especialidad directa en vías/SST. Modalidad: 100% Remoto en Colombia confirmado.</t>
        </is>
      </c>
      <c r="J545" s="2" t="inlineStr">
        <is>
          <t>Nueva</t>
        </is>
      </c>
      <c r="K545" s="3" t="inlineStr"/>
    </row>
    <row r="546" ht="22" customHeight="1">
      <c r="A546" s="2" t="inlineStr">
        <is>
          <t>eaecdc7883c5c946</t>
        </is>
      </c>
      <c r="B546" s="2" t="inlineStr">
        <is>
          <t>2026-10-18 14:24</t>
        </is>
      </c>
      <c r="C546" s="3" t="inlineStr">
        <is>
          <t>Analista de aplicaciones e infraestructura ti</t>
        </is>
      </c>
      <c r="D546" s="3" t="inlineStr">
        <is>
          <t>Confidencial</t>
        </is>
      </c>
      <c r="E546" s="7" t="n">
        <v>0.5</v>
      </c>
      <c r="F546" s="2" t="inlineStr">
        <is>
          <t>Remoto</t>
        </is>
      </c>
      <c r="G546" s="5">
        <f>HYPERLINK("https://www.elempleo.com/co/ofertas-trabajo/analista-de-aplicaciones-e-infraestructura-ti-1886763122", "Ver Vacante")</f>
        <v/>
      </c>
      <c r="H546" s="6" t="inlineStr"/>
      <c r="I546" s="3" t="inlineStr">
        <is>
          <t>[Afinidad: 50/100 - Afinidad Moderada] Afinidad parcial en infraestructura vial y transporte. Modalidad: 100% Remoto en Colombia confirmado.</t>
        </is>
      </c>
      <c r="J546" s="2" t="inlineStr">
        <is>
          <t>Nueva</t>
        </is>
      </c>
      <c r="K546" s="3" t="inlineStr"/>
    </row>
    <row r="547" ht="22" customHeight="1">
      <c r="A547" s="2" t="inlineStr">
        <is>
          <t>94e5a72874057837</t>
        </is>
      </c>
      <c r="B547" s="2" t="inlineStr">
        <is>
          <t>2026-10-18 14:24</t>
        </is>
      </c>
      <c r="C547" s="3" t="inlineStr">
        <is>
          <t>Analista de seguridad y salud en el trabajo</t>
        </is>
      </c>
      <c r="D547" s="3" t="inlineStr">
        <is>
          <t>COMFACUNDI</t>
        </is>
      </c>
      <c r="E547" s="7" t="n">
        <v>0.5</v>
      </c>
      <c r="F547" s="2" t="inlineStr">
        <is>
          <t>Remoto</t>
        </is>
      </c>
      <c r="G547" s="5">
        <f>HYPERLINK("https://www.elempleo.com/co/ofertas-trabajo/analista-de-seguridad-y-salud-en-el-trabajo-1886762763", "Ver Vacante")</f>
        <v/>
      </c>
      <c r="H547" s="6" t="inlineStr"/>
      <c r="I547" s="3" t="inlineStr">
        <is>
          <t>[Afinidad: 50/100 - Afinidad Moderada] Afinidad parcial en seguridad y salud ocupacional. Modalidad: 100% Remoto en Colombia confirmado.</t>
        </is>
      </c>
      <c r="J547" s="2" t="inlineStr">
        <is>
          <t>Nueva</t>
        </is>
      </c>
      <c r="K547" s="3" t="inlineStr"/>
    </row>
    <row r="548" ht="22" customHeight="1">
      <c r="A548" s="2" t="inlineStr">
        <is>
          <t>f77356fba7f7ea68</t>
        </is>
      </c>
      <c r="B548" s="2" t="inlineStr">
        <is>
          <t>2026-10-19 17:27</t>
        </is>
      </c>
      <c r="C548" s="3" t="inlineStr">
        <is>
          <t>Analista de Seguridad y Salud en el Trabajo</t>
        </is>
      </c>
      <c r="D548" s="3" t="inlineStr">
        <is>
          <t>Takami S.A</t>
        </is>
      </c>
      <c r="E548" s="7" t="n">
        <v>0.5</v>
      </c>
      <c r="F548" s="2" t="inlineStr">
        <is>
          <t>Remoto</t>
        </is>
      </c>
      <c r="G548" s="5">
        <f>HYPERLINK("https://co.computrabajo.com/ofertas-de-trabajo/oferta-de-trabajo-de-analista-de-seguridad-y-salud-en-el-trabajo-analista-sst-en-bogota-dc-0FC1FA07D486E6FB61373E686DCF3405", "Ver Vacante")</f>
        <v/>
      </c>
      <c r="H548" s="6" t="inlineStr"/>
      <c r="I548" s="3" t="inlineStr">
        <is>
          <t>[Afinidad: 50/100 - Afinidad Moderada] Afinidad parcial en seguridad y salud ocupacional. Modalidad: 100% Remoto en Colombia confirmado.</t>
        </is>
      </c>
      <c r="J548" s="2" t="inlineStr">
        <is>
          <t>Nueva</t>
        </is>
      </c>
      <c r="K548" s="3" t="inlineStr"/>
    </row>
    <row r="549" ht="22" customHeight="1">
      <c r="A549" s="2" t="inlineStr">
        <is>
          <t>23251498ce710db0</t>
        </is>
      </c>
      <c r="B549" s="2" t="inlineStr">
        <is>
          <t>2026-10-19 17:27</t>
        </is>
      </c>
      <c r="C549" s="3" t="inlineStr">
        <is>
          <t>Director de Proyecto</t>
        </is>
      </c>
      <c r="D549" s="3" t="inlineStr">
        <is>
          <t>GESTION DE RECURSOS TEMPORALES S.A.S. "GR TEMPORALES S.A.S."</t>
        </is>
      </c>
      <c r="E549" s="7" t="n">
        <v>0.5</v>
      </c>
      <c r="F549" s="2" t="inlineStr">
        <is>
          <t>Remoto</t>
        </is>
      </c>
      <c r="G549" s="5">
        <f>HYPERLINK("https://co.computrabajo.com/ofertas-de-trabajo/oferta-de-trabajo-de-director-de-proyecto-obras-y-montajes-en-medellin-109E3C7C5CB623BA61373E686DCF3405", "Ver Vacante")</f>
        <v/>
      </c>
      <c r="H549" s="6" t="inlineStr">
        <is>
          <t>$ 5.000.000,00 (Mensual)</t>
        </is>
      </c>
      <c r="I549" s="3" t="inlineStr">
        <is>
          <t>[Afinidad: 50/100 - Afinidad Moderada] Afinidad en disciplina base (Ingeniera Civil Especialista en Vías y SST) sin especialidad directa en vías/SST. Modalidad: 100% Remoto en Colombia confirmado.</t>
        </is>
      </c>
      <c r="J549" s="2" t="inlineStr">
        <is>
          <t>Nueva</t>
        </is>
      </c>
      <c r="K549" s="3" t="inlineStr"/>
    </row>
    <row r="550" ht="22" customHeight="1">
      <c r="A550" s="2" t="inlineStr">
        <is>
          <t>c3249bf92df00c21</t>
        </is>
      </c>
      <c r="B550" s="2" t="inlineStr">
        <is>
          <t>2026-10-19 17:27</t>
        </is>
      </c>
      <c r="C550" s="3" t="inlineStr">
        <is>
          <t>Analista de seguridad y salud en el trabajo</t>
        </is>
      </c>
      <c r="D550" s="3" t="inlineStr">
        <is>
          <t>Confidencial</t>
        </is>
      </c>
      <c r="E550" s="7" t="n">
        <v>0.5</v>
      </c>
      <c r="F550" s="2" t="inlineStr">
        <is>
          <t>Remoto</t>
        </is>
      </c>
      <c r="G550" s="5">
        <f>HYPERLINK("https://www.elempleo.com/co/ofertas-trabajo/analista-de-seguridad-y-salud-en-el-trabajo-1886781980", "Ver Vacante")</f>
        <v/>
      </c>
      <c r="H550" s="6" t="inlineStr"/>
      <c r="I550" s="3" t="inlineStr">
        <is>
          <t>[Afinidad: 50/100 - Afinidad Moderada] Afinidad parcial en seguridad y salud ocupacional. Modalidad: 100% Remoto en Colombia confirmado.</t>
        </is>
      </c>
      <c r="J550" s="2" t="inlineStr">
        <is>
          <t>Nueva</t>
        </is>
      </c>
      <c r="K550" s="3" t="inlineStr"/>
    </row>
    <row r="551" ht="22" customHeight="1">
      <c r="A551" s="2" t="inlineStr">
        <is>
          <t>172a040b143ea0cf</t>
        </is>
      </c>
      <c r="B551" s="2" t="inlineStr">
        <is>
          <t>2026-10-19 17:27</t>
        </is>
      </c>
      <c r="C551" s="3" t="inlineStr">
        <is>
          <t>Analista sst</t>
        </is>
      </c>
      <c r="D551" s="3" t="inlineStr">
        <is>
          <t>Diseños y Aplicaciones de Ingeniería civil sas</t>
        </is>
      </c>
      <c r="E551" s="7" t="n">
        <v>0.5</v>
      </c>
      <c r="F551" s="2" t="inlineStr">
        <is>
          <t>Remoto</t>
        </is>
      </c>
      <c r="G551" s="5">
        <f>HYPERLINK("https://www.elempleo.com/co/ofertas-trabajo/analista-sst-1886779165", "Ver Vacante")</f>
        <v/>
      </c>
      <c r="H551" s="6" t="inlineStr"/>
      <c r="I551" s="3" t="inlineStr">
        <is>
          <t>[Afinidad: 50/100 - Afinidad Moderada] Afinidad parcial en seguridad y salud ocupacional. Modalidad: 100% Remoto en Colombia confirmado.</t>
        </is>
      </c>
      <c r="J551" s="2" t="inlineStr">
        <is>
          <t>Nueva</t>
        </is>
      </c>
      <c r="K551" s="3" t="inlineStr"/>
    </row>
    <row r="552" ht="22" customHeight="1">
      <c r="A552" s="2" t="inlineStr">
        <is>
          <t>718395b7e6fbf0fd</t>
        </is>
      </c>
      <c r="B552" s="2" t="inlineStr">
        <is>
          <t>2026-10-19 17:27</t>
        </is>
      </c>
      <c r="C552" s="3" t="inlineStr">
        <is>
          <t>Lider calidad y sst</t>
        </is>
      </c>
      <c r="D552" s="3" t="inlineStr">
        <is>
          <t>Confidencial</t>
        </is>
      </c>
      <c r="E552" s="7" t="n">
        <v>0.5</v>
      </c>
      <c r="F552" s="2" t="inlineStr">
        <is>
          <t>Remoto</t>
        </is>
      </c>
      <c r="G552" s="5">
        <f>HYPERLINK("https://www.elempleo.com/co/ofertas-trabajo/lider-calidad-y-sst-1886780115", "Ver Vacante")</f>
        <v/>
      </c>
      <c r="H552" s="6" t="inlineStr"/>
      <c r="I552" s="3" t="inlineStr">
        <is>
          <t>[Afinidad: 50/100 - Afinidad Moderada] Afinidad parcial en seguridad y salud ocupacional. Modalidad: 100% Remoto en Colombia confirmado.</t>
        </is>
      </c>
      <c r="J552" s="2" t="inlineStr">
        <is>
          <t>Nueva</t>
        </is>
      </c>
      <c r="K552" s="3" t="inlineStr"/>
    </row>
    <row r="553" ht="22" customHeight="1">
      <c r="A553" s="2" t="inlineStr">
        <is>
          <t>c7d5298917a12bd3</t>
        </is>
      </c>
      <c r="B553" s="2" t="inlineStr">
        <is>
          <t>2026-10-19 17:27</t>
        </is>
      </c>
      <c r="C553" s="3" t="inlineStr">
        <is>
          <t>Analista SST</t>
        </is>
      </c>
      <c r="D553" s="3" t="inlineStr">
        <is>
          <t>Grupo Núcleos de Madera</t>
        </is>
      </c>
      <c r="E553" s="7" t="n">
        <v>0.5</v>
      </c>
      <c r="F553" s="2" t="inlineStr">
        <is>
          <t>Remoto</t>
        </is>
      </c>
      <c r="G553" s="5">
        <f>HYPERLINK("https://co.linkedin.com/jobs/view/analista-sst-at-grupo-n%C3%BAcleos-de-madera-4480993859", "Ver Vacante")</f>
        <v/>
      </c>
      <c r="H553" s="6" t="inlineStr"/>
      <c r="I553" s="3" t="inlineStr">
        <is>
          <t>[Afinidad: 50/100 - Afinidad Moderada] Afinidad parcial en seguridad y salud ocupacional. Modalidad: 100% Remoto en Colombia confirmado.</t>
        </is>
      </c>
      <c r="J553" s="2" t="inlineStr">
        <is>
          <t>Nueva</t>
        </is>
      </c>
      <c r="K553" s="3" t="inlineStr"/>
    </row>
    <row r="554" ht="22" customHeight="1">
      <c r="A554" s="2" t="inlineStr">
        <is>
          <t>4a81f35509c76a9b</t>
        </is>
      </c>
      <c r="B554" s="2" t="inlineStr">
        <is>
          <t>2026-10-19 17:27</t>
        </is>
      </c>
      <c r="C554" s="3" t="inlineStr">
        <is>
          <t>LIDER HSE</t>
        </is>
      </c>
      <c r="D554" s="3" t="inlineStr">
        <is>
          <t>Atento</t>
        </is>
      </c>
      <c r="E554" s="7" t="n">
        <v>0.5</v>
      </c>
      <c r="F554" s="2" t="inlineStr">
        <is>
          <t>Remoto</t>
        </is>
      </c>
      <c r="G554" s="5">
        <f>HYPERLINK("https://co.linkedin.com/jobs/view/lider-hse-at-atento-4478228863", "Ver Vacante")</f>
        <v/>
      </c>
      <c r="H554" s="6" t="inlineStr"/>
      <c r="I554" s="3" t="inlineStr">
        <is>
          <t>[Afinidad: 50/100 - Afinidad Moderada] Afinidad parcial en seguridad y salud ocupacional. Modalidad: 100% Remoto en Colombia confirmado.</t>
        </is>
      </c>
      <c r="J554" s="2" t="inlineStr">
        <is>
          <t>Nueva</t>
        </is>
      </c>
      <c r="K554" s="3" t="inlineStr"/>
    </row>
    <row r="555" ht="22" customHeight="1">
      <c r="A555" s="2" t="inlineStr">
        <is>
          <t>ee66cc010a275e08</t>
        </is>
      </c>
      <c r="B555" s="2" t="inlineStr">
        <is>
          <t>2026-10-19 17:27</t>
        </is>
      </c>
      <c r="C555" s="3" t="inlineStr">
        <is>
          <t>Senior Civil Engineer</t>
        </is>
      </c>
      <c r="D555" s="3" t="inlineStr">
        <is>
          <t>WSP Chile y Argentina</t>
        </is>
      </c>
      <c r="E555" s="7" t="n">
        <v>0.5</v>
      </c>
      <c r="F555" s="2" t="inlineStr">
        <is>
          <t>Remoto</t>
        </is>
      </c>
      <c r="G555" s="5">
        <f>HYPERLINK("https://co.linkedin.com/jobs/view/senior-civil-engineer-at-wsp-chile-y-argentina-4480250388", "Ver Vacante")</f>
        <v/>
      </c>
      <c r="H555" s="6" t="inlineStr"/>
      <c r="I555" s="3" t="inlineStr">
        <is>
          <t>[Afinidad: 50/100 - Afinidad Moderada] Afinidad en disciplina base (Ingeniera Civil Especialista en Vías y SST) sin especialidad directa en vías/SST. Modalidad: 100% Remoto en Colombia confirmado.</t>
        </is>
      </c>
      <c r="J555" s="2" t="inlineStr">
        <is>
          <t>Nueva</t>
        </is>
      </c>
      <c r="K555" s="3" t="inlineStr"/>
    </row>
    <row r="556" ht="22" customHeight="1">
      <c r="A556" s="2" t="inlineStr">
        <is>
          <t>412c1511796e0dac</t>
        </is>
      </c>
      <c r="B556" s="2" t="inlineStr">
        <is>
          <t>2026-10-20 15:40</t>
        </is>
      </c>
      <c r="C556" s="3" t="inlineStr">
        <is>
          <t>Ingeniero/a ambiental para corredor vial Titiribí/Armenia</t>
        </is>
      </c>
      <c r="D556" s="3" t="inlineStr">
        <is>
          <t>Importante empresa del sector</t>
        </is>
      </c>
      <c r="E556" s="7" t="n">
        <v>0.5</v>
      </c>
      <c r="F556" s="2" t="inlineStr">
        <is>
          <t>Remoto</t>
        </is>
      </c>
      <c r="G556" s="5">
        <f>HYPERLINK("https://co.computrabajo.com/ofertas-de-trabajo/oferta-de-trabajo-de-ingenieroa-ambiental-para-corredor-vial-titiribiarmenia-en-titiribi-91817830E7DB705061373E686DCF3405", "Ver Vacante")</f>
        <v/>
      </c>
      <c r="H556" s="6" t="inlineStr"/>
      <c r="I556" s="3" t="inlineStr">
        <is>
          <t>[Afinidad: 50/100 - Afinidad Moderada] Afinidad parcial en infraestructura vial y transporte. Modalidad: 100% Remoto en Colombia confirmado.</t>
        </is>
      </c>
      <c r="J556" s="2" t="inlineStr">
        <is>
          <t>Nueva</t>
        </is>
      </c>
      <c r="K556" s="3" t="inlineStr"/>
    </row>
    <row r="557" ht="22" customHeight="1">
      <c r="A557" s="2" t="inlineStr">
        <is>
          <t>b462e13e4ba0aab9</t>
        </is>
      </c>
      <c r="B557" s="2" t="inlineStr">
        <is>
          <t>2026-10-20 15:40</t>
        </is>
      </c>
      <c r="C557" s="3" t="inlineStr">
        <is>
          <t>Analista Hseq</t>
        </is>
      </c>
      <c r="D557" s="3" t="inlineStr">
        <is>
          <t>SU SERVICIO TEMPORAL S.A</t>
        </is>
      </c>
      <c r="E557" s="7" t="n">
        <v>0.5</v>
      </c>
      <c r="F557" s="2" t="inlineStr">
        <is>
          <t>Remoto</t>
        </is>
      </c>
      <c r="G557" s="5">
        <f>HYPERLINK("https://co.computrabajo.com/ofertas-de-trabajo/oferta-de-trabajo-de-analista-hseq-sector-facilitiesobraconstruccion-en-bogota-dc-8E123ADD442FF20B61373E686DCF3405", "Ver Vacante")</f>
        <v/>
      </c>
      <c r="H557" s="6" t="inlineStr">
        <is>
          <t>$ 2.700.000,00 (Mensual)</t>
        </is>
      </c>
      <c r="I557" s="3" t="inlineStr">
        <is>
          <t>[Afinidad: 50/100 - Afinidad Moderada] Afinidad parcial en seguridad y salud ocupacional. Modalidad: 100% Remoto en Colombia confirmado.</t>
        </is>
      </c>
      <c r="J557" s="2" t="inlineStr">
        <is>
          <t>Nueva</t>
        </is>
      </c>
      <c r="K557" s="3" t="inlineStr"/>
    </row>
    <row r="558" ht="22" customHeight="1">
      <c r="A558" s="2" t="inlineStr">
        <is>
          <t>c92bcac8ae7c9efd</t>
        </is>
      </c>
      <c r="B558" s="2" t="inlineStr">
        <is>
          <t>2026-10-21 15:56</t>
        </is>
      </c>
      <c r="C558" s="3" t="inlineStr">
        <is>
          <t>Ingeniero en telecomunicaciones Director de proyectos</t>
        </is>
      </c>
      <c r="D558" s="3" t="inlineStr">
        <is>
          <t>RAYCO S.A</t>
        </is>
      </c>
      <c r="E558" s="7" t="n">
        <v>0.5</v>
      </c>
      <c r="F558" s="2" t="inlineStr">
        <is>
          <t>Remoto</t>
        </is>
      </c>
      <c r="G558" s="5">
        <f>HYPERLINK("https://co.computrabajo.com/ofertas-de-trabajo/oferta-de-trabajo-de-ingeniero-en-telecomunicaciones-director-de-proyectos-experiencia-en-gerencia-de-proyectos-en-bogota-dc-187032E8F3CFA77B61373E686DCF3405", "Ver Vacante")</f>
        <v/>
      </c>
      <c r="H558" s="6" t="inlineStr">
        <is>
          <t>$ 5.700.000,00 (Mensual)</t>
        </is>
      </c>
      <c r="I558" s="3" t="inlineStr">
        <is>
          <t>[Afinidad: 50/100 - Afinidad Moderada] Afinidad en disciplina base (Ingeniera Civil Especialista en Vías y SST) sin especialidad directa en vías/SST. Modalidad: 100% Remoto en Colombia confirmado.</t>
        </is>
      </c>
      <c r="J558" s="2" t="inlineStr">
        <is>
          <t>Nueva</t>
        </is>
      </c>
      <c r="K558" s="3" t="inlineStr"/>
    </row>
    <row r="559" ht="22" customHeight="1">
      <c r="A559" s="2" t="inlineStr">
        <is>
          <t>e578ffd0fdc2a4b0</t>
        </is>
      </c>
      <c r="B559" s="2" t="inlineStr">
        <is>
          <t>2026-10-21 15:56</t>
        </is>
      </c>
      <c r="C559" s="3" t="inlineStr">
        <is>
          <t>Analista HSEQ</t>
        </is>
      </c>
      <c r="D559" s="3" t="inlineStr">
        <is>
          <t>SULOGISTICS EXPRESS S.A.S.</t>
        </is>
      </c>
      <c r="E559" s="7" t="n">
        <v>0.5</v>
      </c>
      <c r="F559" s="2" t="inlineStr">
        <is>
          <t>Remoto</t>
        </is>
      </c>
      <c r="G559" s="5">
        <f>HYPERLINK("https://co.computrabajo.com/ofertas-de-trabajo/oferta-de-trabajo-de-analista-hseq-sesquile-cundinamarca-en-sesquile-559597A754C07E8A61373E686DCF3405", "Ver Vacante")</f>
        <v/>
      </c>
      <c r="H559" s="6" t="inlineStr">
        <is>
          <t>$ 2.000.000,00 (Mensual)</t>
        </is>
      </c>
      <c r="I559" s="3" t="inlineStr">
        <is>
          <t>[Afinidad: 50/100 - Afinidad Moderada] Afinidad parcial en seguridad y salud ocupacional. Modalidad: 100% Remoto en Colombia confirmado.</t>
        </is>
      </c>
      <c r="J559" s="2" t="inlineStr">
        <is>
          <t>Nueva</t>
        </is>
      </c>
      <c r="K559" s="3" t="inlineStr"/>
    </row>
    <row r="560" ht="22" customHeight="1">
      <c r="A560" s="2" t="inlineStr">
        <is>
          <t>bf1aaea82a47f0a0</t>
        </is>
      </c>
      <c r="B560" s="2" t="inlineStr">
        <is>
          <t>2026-10-21 15:56</t>
        </is>
      </c>
      <c r="C560" s="3" t="inlineStr">
        <is>
          <t>Analista Calidad y SST</t>
        </is>
      </c>
      <c r="D560" s="3" t="inlineStr">
        <is>
          <t>Powest</t>
        </is>
      </c>
      <c r="E560" s="7" t="n">
        <v>0.5</v>
      </c>
      <c r="F560" s="2" t="inlineStr">
        <is>
          <t>Remoto</t>
        </is>
      </c>
      <c r="G560" s="5">
        <f>HYPERLINK("https://co.linkedin.com/jobs/view/analista-calidad-y-sst-at-powest-4480496991", "Ver Vacante")</f>
        <v/>
      </c>
      <c r="H560" s="6" t="inlineStr"/>
      <c r="I560" s="3" t="inlineStr">
        <is>
          <t>[Afinidad: 50/100 - Afinidad Moderada] Afinidad parcial en seguridad y salud ocupacional. Modalidad: 100% Remoto en Colombia confirmado.</t>
        </is>
      </c>
      <c r="J560" s="2" t="inlineStr">
        <is>
          <t>Nueva</t>
        </is>
      </c>
      <c r="K560" s="3" t="inlineStr"/>
    </row>
    <row r="561" ht="22" customHeight="1">
      <c r="A561" s="2" t="inlineStr">
        <is>
          <t>f98c93b175f28485</t>
        </is>
      </c>
      <c r="B561" s="2" t="inlineStr">
        <is>
          <t>2026-10-21 15:56</t>
        </is>
      </c>
      <c r="C561" s="3" t="inlineStr">
        <is>
          <t>Analista Seguridad y Salud en el Trabajo</t>
        </is>
      </c>
      <c r="D561" s="3" t="inlineStr">
        <is>
          <t>Empresa Transportadora San Gabriel S.A.S.</t>
        </is>
      </c>
      <c r="E561" s="7" t="n">
        <v>0.5</v>
      </c>
      <c r="F561" s="2" t="inlineStr">
        <is>
          <t>Remoto</t>
        </is>
      </c>
      <c r="G561" s="5">
        <f>HYPERLINK("https://co.linkedin.com/jobs/view/analista-seguridad-y-salud-en-el-trabajo-at-empresa-transportadora-san-gabriel-s-a-s-4482010233", "Ver Vacante")</f>
        <v/>
      </c>
      <c r="H561" s="6" t="inlineStr"/>
      <c r="I561" s="3" t="inlineStr">
        <is>
          <t>[Afinidad: 50/100 - Afinidad Moderada] Afinidad parcial en seguridad y salud ocupacional. Modalidad: 100% Remoto en Colombia confirmado.</t>
        </is>
      </c>
      <c r="J561" s="2" t="inlineStr">
        <is>
          <t>Nueva</t>
        </is>
      </c>
      <c r="K561" s="3" t="inlineStr"/>
    </row>
    <row r="562" ht="22" customHeight="1">
      <c r="A562" s="2" t="inlineStr">
        <is>
          <t>64edb69b3074c169</t>
        </is>
      </c>
      <c r="B562" s="2" t="inlineStr">
        <is>
          <t>2026-10-22 15:54</t>
        </is>
      </c>
      <c r="C562" s="3" t="inlineStr">
        <is>
          <t>Analista de seguridad y salud en el trabajo en Medellín!</t>
        </is>
      </c>
      <c r="D562" s="3" t="inlineStr">
        <is>
          <t>Importante empresa del sector</t>
        </is>
      </c>
      <c r="E562" s="7" t="n">
        <v>0.5</v>
      </c>
      <c r="F562" s="2" t="inlineStr">
        <is>
          <t>Remoto</t>
        </is>
      </c>
      <c r="G562" s="5">
        <f>HYPERLINK("https://co.computrabajo.com/ofertas-de-trabajo/oferta-de-trabajo-de-analista-de-seguridad-y-salud-en-el-trabajo-en-medellin-plantas-de-produccion-grandes-en-medellin-75E85EC457F9AE1B61373E686DCF3405", "Ver Vacante")</f>
        <v/>
      </c>
      <c r="H562" s="6" t="inlineStr">
        <is>
          <t>$ 3.200.000,00 (Mensual)</t>
        </is>
      </c>
      <c r="I562" s="3" t="inlineStr">
        <is>
          <t>[Afinidad: 50/100 - Afinidad Moderada] Afinidad parcial en seguridad y salud ocupacional. Modalidad: 100% Remoto en Colombia confirmado.</t>
        </is>
      </c>
      <c r="J562" s="2" t="inlineStr">
        <is>
          <t>Nueva</t>
        </is>
      </c>
      <c r="K562" s="3" t="inlineStr"/>
    </row>
    <row r="563" ht="22" customHeight="1">
      <c r="A563" s="2" t="inlineStr">
        <is>
          <t>6c7930d595130edb</t>
        </is>
      </c>
      <c r="B563" s="2" t="inlineStr">
        <is>
          <t>2026-10-22 15:54</t>
        </is>
      </c>
      <c r="C563" s="3" t="inlineStr">
        <is>
          <t>Consultor HSEQ</t>
        </is>
      </c>
      <c r="D563" s="3" t="inlineStr">
        <is>
          <t>Importante empresa del sector</t>
        </is>
      </c>
      <c r="E563" s="7" t="n">
        <v>0.5</v>
      </c>
      <c r="F563" s="2" t="inlineStr">
        <is>
          <t>Remoto</t>
        </is>
      </c>
      <c r="G563" s="5">
        <f>HYPERLINK("https://co.computrabajo.com/ofertas-de-trabajo/oferta-de-trabajo-de-consultor-hseq-medellin-en-medellin-A2F9F8E7E4B3A83E61373E686DCF3405", "Ver Vacante")</f>
        <v/>
      </c>
      <c r="H563" s="6" t="inlineStr"/>
      <c r="I563" s="3" t="inlineStr">
        <is>
          <t>[Afinidad: 50/100 - Afinidad Moderada] Afinidad parcial en seguridad y salud ocupacional. Modalidad: 100% Remoto en Colombia confirmado.</t>
        </is>
      </c>
      <c r="J563" s="2" t="inlineStr">
        <is>
          <t>Nueva</t>
        </is>
      </c>
      <c r="K563" s="3" t="inlineStr"/>
    </row>
    <row r="564" ht="22" customHeight="1">
      <c r="A564" s="2" t="inlineStr">
        <is>
          <t>42353ff91d3f885a</t>
        </is>
      </c>
      <c r="B564" s="2" t="inlineStr">
        <is>
          <t>2026-10-22 15:54</t>
        </is>
      </c>
      <c r="C564" s="3" t="inlineStr">
        <is>
          <t>Analista Nomina / Auxiliar SST</t>
        </is>
      </c>
      <c r="D564" s="3" t="inlineStr">
        <is>
          <t>SOLUCIONES LOGISTICAS EFICACES SAS</t>
        </is>
      </c>
      <c r="E564" s="7" t="n">
        <v>0.5</v>
      </c>
      <c r="F564" s="2" t="inlineStr">
        <is>
          <t>Remoto</t>
        </is>
      </c>
      <c r="G564" s="5">
        <f>HYPERLINK("https://co.computrabajo.com/ofertas-de-trabajo/oferta-de-trabajo-de-analista-nomina-auxiliar-sst-cali-en-cali-620A45D87020535561373E686DCF3405", "Ver Vacante")</f>
        <v/>
      </c>
      <c r="H564" s="6" t="inlineStr">
        <is>
          <t>$ 2.000.000,00 (Mensual)</t>
        </is>
      </c>
      <c r="I564" s="3" t="inlineStr">
        <is>
          <t>[Afinidad: 50/100 - Afinidad Moderada] Afinidad parcial en seguridad y salud ocupacional. Modalidad: 100% Remoto en Colombia confirmado.</t>
        </is>
      </c>
      <c r="J564" s="2" t="inlineStr">
        <is>
          <t>Nueva</t>
        </is>
      </c>
      <c r="K564" s="3" t="inlineStr"/>
    </row>
    <row r="565" ht="22" customHeight="1">
      <c r="A565" s="2" t="inlineStr">
        <is>
          <t>a6c25ef5d84874c2</t>
        </is>
      </c>
      <c r="B565" s="2" t="inlineStr">
        <is>
          <t>2026-10-22 15:54</t>
        </is>
      </c>
      <c r="C565" s="3" t="inlineStr">
        <is>
          <t>Analista/Profesional SST</t>
        </is>
      </c>
      <c r="D565" s="3" t="inlineStr">
        <is>
          <t>Importante empresa del sector</t>
        </is>
      </c>
      <c r="E565" s="7" t="n">
        <v>0.5</v>
      </c>
      <c r="F565" s="2" t="inlineStr">
        <is>
          <t>Remoto</t>
        </is>
      </c>
      <c r="G565" s="5">
        <f>HYPERLINK("https://co.computrabajo.com/ofertas-de-trabajo/oferta-de-trabajo-de-analistaprofesional-sst-barranquilla-en-barranquilla-5F7108D9ADC93B5B61373E686DCF3405", "Ver Vacante")</f>
        <v/>
      </c>
      <c r="H565" s="6" t="inlineStr">
        <is>
          <t>$ 2.389.998,00 (Mensual)</t>
        </is>
      </c>
      <c r="I565" s="3" t="inlineStr">
        <is>
          <t>[Afinidad: 50/100 - Afinidad Moderada] Afinidad parcial en seguridad y salud ocupacional. Modalidad: 100% Remoto en Colombia confirmado.</t>
        </is>
      </c>
      <c r="J565" s="2" t="inlineStr">
        <is>
          <t>Nueva</t>
        </is>
      </c>
      <c r="K565" s="3" t="inlineStr"/>
    </row>
    <row r="566" ht="22" customHeight="1">
      <c r="A566" s="2" t="inlineStr">
        <is>
          <t>fc3252316290f070</t>
        </is>
      </c>
      <c r="B566" s="2" t="inlineStr">
        <is>
          <t>2026-10-22 15:54</t>
        </is>
      </c>
      <c r="C566" s="3" t="inlineStr">
        <is>
          <t>Director de interventoría</t>
        </is>
      </c>
      <c r="D566" s="3" t="inlineStr">
        <is>
          <t>INGEPLAN.CO SAS EMPRESA DE BENEFICIO E INTERES COLECTIVO BIC</t>
        </is>
      </c>
      <c r="E566" s="7" t="n">
        <v>0.5</v>
      </c>
      <c r="F566" s="2" t="inlineStr">
        <is>
          <t>Remoto</t>
        </is>
      </c>
      <c r="G566" s="5">
        <f>HYPERLINK("https://www.elempleo.com/co/ofertas-trabajo/director-de-interventoria-1886783362", "Ver Vacante")</f>
        <v/>
      </c>
      <c r="H566" s="6" t="inlineStr"/>
      <c r="I566" s="3" t="inlineStr">
        <is>
          <t>[Afinidad: 50/100 - Afinidad Moderada] Afinidad en disciplina base (Ingeniera Civil Especialista en Vías y SST) sin especialidad directa en vías/SST. Modalidad: 100% Remoto en Colombia confirmado.</t>
        </is>
      </c>
      <c r="J566" s="2" t="inlineStr">
        <is>
          <t>Nueva</t>
        </is>
      </c>
      <c r="K566" s="3" t="inlineStr"/>
    </row>
    <row r="567" ht="22" customHeight="1">
      <c r="A567" s="2" t="inlineStr">
        <is>
          <t>dd37d78c9dad336c</t>
        </is>
      </c>
      <c r="B567" s="2" t="inlineStr">
        <is>
          <t>2026-10-22 15:54</t>
        </is>
      </c>
      <c r="C567" s="3" t="inlineStr">
        <is>
          <t>Ingeniero/a Civil Senior- Oil&amp;Gas</t>
        </is>
      </c>
      <c r="D567" s="3" t="inlineStr">
        <is>
          <t>IDOM Consulting, Engineering, Architecture</t>
        </is>
      </c>
      <c r="E567" s="7" t="n">
        <v>0.5</v>
      </c>
      <c r="F567" s="2" t="inlineStr">
        <is>
          <t>Remoto</t>
        </is>
      </c>
      <c r="G567" s="5">
        <f>HYPERLINK("https://co.linkedin.com/jobs/view/ingeniero-a-civil-senior-oil-gas-at-idom-consulting-engineering-architecture-4478611907", "Ver Vacante")</f>
        <v/>
      </c>
      <c r="H567" s="6" t="inlineStr"/>
      <c r="I567" s="3" t="inlineStr">
        <is>
          <t>[Afinidad: 50/100 - Afinidad Moderada] Afinidad en disciplina base (Ingeniera Civil Especialista en Vías y SST) sin especialidad directa en vías/SST. Modalidad: 100% Remoto en Colombia confirmado.</t>
        </is>
      </c>
      <c r="J567" s="2" t="inlineStr">
        <is>
          <t>Nueva</t>
        </is>
      </c>
      <c r="K567" s="3" t="inlineStr"/>
    </row>
    <row r="568" ht="22" customHeight="1">
      <c r="A568" s="2" t="inlineStr">
        <is>
          <t>4426b2c17306f519</t>
        </is>
      </c>
      <c r="B568" s="2" t="inlineStr">
        <is>
          <t>2026-09-22 05:09</t>
        </is>
      </c>
      <c r="C568" s="3" t="inlineStr">
        <is>
          <t>Residente de Seguridad y Salud en el trabajo</t>
        </is>
      </c>
      <c r="D568" s="3" t="inlineStr">
        <is>
          <t>Cal y Mayor y Asociados S.C</t>
        </is>
      </c>
      <c r="E568" s="8" t="n">
        <v>0.48</v>
      </c>
      <c r="F568" s="2" t="inlineStr">
        <is>
          <t>Remoto</t>
        </is>
      </c>
      <c r="G568" s="5">
        <f>HYPERLINK("https://co.computrabajo.com/ofertas-de-trabajo/oferta-de-trabajo-de-residente-de-seguridad-y-salud-en-el-trabajo-sst-sst-en-bogota-dc-D67E64C3D53E0D6961373E686DCF3405", "Ver Vacante")</f>
        <v/>
      </c>
      <c r="H568" s="6" t="inlineStr">
        <is>
          <t>$ 4.200.000,00 (Mensual)</t>
        </is>
      </c>
      <c r="I568" s="3" t="inlineStr">
        <is>
          <t>[Afinidad: 48/100 - Baja Afinidad] Alta coincidencia en gestión de Seguridad y Salud en el Trabajo (SST). Modalidad: 100% Remoto en Colombia confirmado.</t>
        </is>
      </c>
      <c r="J568" s="2" t="inlineStr">
        <is>
          <t>Nueva</t>
        </is>
      </c>
      <c r="K568" s="3" t="inlineStr"/>
    </row>
    <row r="569" ht="22" customHeight="1">
      <c r="A569" s="2" t="inlineStr">
        <is>
          <t>83015d6afb890f1d</t>
        </is>
      </c>
      <c r="B569" s="2" t="inlineStr">
        <is>
          <t>2026-09-22 05:09</t>
        </is>
      </c>
      <c r="C569" s="3" t="inlineStr">
        <is>
          <t>Analista/profesional HSEQ / SST Sesquile o Alrededores</t>
        </is>
      </c>
      <c r="D569" s="3" t="inlineStr">
        <is>
          <t>ACTIVOS S A S</t>
        </is>
      </c>
      <c r="E569" s="8" t="n">
        <v>0.48</v>
      </c>
      <c r="F569" s="2" t="inlineStr">
        <is>
          <t>Remoto</t>
        </is>
      </c>
      <c r="G569" s="5">
        <f>HYPERLINK("https://co.computrabajo.com/ofertas-de-trabajo/oferta-de-trabajo-de-analistaprofesional-hseq-sst-sesquile-o-alrededores-sector-consumo-masivo-en-sesquile-632A9566338A59E361373E686DCF3405", "Ver Vacante")</f>
        <v/>
      </c>
      <c r="H569" s="6" t="inlineStr">
        <is>
          <t>$ 4.000.000,00 (Mensual)</t>
        </is>
      </c>
      <c r="I569" s="3" t="inlineStr">
        <is>
          <t>[Afinidad: 48/100 - Baja Afinidad] Alta coincidencia en gestión de Seguridad y Salud en el Trabajo (SST). Modalidad: 100% Remoto en Colombia confirmado.</t>
        </is>
      </c>
      <c r="J569" s="2" t="inlineStr">
        <is>
          <t>Nueva</t>
        </is>
      </c>
      <c r="K569" s="3" t="inlineStr"/>
    </row>
    <row r="570" ht="22" customHeight="1">
      <c r="A570" s="2" t="inlineStr">
        <is>
          <t>bc0b38b5129e0905</t>
        </is>
      </c>
      <c r="B570" s="2" t="inlineStr">
        <is>
          <t>2026-09-22 05:09</t>
        </is>
      </c>
      <c r="C570" s="3" t="inlineStr">
        <is>
          <t>Profesional en seguridad y salud en el trabajo SST</t>
        </is>
      </c>
      <c r="D570" s="3" t="inlineStr">
        <is>
          <t>Seguridad y Vigilancia Exito de Colombia</t>
        </is>
      </c>
      <c r="E570" s="8" t="n">
        <v>0.48</v>
      </c>
      <c r="F570" s="2" t="inlineStr">
        <is>
          <t>Remoto</t>
        </is>
      </c>
      <c r="G570" s="5">
        <f>HYPERLINK("https://co.computrabajo.com/ofertas-de-trabajo/oferta-de-trabajo-de-profesional-en-seguridad-y-salud-en-el-trabajo-sst-con-experiencia-y-conocimiento-en-pesv-en-bogota-dc-A7CA6F8805D1C53B61373E686DCF3405", "Ver Vacante")</f>
        <v/>
      </c>
      <c r="H570" s="6" t="inlineStr">
        <is>
          <t>$ 3.200.000,00 (Mensual)</t>
        </is>
      </c>
      <c r="I570" s="3" t="inlineStr">
        <is>
          <t>[Afinidad: 48/100 - Baja Afinidad] Alta coincidencia en gestión de Seguridad y Salud en el Trabajo (SST). Modalidad: 100% Remoto en Colombia confirmado.</t>
        </is>
      </c>
      <c r="J570" s="2" t="inlineStr">
        <is>
          <t>Nueva</t>
        </is>
      </c>
      <c r="K570" s="3" t="inlineStr"/>
    </row>
    <row r="571" ht="22" customHeight="1">
      <c r="A571" s="2" t="inlineStr">
        <is>
          <t>e15ce00dbe5c21b5</t>
        </is>
      </c>
      <c r="B571" s="2" t="inlineStr">
        <is>
          <t>2026-09-22 05:09</t>
        </is>
      </c>
      <c r="C571" s="3" t="inlineStr">
        <is>
          <t>Tecnólogo HSEQ / Seguridad y Salud en el Trabajo</t>
        </is>
      </c>
      <c r="D571" s="3" t="inlineStr">
        <is>
          <t>Lighgen Ingeniería Ltda</t>
        </is>
      </c>
      <c r="E571" s="8" t="n">
        <v>0.48</v>
      </c>
      <c r="F571" s="2" t="inlineStr">
        <is>
          <t>Remoto</t>
        </is>
      </c>
      <c r="G571" s="5">
        <f>HYPERLINK("https://co.computrabajo.com/ofertas-de-trabajo/oferta-de-trabajo-de-tecnologo-hseq-seguridad-y-salud-en-el-trabajo-con-experiencia-2-anos-en-bogota-dc-87DB3FCAFEA8E12861373E686DCF3405", "Ver Vacante")</f>
        <v/>
      </c>
      <c r="H571" s="6" t="inlineStr"/>
      <c r="I571" s="3" t="inlineStr">
        <is>
          <t>[Afinidad: 48/100 - Baja Afinidad] Alta coincidencia en gestión de Seguridad y Salud en el Trabajo (SST). Modalidad: 100% Remoto en Colombia confirmado.</t>
        </is>
      </c>
      <c r="J571" s="2" t="inlineStr">
        <is>
          <t>Nueva</t>
        </is>
      </c>
      <c r="K571" s="3" t="inlineStr"/>
    </row>
    <row r="572" ht="22" customHeight="1">
      <c r="A572" s="2" t="inlineStr">
        <is>
          <t>1f3bf8b16a58f0b4</t>
        </is>
      </c>
      <c r="B572" s="2" t="inlineStr">
        <is>
          <t>2026-09-22 05:09</t>
        </is>
      </c>
      <c r="C572" s="3" t="inlineStr">
        <is>
          <t>Inspector (a) de vias y urbanismo</t>
        </is>
      </c>
      <c r="D572" s="3" t="inlineStr">
        <is>
          <t>METRO LINEA 1 S.A.S.</t>
        </is>
      </c>
      <c r="E572" s="8" t="n">
        <v>0.48</v>
      </c>
      <c r="F572" s="2" t="inlineStr">
        <is>
          <t>Remoto</t>
        </is>
      </c>
      <c r="G572" s="5">
        <f>HYPERLINK("https://www.elempleo.com/co/ofertas-trabajo/inspector-a-de-vias-y-urbanismo-1886728733", "Ver Vacante")</f>
        <v/>
      </c>
      <c r="H572" s="6" t="inlineStr"/>
      <c r="I572" s="3" t="inlineStr">
        <is>
          <t>[Afinidad: 48/100 - Baja Afinidad] Alta coincidencia técnica en infraestructura vial, diseño geométrico y pavimentos. Modalidad: 100% Remoto en Colombia confirmado.</t>
        </is>
      </c>
      <c r="J572" s="2" t="inlineStr">
        <is>
          <t>Nueva</t>
        </is>
      </c>
      <c r="K572" s="3" t="inlineStr"/>
    </row>
    <row r="573" ht="22" customHeight="1">
      <c r="A573" s="2" t="inlineStr">
        <is>
          <t>8fd843a922654d9e</t>
        </is>
      </c>
      <c r="B573" s="2" t="inlineStr">
        <is>
          <t>2026-09-22 05:09</t>
        </is>
      </c>
      <c r="C573" s="3" t="inlineStr">
        <is>
          <t>Oficial de obra</t>
        </is>
      </c>
      <c r="D573" s="3" t="inlineStr">
        <is>
          <t>TERMOTECNICA COINDUSTRIAL SAS</t>
        </is>
      </c>
      <c r="E573" s="8" t="n">
        <v>0.48</v>
      </c>
      <c r="F573" s="2" t="inlineStr">
        <is>
          <t>Remoto</t>
        </is>
      </c>
      <c r="G573" s="5">
        <f>HYPERLINK("https://www.elempleo.com/co/ofertas-trabajo/oficial-de-obra-puentevias-1886766237", "Ver Vacante")</f>
        <v/>
      </c>
      <c r="H573" s="6" t="inlineStr"/>
      <c r="I573" s="3" t="inlineStr">
        <is>
          <t>[Afinidad: 48/100 - Baja Afinidad] Alta coincidencia técnica en infraestructura vial, diseño geométrico y pavimentos. Modalidad: 100% Remoto en Colombia confirmado.</t>
        </is>
      </c>
      <c r="J573" s="2" t="inlineStr">
        <is>
          <t>Nueva</t>
        </is>
      </c>
      <c r="K573" s="3" t="inlineStr"/>
    </row>
    <row r="574" ht="22" customHeight="1">
      <c r="A574" s="2" t="inlineStr">
        <is>
          <t>03eab73111095faa</t>
        </is>
      </c>
      <c r="B574" s="2" t="inlineStr">
        <is>
          <t>2026-09-22 05:09</t>
        </is>
      </c>
      <c r="C574" s="3" t="inlineStr">
        <is>
          <t>Residente estructuras</t>
        </is>
      </c>
      <c r="D574" s="3" t="inlineStr">
        <is>
          <t>CONCONCRETO S.A.</t>
        </is>
      </c>
      <c r="E574" s="8" t="n">
        <v>0.48</v>
      </c>
      <c r="F574" s="2" t="inlineStr">
        <is>
          <t>Remoto</t>
        </is>
      </c>
      <c r="G574" s="5">
        <f>HYPERLINK("https://www.elempleo.com/co/ofertas-trabajo/residente-estructuras-experiencia-en-infraestructura-vial-y-talud-1886757305", "Ver Vacante")</f>
        <v/>
      </c>
      <c r="H574" s="6" t="inlineStr"/>
      <c r="I574" s="3" t="inlineStr">
        <is>
          <t>[Afinidad: 48/100 - Baja Afinidad] Alta coincidencia técnica en infraestructura vial, diseño geométrico y pavimentos. Modalidad: 100% Remoto en Colombia confirmado.</t>
        </is>
      </c>
      <c r="J574" s="2" t="inlineStr">
        <is>
          <t>Nueva</t>
        </is>
      </c>
      <c r="K574" s="3" t="inlineStr"/>
    </row>
    <row r="575" ht="22" customHeight="1">
      <c r="A575" s="2" t="inlineStr">
        <is>
          <t>c5911c7562546e3c</t>
        </is>
      </c>
      <c r="B575" s="2" t="inlineStr">
        <is>
          <t>2026-09-22 05:09</t>
        </is>
      </c>
      <c r="C575" s="3" t="inlineStr">
        <is>
          <t>Profesional con experiencia en el sector de transporte marítimo y/o por vías navegables</t>
        </is>
      </c>
      <c r="D575" s="3" t="inlineStr">
        <is>
          <t>ICONTEC</t>
        </is>
      </c>
      <c r="E575" s="8" t="n">
        <v>0.48</v>
      </c>
      <c r="F575" s="2" t="inlineStr">
        <is>
          <t>Remoto</t>
        </is>
      </c>
      <c r="G575" s="5">
        <f>HYPERLINK("https://www.elempleo.com/co/ofertas-trabajo/profesional-con-experiencia-en-el-sector-de-transporte-maritimo-y-o-por-vias-navegables-1886761682", "Ver Vacante")</f>
        <v/>
      </c>
      <c r="H575" s="6" t="inlineStr"/>
      <c r="I575" s="3" t="inlineStr">
        <is>
          <t>[Afinidad: 48/100 - Baja Afinidad] Alta coincidencia técnica en infraestructura vial, diseño geométrico y pavimentos. Modalidad: 100% Remoto en Colombia confirmado.</t>
        </is>
      </c>
      <c r="J575" s="2" t="inlineStr">
        <is>
          <t>Nueva</t>
        </is>
      </c>
      <c r="K575" s="3" t="inlineStr"/>
    </row>
    <row r="576" ht="22" customHeight="1">
      <c r="A576" s="2" t="inlineStr">
        <is>
          <t>c2903e245a44de39</t>
        </is>
      </c>
      <c r="B576" s="2" t="inlineStr">
        <is>
          <t>2026-09-22 05:09</t>
        </is>
      </c>
      <c r="C576" s="3" t="inlineStr">
        <is>
          <t>Encargado de obra</t>
        </is>
      </c>
      <c r="D576" s="3" t="inlineStr">
        <is>
          <t>TERMOTECNICA COINDUSTRIAL SAS</t>
        </is>
      </c>
      <c r="E576" s="8" t="n">
        <v>0.48</v>
      </c>
      <c r="F576" s="2" t="inlineStr">
        <is>
          <t>Remoto</t>
        </is>
      </c>
      <c r="G576" s="5">
        <f>HYPERLINK("https://www.elempleo.com/co/ofertas-trabajo/encargado-de-obra-puentes-vias-1886762620", "Ver Vacante")</f>
        <v/>
      </c>
      <c r="H576" s="6" t="inlineStr"/>
      <c r="I576" s="3" t="inlineStr">
        <is>
          <t>[Afinidad: 48/100 - Baja Afinidad] Alta coincidencia técnica en infraestructura vial, diseño geométrico y pavimentos. Modalidad: 100% Remoto en Colombia confirmado.</t>
        </is>
      </c>
      <c r="J576" s="2" t="inlineStr">
        <is>
          <t>Nueva</t>
        </is>
      </c>
      <c r="K576" s="3" t="inlineStr"/>
    </row>
    <row r="577" ht="22" customHeight="1">
      <c r="A577" s="2" t="inlineStr">
        <is>
          <t>a5bd833e8b837d34</t>
        </is>
      </c>
      <c r="B577" s="2" t="inlineStr">
        <is>
          <t>2026-09-22 05:09</t>
        </is>
      </c>
      <c r="C577" s="3" t="inlineStr">
        <is>
          <t>Residente en seguridad y salud en el trabajo</t>
        </is>
      </c>
      <c r="D577" s="3" t="inlineStr">
        <is>
          <t>Confidencial</t>
        </is>
      </c>
      <c r="E577" s="8" t="n">
        <v>0.48</v>
      </c>
      <c r="F577" s="2" t="inlineStr">
        <is>
          <t>Remoto</t>
        </is>
      </c>
      <c r="G577" s="5">
        <f>HYPERLINK("https://www.elempleo.com/co/ofertas-trabajo/residente-en-seguridad-y-salud-en-el-trabajo-sst-1886762728", "Ver Vacante")</f>
        <v/>
      </c>
      <c r="H577" s="6" t="inlineStr"/>
      <c r="I577" s="3" t="inlineStr">
        <is>
          <t>[Afinidad: 48/100 - Baja Afinidad] Alta coincidencia en gestión de Seguridad y Salud en el Trabajo (SST). Modalidad: 100% Remoto en Colombia confirmado.</t>
        </is>
      </c>
      <c r="J577" s="2" t="inlineStr">
        <is>
          <t>Nueva</t>
        </is>
      </c>
      <c r="K577" s="3" t="inlineStr"/>
    </row>
    <row r="578" ht="22" customHeight="1">
      <c r="A578" s="2" t="inlineStr">
        <is>
          <t>55e7967f3b4afa02</t>
        </is>
      </c>
      <c r="B578" s="2" t="inlineStr">
        <is>
          <t>2026-09-22 05:09</t>
        </is>
      </c>
      <c r="C578" s="3" t="inlineStr">
        <is>
          <t>Tecnólogo/a en Seguridad y Salud en el Trabajo</t>
        </is>
      </c>
      <c r="D578" s="3" t="inlineStr">
        <is>
          <t>EOSOL</t>
        </is>
      </c>
      <c r="E578" s="8" t="n">
        <v>0.48</v>
      </c>
      <c r="F578" s="2" t="inlineStr">
        <is>
          <t>Remoto</t>
        </is>
      </c>
      <c r="G578" s="5">
        <f>HYPERLINK("https://co.linkedin.com/jobs/view/tecn%C3%B3logo-a-en-seguridad-y-salud-en-el-trabajo-sst-at-eosol-4464868638", "Ver Vacante")</f>
        <v/>
      </c>
      <c r="H578" s="6" t="inlineStr"/>
      <c r="I578" s="3" t="inlineStr">
        <is>
          <t>[Afinidad: 48/100 - Baja Afinidad] Alta coincidencia en gestión de Seguridad y Salud en el Trabajo (SST). Modalidad: 100% Remoto en Colombia confirmado.</t>
        </is>
      </c>
      <c r="J578" s="2" t="inlineStr">
        <is>
          <t>Nueva</t>
        </is>
      </c>
      <c r="K578" s="3" t="inlineStr"/>
    </row>
    <row r="579" ht="22" customHeight="1">
      <c r="A579" s="2" t="inlineStr">
        <is>
          <t>6df905e482fe09b1</t>
        </is>
      </c>
      <c r="B579" s="2" t="inlineStr">
        <is>
          <t>2026-09-22 05:09</t>
        </is>
      </c>
      <c r="C579" s="3" t="inlineStr">
        <is>
          <t>Aprendiz SENA - Técnico(a) de Salud Ocupacional o Seguridad y Salud en el Trabajo - Ginebra</t>
        </is>
      </c>
      <c r="D579" s="3" t="inlineStr">
        <is>
          <t>Cargill</t>
        </is>
      </c>
      <c r="E579" s="8" t="n">
        <v>0.48</v>
      </c>
      <c r="F579" s="2" t="inlineStr">
        <is>
          <t>Remoto</t>
        </is>
      </c>
      <c r="G579" s="5">
        <f>HYPERLINK("https://co.linkedin.com/jobs/view/aprendiz-sena-t%C3%A9cnico-a-de-salud-ocupacional-o-seguridad-y-salud-en-el-trabajo-ginebra-at-cargill-4466994159", "Ver Vacante")</f>
        <v/>
      </c>
      <c r="H579" s="6" t="inlineStr"/>
      <c r="I579" s="3" t="inlineStr">
        <is>
          <t>[Afinidad: 48/100 - Baja Afinidad] Alta coincidencia en gestión de Seguridad y Salud en el Trabajo (SST). Modalidad: 100% Remoto en Colombia confirmado.</t>
        </is>
      </c>
      <c r="J579" s="2" t="inlineStr">
        <is>
          <t>Nueva</t>
        </is>
      </c>
      <c r="K579" s="3" t="inlineStr"/>
    </row>
    <row r="580" ht="22" customHeight="1">
      <c r="A580" s="2" t="inlineStr">
        <is>
          <t>06656fbb2d452086</t>
        </is>
      </c>
      <c r="B580" s="2" t="inlineStr">
        <is>
          <t>2026-09-22 05:09</t>
        </is>
      </c>
      <c r="C580" s="3" t="inlineStr">
        <is>
          <t>Residente de Seguridad y Salud en el trabajo</t>
        </is>
      </c>
      <c r="D580" s="3" t="inlineStr">
        <is>
          <t>Grupo Cal y Mayor</t>
        </is>
      </c>
      <c r="E580" s="8" t="n">
        <v>0.48</v>
      </c>
      <c r="F580" s="2" t="inlineStr">
        <is>
          <t>Remoto</t>
        </is>
      </c>
      <c r="G580" s="5">
        <f>HYPERLINK("https://co.linkedin.com/jobs/view/residente-de-seguridad-y-salud-en-el-trabajo-sst-at-cal-y-mayor-4468610572", "Ver Vacante")</f>
        <v/>
      </c>
      <c r="H580" s="6" t="inlineStr"/>
      <c r="I580" s="3" t="inlineStr">
        <is>
          <t>[Afinidad: 48/100 - Baja Afinidad] Alta coincidencia en gestión de Seguridad y Salud en el Trabajo (SST). Modalidad: 100% Remoto en Colombia confirmado.</t>
        </is>
      </c>
      <c r="J580" s="2" t="inlineStr">
        <is>
          <t>Nueva</t>
        </is>
      </c>
      <c r="K580" s="3" t="inlineStr"/>
    </row>
    <row r="581" ht="22" customHeight="1">
      <c r="A581" s="2" t="inlineStr">
        <is>
          <t>7796e088dce85b5a</t>
        </is>
      </c>
      <c r="B581" s="2" t="inlineStr">
        <is>
          <t>2026-09-22 05:09</t>
        </is>
      </c>
      <c r="C581" s="3" t="inlineStr">
        <is>
          <t>Civil Engineer (Fire Sprinkler Design))</t>
        </is>
      </c>
      <c r="D581" s="3" t="inlineStr">
        <is>
          <t>Hyremote</t>
        </is>
      </c>
      <c r="E581" s="8" t="n">
        <v>0.45</v>
      </c>
      <c r="F581" s="2" t="inlineStr">
        <is>
          <t>Remoto</t>
        </is>
      </c>
      <c r="G581" s="5">
        <f>HYPERLINK("https://co.computrabajo.com/ofertas-de-trabajo/oferta-de-trabajo-de-civil-engineer-fire-sprinkler-design-english-c1-remote-en-bogota-dc-A2EE61A321FC0D3361373E686DCF3405", "Ver Vacante")</f>
        <v/>
      </c>
      <c r="H581" s="6" t="inlineStr">
        <is>
          <t>$ 4.499.993,00 (Mensual)</t>
        </is>
      </c>
      <c r="I581" s="3" t="inlineStr">
        <is>
          <t>[Afinidad: 45/100 - Baja Afinidad] Afinidad en disciplina base (Ingeniera Civil Especialista en Vías y SST) sin especialidad directa en vías/SST. Modalidad: 100% Remoto en Colombia confirmado.</t>
        </is>
      </c>
      <c r="J581" s="2" t="inlineStr">
        <is>
          <t>Nueva</t>
        </is>
      </c>
      <c r="K581" s="3" t="inlineStr"/>
    </row>
    <row r="582" ht="22" customHeight="1">
      <c r="A582" s="2" t="inlineStr">
        <is>
          <t>48463526ca7c8ada</t>
        </is>
      </c>
      <c r="B582" s="2" t="inlineStr">
        <is>
          <t>2026-09-22 05:09</t>
        </is>
      </c>
      <c r="C582" s="3" t="inlineStr">
        <is>
          <t>Ingeniero Civil Especialista en Hidrología e Hidráulica</t>
        </is>
      </c>
      <c r="D582" s="3" t="inlineStr">
        <is>
          <t>ATLAS INFRASTRUCTURE DESIGN LIMITED</t>
        </is>
      </c>
      <c r="E582" s="8" t="n">
        <v>0.45</v>
      </c>
      <c r="F582" s="2" t="inlineStr">
        <is>
          <t>Remoto</t>
        </is>
      </c>
      <c r="G582" s="5">
        <f>HYPERLINK("https://co.computrabajo.com/ofertas-de-trabajo/oferta-de-trabajo-de-ingeniero-civil-especialista-en-hidrologia-e-hidraulica-tiempo-completo-en-remoto-y-de-larga-duracion-en-colombia-027FB718364F4C7761373E686DCF3405", "Ver Vacante")</f>
        <v/>
      </c>
      <c r="H582" s="6" t="inlineStr">
        <is>
          <t>Remoto</t>
        </is>
      </c>
      <c r="I582" s="3" t="inlineStr">
        <is>
          <t>[Afinidad: 45/100 - Baja Afinidad] Afinidad en disciplina base (Ingeniera Civil Especialista en Vías y SST) sin especialidad directa en vías/SST. Modalidad: 100% Remoto en Colombia confirmado.</t>
        </is>
      </c>
      <c r="J582" s="2" t="inlineStr">
        <is>
          <t>Nueva</t>
        </is>
      </c>
      <c r="K582" s="3" t="inlineStr"/>
    </row>
    <row r="583" ht="22" customHeight="1">
      <c r="A583" s="2" t="inlineStr">
        <is>
          <t>2d406567ceb21bf8</t>
        </is>
      </c>
      <c r="B583" s="2" t="inlineStr">
        <is>
          <t>2026-09-22 05:09</t>
        </is>
      </c>
      <c r="C583" s="3" t="inlineStr">
        <is>
          <t>Ingeniero Civil de Diseño</t>
        </is>
      </c>
      <c r="D583" s="3" t="inlineStr">
        <is>
          <t>ATLAS INFRASTRUCTURE DESIGN LIMITED</t>
        </is>
      </c>
      <c r="E583" s="8" t="n">
        <v>0.45</v>
      </c>
      <c r="F583" s="2" t="inlineStr">
        <is>
          <t>Remoto</t>
        </is>
      </c>
      <c r="G583" s="5">
        <f>HYPERLINK("https://co.computrabajo.com/ofertas-de-trabajo/oferta-de-trabajo-de-ingeniero-civil-de-diseno-tiempo-completo-en-remoto-en-colombia-4CB8F30B6D8FBF7261373E686DCF3405", "Ver Vacante")</f>
        <v/>
      </c>
      <c r="H583" s="6" t="inlineStr">
        <is>
          <t>Remoto</t>
        </is>
      </c>
      <c r="I583" s="3" t="inlineStr">
        <is>
          <t>[Afinidad: 45/100 - Baja Afinidad] Afinidad en disciplina base (Ingeniera Civil Especialista en Vías y SST) sin especialidad directa en vías/SST. Modalidad: 100% Remoto en Colombia confirmado.</t>
        </is>
      </c>
      <c r="J583" s="2" t="inlineStr">
        <is>
          <t>Nueva</t>
        </is>
      </c>
      <c r="K583" s="3" t="inlineStr"/>
    </row>
    <row r="584" ht="22" customHeight="1">
      <c r="A584" s="2" t="inlineStr">
        <is>
          <t>4d4013d19591d2a5</t>
        </is>
      </c>
      <c r="B584" s="2" t="inlineStr">
        <is>
          <t>2026-09-22 05:09</t>
        </is>
      </c>
      <c r="C584" s="3" t="inlineStr">
        <is>
          <t>Especialista en Salud y Seguridad en el trabajo con especialización en medio Ambiente</t>
        </is>
      </c>
      <c r="D584" s="3" t="inlineStr">
        <is>
          <t>DEXTERA S.A.S</t>
        </is>
      </c>
      <c r="E584" s="8" t="n">
        <v>0.45</v>
      </c>
      <c r="F584" s="2" t="inlineStr">
        <is>
          <t>Remoto</t>
        </is>
      </c>
      <c r="G584" s="5">
        <f>HYPERLINK("https://co.computrabajo.com/ofertas-de-trabajo/oferta-de-trabajo-de-especialista-en-salud-y-seguridad-en-el-trabajo-con-especializacion-en-medio-ambiente-en-bogota-dc-68C95C2F64D6648561373E686DCF3405", "Ver Vacante")</f>
        <v/>
      </c>
      <c r="H584" s="6" t="inlineStr"/>
      <c r="I584" s="3" t="inlineStr">
        <is>
          <t>[Afinidad: 45/100 - Baja Afinidad] Afinidad en disciplina base (Ingeniera Civil Especialista en Vías y SST) sin especialidad directa en vías/SST. Modalidad: 100% Remoto en Colombia confirmado.</t>
        </is>
      </c>
      <c r="J584" s="2" t="inlineStr">
        <is>
          <t>Nueva</t>
        </is>
      </c>
      <c r="K584" s="3" t="inlineStr"/>
    </row>
    <row r="585" ht="22" customHeight="1">
      <c r="A585" s="2" t="inlineStr">
        <is>
          <t>cf70d2ca6e5c25de</t>
        </is>
      </c>
      <c r="B585" s="2" t="inlineStr">
        <is>
          <t>2026-09-22 05:09</t>
        </is>
      </c>
      <c r="C585" s="3" t="inlineStr">
        <is>
          <t>Ingeniero civil</t>
        </is>
      </c>
      <c r="D585" s="3" t="inlineStr">
        <is>
          <t>Importante empresa del sector</t>
        </is>
      </c>
      <c r="E585" s="8" t="n">
        <v>0.45</v>
      </c>
      <c r="F585" s="2" t="inlineStr">
        <is>
          <t>Remoto</t>
        </is>
      </c>
      <c r="G585" s="5">
        <f>HYPERLINK("https://co.computrabajo.com/ofertas-de-trabajo/oferta-de-trabajo-de-ingeniero-civil-con-experiencia-en-sistemas-fotovoltaicos-en-bogota-dc-8BCBCD7DF8FE589C61373E686DCF3405", "Ver Vacante")</f>
        <v/>
      </c>
      <c r="H585" s="6" t="inlineStr">
        <is>
          <t>$ 3.300.000,00 (Mensual)</t>
        </is>
      </c>
      <c r="I585" s="3" t="inlineStr">
        <is>
          <t>[Afinidad: 45/100 - Baja Afinidad] Afinidad en disciplina base (Ingeniera Civil Especialista en Vías y SST) sin especialidad directa en vías/SST. Modalidad: 100% Remoto en Colombia confirmado.</t>
        </is>
      </c>
      <c r="J585" s="2" t="inlineStr">
        <is>
          <t>Nueva</t>
        </is>
      </c>
      <c r="K585" s="3" t="inlineStr"/>
    </row>
    <row r="586" ht="22" customHeight="1">
      <c r="A586" s="2" t="inlineStr">
        <is>
          <t>bb8237cc7ed8d56b</t>
        </is>
      </c>
      <c r="B586" s="2" t="inlineStr">
        <is>
          <t>2026-09-22 05:09</t>
        </is>
      </c>
      <c r="C586" s="3" t="inlineStr">
        <is>
          <t>Coordinador de Proyectos Mejoramientos de Vivienda</t>
        </is>
      </c>
      <c r="D586" s="3" t="inlineStr">
        <is>
          <t>Socya</t>
        </is>
      </c>
      <c r="E586" s="8" t="n">
        <v>0.45</v>
      </c>
      <c r="F586" s="2" t="inlineStr">
        <is>
          <t>Remoto</t>
        </is>
      </c>
      <c r="G586" s="5">
        <f>HYPERLINK("https://co.computrabajo.com/ofertas-de-trabajo/oferta-de-trabajo-de-coordinador-de-proyectos-mejoramientos-de-vivienda-medellin-antioquia-en-medellin-7E29781CFFD4058961373E686DCF3405", "Ver Vacante")</f>
        <v/>
      </c>
      <c r="H586" s="6" t="inlineStr"/>
      <c r="I586" s="3" t="inlineStr">
        <is>
          <t>[Afinidad: 45/100 - Baja Afinidad] Afinidad en disciplina base (Ingeniera Civil Especialista en Vías y SST) sin especialidad directa en vías/SST. Modalidad: 100% Remoto en Colombia confirmado.</t>
        </is>
      </c>
      <c r="J586" s="2" t="inlineStr">
        <is>
          <t>Nueva</t>
        </is>
      </c>
      <c r="K586" s="3" t="inlineStr"/>
    </row>
    <row r="587" ht="22" customHeight="1">
      <c r="A587" s="2" t="inlineStr">
        <is>
          <t>c41dc091e876cb10</t>
        </is>
      </c>
      <c r="B587" s="2" t="inlineStr">
        <is>
          <t>2026-09-22 05:09</t>
        </is>
      </c>
      <c r="C587" s="3" t="inlineStr">
        <is>
          <t>Especialista de Milk Collection</t>
        </is>
      </c>
      <c r="D587" s="3" t="inlineStr">
        <is>
          <t>LACTALIS</t>
        </is>
      </c>
      <c r="E587" s="8" t="n">
        <v>0.45</v>
      </c>
      <c r="F587" s="2" t="inlineStr">
        <is>
          <t>Remoto</t>
        </is>
      </c>
      <c r="G587" s="5">
        <f>HYPERLINK("https://co.computrabajo.com/ofertas-de-trabajo/oferta-de-trabajo-de-especialista-de-milk-collection-optimizacion-y-analisis-de-datos-en-bogota-dc-B007F5172FEA6F6461373E686DCF3405", "Ver Vacante")</f>
        <v/>
      </c>
      <c r="H587" s="6" t="inlineStr">
        <is>
          <t>$ 6.000.000,00 (Mensual)</t>
        </is>
      </c>
      <c r="I587" s="3" t="inlineStr">
        <is>
          <t>[Afinidad: 45/100 - Baja Afinidad] Afinidad en disciplina base (Ingeniera Civil Especialista en Vías y SST) sin especialidad directa en vías/SST. Modalidad: 100% Remoto en Colombia confirmado.</t>
        </is>
      </c>
      <c r="J587" s="2" t="inlineStr">
        <is>
          <t>Nueva</t>
        </is>
      </c>
      <c r="K587" s="3" t="inlineStr"/>
    </row>
    <row r="588" ht="22" customHeight="1">
      <c r="A588" s="2" t="inlineStr">
        <is>
          <t>4f38d6c20430e4bb</t>
        </is>
      </c>
      <c r="B588" s="2" t="inlineStr">
        <is>
          <t>2026-09-22 05:09</t>
        </is>
      </c>
      <c r="C588" s="3" t="inlineStr">
        <is>
          <t>ingeniero civil</t>
        </is>
      </c>
      <c r="D588" s="3" t="inlineStr">
        <is>
          <t>EVALTEC S.A.S.</t>
        </is>
      </c>
      <c r="E588" s="8" t="n">
        <v>0.45</v>
      </c>
      <c r="F588" s="2" t="inlineStr">
        <is>
          <t>Remoto</t>
        </is>
      </c>
      <c r="G588" s="5">
        <f>HYPERLINK("https://co.computrabajo.com/ofertas-de-trabajo/oferta-de-trabajo-de-ingeniero-civil-o-areas-afines-en-medellin-0E02F682AB12631061373E686DCF3405", "Ver Vacante")</f>
        <v/>
      </c>
      <c r="H588" s="6" t="inlineStr"/>
      <c r="I588" s="3" t="inlineStr">
        <is>
          <t>[Afinidad: 45/100 - Baja Afinidad] Afinidad en disciplina base (Ingeniera Civil Especialista en Vías y SST) sin especialidad directa en vías/SST. Modalidad: 100% Remoto en Colombia confirmado.</t>
        </is>
      </c>
      <c r="J588" s="2" t="inlineStr">
        <is>
          <t>Nueva</t>
        </is>
      </c>
      <c r="K588" s="3" t="inlineStr"/>
    </row>
    <row r="589" ht="22" customHeight="1">
      <c r="A589" s="2" t="inlineStr">
        <is>
          <t>af38dd28fbbad8f4</t>
        </is>
      </c>
      <c r="B589" s="2" t="inlineStr">
        <is>
          <t>2026-09-22 05:09</t>
        </is>
      </c>
      <c r="C589" s="3" t="inlineStr">
        <is>
          <t>Tecnólogo Auxiliar Civil</t>
        </is>
      </c>
      <c r="D589" s="3" t="inlineStr">
        <is>
          <t>Importante empresa del sector</t>
        </is>
      </c>
      <c r="E589" s="8" t="n">
        <v>0.45</v>
      </c>
      <c r="F589" s="2" t="inlineStr">
        <is>
          <t>Remoto</t>
        </is>
      </c>
      <c r="G589" s="5">
        <f>HYPERLINK("https://co.computrabajo.com/ofertas-de-trabajo/oferta-de-trabajo-de-tecnologo-auxiliar-civil-antioquia-en-liborina-B380460DDA9F98D061373E686DCF3405", "Ver Vacante")</f>
        <v/>
      </c>
      <c r="H589" s="6" t="inlineStr"/>
      <c r="I589" s="3" t="inlineStr">
        <is>
          <t>[Afinidad: 45/100 - Baja Afinidad] Afinidad en disciplina base (Ingeniera Civil Especialista en Vías y SST) sin especialidad directa en vías/SST. Modalidad: 100% Remoto en Colombia confirmado.</t>
        </is>
      </c>
      <c r="J589" s="2" t="inlineStr">
        <is>
          <t>Nueva</t>
        </is>
      </c>
      <c r="K589" s="3" t="inlineStr"/>
    </row>
    <row r="590" ht="22" customHeight="1">
      <c r="A590" s="2" t="inlineStr">
        <is>
          <t>19e74768ce848880</t>
        </is>
      </c>
      <c r="B590" s="2" t="inlineStr">
        <is>
          <t>2026-09-22 05:09</t>
        </is>
      </c>
      <c r="C590" s="3" t="inlineStr">
        <is>
          <t>Coordinador HSEQ</t>
        </is>
      </c>
      <c r="D590" s="3" t="inlineStr">
        <is>
          <t>Agencia de empleo de Comfenalco Cartagena</t>
        </is>
      </c>
      <c r="E590" s="8" t="n">
        <v>0.45</v>
      </c>
      <c r="F590" s="2" t="inlineStr">
        <is>
          <t>Remoto</t>
        </is>
      </c>
      <c r="G590" s="5">
        <f>HYPERLINK("https://co.computrabajo.com/ofertas-de-trabajo/oferta-de-trabajo-de-coordinador-hseq-especialista-en-seguridad-y-salud-en-el-trabajo-salud-ocupacional-en-cartagena-de-indias-1EAF6570FC054C2661373E686DCF3405", "Ver Vacante")</f>
        <v/>
      </c>
      <c r="H590" s="6" t="inlineStr">
        <is>
          <t>$ 2.500.000,00 (Mensual)</t>
        </is>
      </c>
      <c r="I590" s="3" t="inlineStr">
        <is>
          <t>[Afinidad: 45/100 - Baja Afinidad] Afinidad parcial en seguridad y salud ocupacional. Modalidad: 100% Remoto en Colombia confirmado.</t>
        </is>
      </c>
      <c r="J590" s="2" t="inlineStr">
        <is>
          <t>Nueva</t>
        </is>
      </c>
      <c r="K590" s="3" t="inlineStr"/>
    </row>
    <row r="591" ht="22" customHeight="1">
      <c r="A591" s="2" t="inlineStr">
        <is>
          <t>38c9a9481706de58</t>
        </is>
      </c>
      <c r="B591" s="2" t="inlineStr">
        <is>
          <t>2026-09-22 05:09</t>
        </is>
      </c>
      <c r="C591" s="3" t="inlineStr">
        <is>
          <t>Coordinador de seguridad vial y monitoreo</t>
        </is>
      </c>
      <c r="D591" s="3" t="inlineStr">
        <is>
          <t>MEGACOMERCIAL S.A.S</t>
        </is>
      </c>
      <c r="E591" s="8" t="n">
        <v>0.45</v>
      </c>
      <c r="F591" s="2" t="inlineStr">
        <is>
          <t>Remoto</t>
        </is>
      </c>
      <c r="G591" s="5">
        <f>HYPERLINK("https://co.computrabajo.com/ofertas-de-trabajo/oferta-de-trabajo-de-coordinador-de-seguridad-vial-y-monitoreo-abierto-a-nivel-nacional-en-bogota-dc-B9B593A780889F2A61373E686DCF3405", "Ver Vacante")</f>
        <v/>
      </c>
      <c r="H591" s="6" t="inlineStr">
        <is>
          <t>$ 5.000.000,00 (Mensual)</t>
        </is>
      </c>
      <c r="I591" s="3" t="inlineStr">
        <is>
          <t>[Afinidad: 45/100 - Baja Afinidad] Afinidad parcial en infraestructura vial y transporte. Modalidad: 100% Remoto en Colombia confirmado.</t>
        </is>
      </c>
      <c r="J591" s="2" t="inlineStr">
        <is>
          <t>Nueva</t>
        </is>
      </c>
      <c r="K591" s="3" t="inlineStr"/>
    </row>
    <row r="592" ht="22" customHeight="1">
      <c r="A592" s="2" t="inlineStr">
        <is>
          <t>aecc6c18fdd71383</t>
        </is>
      </c>
      <c r="B592" s="2" t="inlineStr">
        <is>
          <t>2026-09-22 05:09</t>
        </is>
      </c>
      <c r="C592" s="3" t="inlineStr">
        <is>
          <t>Coordinador de PESV</t>
        </is>
      </c>
      <c r="D592" s="3" t="inlineStr">
        <is>
          <t>Agencia de Empleo de Comfenalco Antioquia</t>
        </is>
      </c>
      <c r="E592" s="8" t="n">
        <v>0.45</v>
      </c>
      <c r="F592" s="2" t="inlineStr">
        <is>
          <t>Remoto</t>
        </is>
      </c>
      <c r="G592" s="5">
        <f>HYPERLINK("https://co.computrabajo.com/ofertas-de-trabajo/oferta-de-trabajo-de-coordinador-de-pesv-en-medellin-67C3B78E9A85885161373E686DCF3405", "Ver Vacante")</f>
        <v/>
      </c>
      <c r="H592" s="6" t="inlineStr">
        <is>
          <t>$ 2.800.000,00 (Mensual)</t>
        </is>
      </c>
      <c r="I592" s="3" t="inlineStr">
        <is>
          <t>[Afinidad: 45/100 - Baja Afinidad] Afinidad parcial en infraestructura vial y transporte. Modalidad: 100% Remoto en Colombia confirmado.</t>
        </is>
      </c>
      <c r="J592" s="2" t="inlineStr">
        <is>
          <t>Nueva</t>
        </is>
      </c>
      <c r="K592" s="3" t="inlineStr"/>
    </row>
    <row r="593" ht="22" customHeight="1">
      <c r="A593" s="2" t="inlineStr">
        <is>
          <t>1558fc20863bdd35</t>
        </is>
      </c>
      <c r="B593" s="2" t="inlineStr">
        <is>
          <t>2026-09-22 05:09</t>
        </is>
      </c>
      <c r="C593" s="3" t="inlineStr">
        <is>
          <t>Coordinador HSEQ</t>
        </is>
      </c>
      <c r="D593" s="3" t="inlineStr">
        <is>
          <t>COMPAÑIA DE INGENIEROS CONSTRUCTORES S.A.S.</t>
        </is>
      </c>
      <c r="E593" s="8" t="n">
        <v>0.45</v>
      </c>
      <c r="F593" s="2" t="inlineStr">
        <is>
          <t>Remoto</t>
        </is>
      </c>
      <c r="G593" s="5">
        <f>HYPERLINK("https://co.computrabajo.com/ofertas-de-trabajo/oferta-de-trabajo-de-coordinador-hseq-en-barranquilla-F4898EBB71CAF3ED61373E686DCF3405", "Ver Vacante")</f>
        <v/>
      </c>
      <c r="H593" s="6" t="inlineStr"/>
      <c r="I593" s="3" t="inlineStr">
        <is>
          <t>[Afinidad: 45/100 - Baja Afinidad] Afinidad parcial en seguridad y salud ocupacional. Modalidad: 100% Remoto en Colombia confirmado.</t>
        </is>
      </c>
      <c r="J593" s="2" t="inlineStr">
        <is>
          <t>Nueva</t>
        </is>
      </c>
      <c r="K593" s="3" t="inlineStr"/>
    </row>
    <row r="594" ht="22" customHeight="1">
      <c r="A594" s="2" t="inlineStr">
        <is>
          <t>0bf63022dc93885b</t>
        </is>
      </c>
      <c r="B594" s="2" t="inlineStr">
        <is>
          <t>2026-09-22 05:09</t>
        </is>
      </c>
      <c r="C594" s="3" t="inlineStr">
        <is>
          <t>ingeniero civil</t>
        </is>
      </c>
      <c r="D594" s="3" t="inlineStr">
        <is>
          <t>FRANCISCO ANGULO M INGENIEROS S.A.S.</t>
        </is>
      </c>
      <c r="E594" s="8" t="n">
        <v>0.45</v>
      </c>
      <c r="F594" s="2" t="inlineStr">
        <is>
          <t>Remoto</t>
        </is>
      </c>
      <c r="G594" s="5">
        <f>HYPERLINK("https://co.computrabajo.com/ofertas-de-trabajo/oferta-de-trabajo-de-ingeniero-civil-residente-de-interventoria-yo-supervision-tecnica-en-cali-D2AE78FA9B23778161373E686DCF3405", "Ver Vacante")</f>
        <v/>
      </c>
      <c r="H594" s="6" t="inlineStr"/>
      <c r="I594" s="3" t="inlineStr">
        <is>
          <t>[Afinidad: 45/100 - Baja Afinidad] Afinidad en disciplina base (Ingeniera Civil Especialista en Vías y SST) sin especialidad directa en vías/SST. Modalidad: 100% Remoto en Colombia confirmado.</t>
        </is>
      </c>
      <c r="J594" s="2" t="inlineStr">
        <is>
          <t>Nueva</t>
        </is>
      </c>
      <c r="K594" s="3" t="inlineStr"/>
    </row>
    <row r="595" ht="22" customHeight="1">
      <c r="A595" s="2" t="inlineStr">
        <is>
          <t>baa61a6e15a2de77</t>
        </is>
      </c>
      <c r="B595" s="2" t="inlineStr">
        <is>
          <t>2026-09-22 05:09</t>
        </is>
      </c>
      <c r="C595" s="3" t="inlineStr">
        <is>
          <t>Arquitecto(a) / Ingeniero(a) Civil</t>
        </is>
      </c>
      <c r="D595" s="3" t="inlineStr">
        <is>
          <t>Importante empresa del sector</t>
        </is>
      </c>
      <c r="E595" s="8" t="n">
        <v>0.45</v>
      </c>
      <c r="F595" s="2" t="inlineStr">
        <is>
          <t>Remoto</t>
        </is>
      </c>
      <c r="G595" s="5">
        <f>HYPERLINK("https://co.computrabajo.com/ofertas-de-trabajo/oferta-de-trabajo-de-arquitectoa-ingenieroa-civil-en-bucaramanga-8D15AF34F304555F61373E686DCF3405", "Ver Vacante")</f>
        <v/>
      </c>
      <c r="H595" s="6" t="inlineStr"/>
      <c r="I595" s="3" t="inlineStr">
        <is>
          <t>[Afinidad: 45/100 - Baja Afinidad] Afinidad en disciplina base (Ingeniera Civil Especialista en Vías y SST) sin especialidad directa en vías/SST. Modalidad: 100% Remoto en Colombia confirmado.</t>
        </is>
      </c>
      <c r="J595" s="2" t="inlineStr">
        <is>
          <t>Nueva</t>
        </is>
      </c>
      <c r="K595" s="3" t="inlineStr"/>
    </row>
    <row r="596" ht="22" customHeight="1">
      <c r="A596" s="2" t="inlineStr">
        <is>
          <t>448d93b15d9b7dec</t>
        </is>
      </c>
      <c r="B596" s="2" t="inlineStr">
        <is>
          <t>2026-09-22 05:09</t>
        </is>
      </c>
      <c r="C596" s="3" t="inlineStr">
        <is>
          <t>Ingeniero especialista fortinet</t>
        </is>
      </c>
      <c r="D596" s="3" t="inlineStr">
        <is>
          <t>ATCG DE COLOMBIA S.A.S</t>
        </is>
      </c>
      <c r="E596" s="8" t="n">
        <v>0.45</v>
      </c>
      <c r="F596" s="2" t="inlineStr">
        <is>
          <t>Remoto</t>
        </is>
      </c>
      <c r="G596" s="5">
        <f>HYPERLINK("https://www.elempleo.com/co/ofertas-trabajo/ingeniero-especialista-fortinet-1886742914", "Ver Vacante")</f>
        <v/>
      </c>
      <c r="H596" s="6" t="inlineStr"/>
      <c r="I596" s="3" t="inlineStr">
        <is>
          <t>[Afinidad: 45/100 - Baja Afinidad] Afinidad en disciplina base (Ingeniera Civil Especialista en Vías y SST) sin especialidad directa en vías/SST. Modalidad: 100% Remoto en Colombia confirmado.</t>
        </is>
      </c>
      <c r="J596" s="2" t="inlineStr">
        <is>
          <t>Nueva</t>
        </is>
      </c>
      <c r="K596" s="3" t="inlineStr"/>
    </row>
    <row r="597" ht="22" customHeight="1">
      <c r="A597" s="2" t="inlineStr">
        <is>
          <t>f2fc6f9471f81665</t>
        </is>
      </c>
      <c r="B597" s="2" t="inlineStr">
        <is>
          <t>2026-09-22 05:09</t>
        </is>
      </c>
      <c r="C597" s="3" t="inlineStr">
        <is>
          <t>Coordinador/a nacional de redes e infraestructura de ti - presencial bucaramanga</t>
        </is>
      </c>
      <c r="D597" s="3" t="inlineStr">
        <is>
          <t>Confidencial</t>
        </is>
      </c>
      <c r="E597" s="8" t="n">
        <v>0.45</v>
      </c>
      <c r="F597" s="2" t="inlineStr">
        <is>
          <t>Remoto</t>
        </is>
      </c>
      <c r="G597" s="5">
        <f>HYPERLINK("https://www.elempleo.com/co/ofertas-trabajo/coordinador-a-nacional-de-redes-e-infraestructura-de-ti-presencial-bucaramanga-1886769481", "Ver Vacante")</f>
        <v/>
      </c>
      <c r="H597" s="6" t="inlineStr"/>
      <c r="I597" s="3" t="inlineStr">
        <is>
          <t>[Afinidad: 45/100 - Baja Afinidad] Afinidad parcial en infraestructura vial y transporte. Modalidad: 100% Remoto en Colombia confirmado.</t>
        </is>
      </c>
      <c r="J597" s="2" t="inlineStr">
        <is>
          <t>Nueva</t>
        </is>
      </c>
      <c r="K597" s="3" t="inlineStr"/>
    </row>
    <row r="598" ht="22" customHeight="1">
      <c r="A598" s="2" t="inlineStr">
        <is>
          <t>53e1a775996a36c5</t>
        </is>
      </c>
      <c r="B598" s="2" t="inlineStr">
        <is>
          <t>2026-09-22 05:09</t>
        </is>
      </c>
      <c r="C598" s="3" t="inlineStr">
        <is>
          <t>Ingeniero civil</t>
        </is>
      </c>
      <c r="D598" s="3" t="inlineStr">
        <is>
          <t>Proyectos de Diseño y Construccion sas</t>
        </is>
      </c>
      <c r="E598" s="8" t="n">
        <v>0.45</v>
      </c>
      <c r="F598" s="2" t="inlineStr">
        <is>
          <t>Remoto</t>
        </is>
      </c>
      <c r="G598" s="5">
        <f>HYPERLINK("https://www.elempleo.com/co/ofertas-trabajo/ingeniero-civil-1886757049", "Ver Vacante")</f>
        <v/>
      </c>
      <c r="H598" s="6" t="inlineStr"/>
      <c r="I598" s="3" t="inlineStr">
        <is>
          <t>[Afinidad: 45/100 - Baja Afinidad] Afinidad en disciplina base (Ingeniera Civil Especialista en Vías y SST) sin especialidad directa en vías/SST. Modalidad: 100% Remoto en Colombia confirmado.</t>
        </is>
      </c>
      <c r="J598" s="2" t="inlineStr">
        <is>
          <t>Nueva</t>
        </is>
      </c>
      <c r="K598" s="3" t="inlineStr"/>
    </row>
    <row r="599" ht="22" customHeight="1">
      <c r="A599" s="2" t="inlineStr">
        <is>
          <t>1072d76e2f18ea50</t>
        </is>
      </c>
      <c r="B599" s="2" t="inlineStr">
        <is>
          <t>2026-09-22 05:09</t>
        </is>
      </c>
      <c r="C599" s="3" t="inlineStr">
        <is>
          <t>Ingeniero civil</t>
        </is>
      </c>
      <c r="D599" s="3" t="inlineStr">
        <is>
          <t>R2P SOLUCIONES Y CONSTRUCCIONES SAS</t>
        </is>
      </c>
      <c r="E599" s="8" t="n">
        <v>0.45</v>
      </c>
      <c r="F599" s="2" t="inlineStr">
        <is>
          <t>Remoto</t>
        </is>
      </c>
      <c r="G599" s="5">
        <f>HYPERLINK("https://www.elempleo.com/co/ofertas-trabajo/ingeniero-civil-1886758475", "Ver Vacante")</f>
        <v/>
      </c>
      <c r="H599" s="6" t="inlineStr"/>
      <c r="I599" s="3" t="inlineStr">
        <is>
          <t>[Afinidad: 45/100 - Baja Afinidad] Afinidad en disciplina base (Ingeniera Civil Especialista en Vías y SST) sin especialidad directa en vías/SST. Modalidad: 100% Remoto en Colombia confirmado.</t>
        </is>
      </c>
      <c r="J599" s="2" t="inlineStr">
        <is>
          <t>Nueva</t>
        </is>
      </c>
      <c r="K599" s="3" t="inlineStr"/>
    </row>
    <row r="600" ht="22" customHeight="1">
      <c r="A600" s="2" t="inlineStr">
        <is>
          <t>2c943591cc334f5a</t>
        </is>
      </c>
      <c r="B600" s="2" t="inlineStr">
        <is>
          <t>2026-09-22 05:09</t>
        </is>
      </c>
      <c r="C600" s="3" t="inlineStr">
        <is>
          <t>Ejecutivo/ade ingeniera</t>
        </is>
      </c>
      <c r="D600" s="3" t="inlineStr">
        <is>
          <t>Confidencial</t>
        </is>
      </c>
      <c r="E600" s="8" t="n">
        <v>0.45</v>
      </c>
      <c r="F600" s="2" t="inlineStr">
        <is>
          <t>Remoto</t>
        </is>
      </c>
      <c r="G600" s="5">
        <f>HYPERLINK("https://www.elempleo.com/co/ofertas-trabajo/ejecutivo-ade-ingeniera-1886752134", "Ver Vacante")</f>
        <v/>
      </c>
      <c r="H600" s="6" t="inlineStr"/>
      <c r="I600" s="3" t="inlineStr">
        <is>
          <t>[Afinidad: 45/100 - Baja Afinidad] Afinidad en disciplina base (Ingeniera Civil Especialista en Vías y SST) sin especialidad directa en vías/SST. Modalidad: 100% Remoto en Colombia confirmado.</t>
        </is>
      </c>
      <c r="J600" s="2" t="inlineStr">
        <is>
          <t>Nueva</t>
        </is>
      </c>
      <c r="K600" s="3" t="inlineStr"/>
    </row>
    <row r="601" ht="22" customHeight="1">
      <c r="A601" s="2" t="inlineStr">
        <is>
          <t>7d4067502e572780</t>
        </is>
      </c>
      <c r="B601" s="2" t="inlineStr">
        <is>
          <t>2026-09-22 05:09</t>
        </is>
      </c>
      <c r="C601" s="3" t="inlineStr">
        <is>
          <t>Ingeniera de ventas - cali</t>
        </is>
      </c>
      <c r="D601" s="3" t="inlineStr">
        <is>
          <t>PIPOL EXPERT SAS</t>
        </is>
      </c>
      <c r="E601" s="8" t="n">
        <v>0.45</v>
      </c>
      <c r="F601" s="2" t="inlineStr">
        <is>
          <t>Remoto</t>
        </is>
      </c>
      <c r="G601" s="5">
        <f>HYPERLINK("https://www.elempleo.com/co/ofertas-trabajo/ingeniera-de-ventas-cali-1886754430", "Ver Vacante")</f>
        <v/>
      </c>
      <c r="H601" s="6" t="inlineStr"/>
      <c r="I601" s="3" t="inlineStr">
        <is>
          <t>[Afinidad: 45/100 - Baja Afinidad] Afinidad en disciplina base (Ingeniera Civil Especialista en Vías y SST) sin especialidad directa en vías/SST. Modalidad: 100% Remoto en Colombia confirmado.</t>
        </is>
      </c>
      <c r="J601" s="2" t="inlineStr">
        <is>
          <t>Nueva</t>
        </is>
      </c>
      <c r="K601" s="3" t="inlineStr"/>
    </row>
    <row r="602" ht="22" customHeight="1">
      <c r="A602" s="2" t="inlineStr">
        <is>
          <t>a3a688084650de1c</t>
        </is>
      </c>
      <c r="B602" s="2" t="inlineStr">
        <is>
          <t>2026-09-22 05:09</t>
        </is>
      </c>
      <c r="C602" s="3" t="inlineStr">
        <is>
          <t>Ingeniera comercial electrica - cali</t>
        </is>
      </c>
      <c r="D602" s="3" t="inlineStr">
        <is>
          <t>PIPOL EXPERT SAS</t>
        </is>
      </c>
      <c r="E602" s="8" t="n">
        <v>0.45</v>
      </c>
      <c r="F602" s="2" t="inlineStr">
        <is>
          <t>Remoto</t>
        </is>
      </c>
      <c r="G602" s="5">
        <f>HYPERLINK("https://www.elempleo.com/co/ofertas-trabajo/ingeniera-comercial-electrica-cali-1886752104", "Ver Vacante")</f>
        <v/>
      </c>
      <c r="H602" s="6" t="inlineStr"/>
      <c r="I602" s="3" t="inlineStr">
        <is>
          <t>[Afinidad: 45/100 - Baja Afinidad] Afinidad en disciplina base (Ingeniera Civil Especialista en Vías y SST) sin especialidad directa en vías/SST. Modalidad: 100% Remoto en Colombia confirmado.</t>
        </is>
      </c>
      <c r="J602" s="2" t="inlineStr">
        <is>
          <t>Nueva</t>
        </is>
      </c>
      <c r="K602" s="3" t="inlineStr"/>
    </row>
    <row r="603" ht="22" customHeight="1">
      <c r="A603" s="2" t="inlineStr">
        <is>
          <t>359d47915a2e74e6</t>
        </is>
      </c>
      <c r="B603" s="2" t="inlineStr">
        <is>
          <t>2026-09-22 05:09</t>
        </is>
      </c>
      <c r="C603" s="3" t="inlineStr">
        <is>
          <t>Supervisor civil - obra</t>
        </is>
      </c>
      <c r="D603" s="3" t="inlineStr">
        <is>
          <t>CONCONCRETO S.A.</t>
        </is>
      </c>
      <c r="E603" s="8" t="n">
        <v>0.45</v>
      </c>
      <c r="F603" s="2" t="inlineStr">
        <is>
          <t>Remoto</t>
        </is>
      </c>
      <c r="G603" s="5">
        <f>HYPERLINK("https://www.elempleo.com/co/ofertas-trabajo/supervisor-civil-obra-1886750435", "Ver Vacante")</f>
        <v/>
      </c>
      <c r="H603" s="6" t="inlineStr"/>
      <c r="I603" s="3" t="inlineStr">
        <is>
          <t>[Afinidad: 45/100 - Baja Afinidad] Afinidad en disciplina base (Ingeniera Civil Especialista en Vías y SST) sin especialidad directa en vías/SST. Modalidad: 100% Remoto en Colombia confirmado.</t>
        </is>
      </c>
      <c r="J603" s="2" t="inlineStr">
        <is>
          <t>Nueva</t>
        </is>
      </c>
      <c r="K603" s="3" t="inlineStr"/>
    </row>
    <row r="604" ht="22" customHeight="1">
      <c r="A604" s="2" t="inlineStr">
        <is>
          <t>78244d2897084f6a</t>
        </is>
      </c>
      <c r="B604" s="2" t="inlineStr">
        <is>
          <t>2026-09-22 05:09</t>
        </is>
      </c>
      <c r="C604" s="3" t="inlineStr">
        <is>
          <t>Ingeniera comercial sector industrial - cali</t>
        </is>
      </c>
      <c r="D604" s="3" t="inlineStr">
        <is>
          <t>PIPOL EXPERT SAS</t>
        </is>
      </c>
      <c r="E604" s="8" t="n">
        <v>0.45</v>
      </c>
      <c r="F604" s="2" t="inlineStr">
        <is>
          <t>Remoto</t>
        </is>
      </c>
      <c r="G604" s="5">
        <f>HYPERLINK("https://www.elempleo.com/co/ofertas-trabajo/ingeniera-comercial-sector-industrial-cali-1886753949", "Ver Vacante")</f>
        <v/>
      </c>
      <c r="H604" s="6" t="inlineStr"/>
      <c r="I604" s="3" t="inlineStr">
        <is>
          <t>[Afinidad: 45/100 - Baja Afinidad] Afinidad en disciplina base (Ingeniera Civil Especialista en Vías y SST) sin especialidad directa en vías/SST. Modalidad: 100% Remoto en Colombia confirmado.</t>
        </is>
      </c>
      <c r="J604" s="2" t="inlineStr">
        <is>
          <t>Nueva</t>
        </is>
      </c>
      <c r="K604" s="3" t="inlineStr"/>
    </row>
    <row r="605" ht="22" customHeight="1">
      <c r="A605" s="2" t="inlineStr">
        <is>
          <t>a4d1239b8910f7cf</t>
        </is>
      </c>
      <c r="B605" s="2" t="inlineStr">
        <is>
          <t>2026-09-22 05:09</t>
        </is>
      </c>
      <c r="C605" s="3" t="inlineStr">
        <is>
          <t>Ingeniera electrica comercial - bogotá</t>
        </is>
      </c>
      <c r="D605" s="3" t="inlineStr">
        <is>
          <t>PIPOL EXPERT SAS</t>
        </is>
      </c>
      <c r="E605" s="8" t="n">
        <v>0.45</v>
      </c>
      <c r="F605" s="2" t="inlineStr">
        <is>
          <t>Remoto</t>
        </is>
      </c>
      <c r="G605" s="5">
        <f>HYPERLINK("https://www.elempleo.com/co/ofertas-trabajo/ingeniera-electrica-comercial-bogota-1886756984", "Ver Vacante")</f>
        <v/>
      </c>
      <c r="H605" s="6" t="inlineStr"/>
      <c r="I605" s="3" t="inlineStr">
        <is>
          <t>[Afinidad: 45/100 - Baja Afinidad] Afinidad en disciplina base (Ingeniera Civil Especialista en Vías y SST) sin especialidad directa en vías/SST. Modalidad: 100% Remoto en Colombia confirmado.</t>
        </is>
      </c>
      <c r="J605" s="2" t="inlineStr">
        <is>
          <t>Nueva</t>
        </is>
      </c>
      <c r="K605" s="3" t="inlineStr"/>
    </row>
    <row r="606" ht="22" customHeight="1">
      <c r="A606" s="2" t="inlineStr">
        <is>
          <t>366f049dd1eaf173</t>
        </is>
      </c>
      <c r="B606" s="2" t="inlineStr">
        <is>
          <t>2026-09-22 05:09</t>
        </is>
      </c>
      <c r="C606" s="3" t="inlineStr">
        <is>
          <t>Civil engineering-in-training</t>
        </is>
      </c>
      <c r="D606" s="3" t="inlineStr">
        <is>
          <t>WSP COLOMBIA SAS</t>
        </is>
      </c>
      <c r="E606" s="8" t="n">
        <v>0.45</v>
      </c>
      <c r="F606" s="2" t="inlineStr">
        <is>
          <t>Remoto</t>
        </is>
      </c>
      <c r="G606" s="5">
        <f>HYPERLINK("https://www.elempleo.com/co/ofertas-trabajo/civil-engineeringintraining-1886759044", "Ver Vacante")</f>
        <v/>
      </c>
      <c r="H606" s="6" t="inlineStr"/>
      <c r="I606" s="3" t="inlineStr">
        <is>
          <t>[Afinidad: 45/100 - Baja Afinidad] Afinidad en disciplina base (Ingeniera Civil Especialista en Vías y SST) sin especialidad directa en vías/SST. Modalidad: 100% Remoto en Colombia confirmado.</t>
        </is>
      </c>
      <c r="J606" s="2" t="inlineStr">
        <is>
          <t>Nueva</t>
        </is>
      </c>
      <c r="K606" s="3" t="inlineStr"/>
    </row>
    <row r="607" ht="22" customHeight="1">
      <c r="A607" s="2" t="inlineStr">
        <is>
          <t>555a755e56fc6a80</t>
        </is>
      </c>
      <c r="B607" s="2" t="inlineStr">
        <is>
          <t>2026-09-22 05:09</t>
        </is>
      </c>
      <c r="C607" s="3" t="inlineStr">
        <is>
          <t>Civil engineering-in-training</t>
        </is>
      </c>
      <c r="D607" s="3" t="inlineStr">
        <is>
          <t>WSP COLOMBIA SAS</t>
        </is>
      </c>
      <c r="E607" s="8" t="n">
        <v>0.45</v>
      </c>
      <c r="F607" s="2" t="inlineStr">
        <is>
          <t>Remoto</t>
        </is>
      </c>
      <c r="G607" s="5">
        <f>HYPERLINK("https://www.elempleo.com/co/ofertas-trabajo/civil-engineeringintraining-1886758755", "Ver Vacante")</f>
        <v/>
      </c>
      <c r="H607" s="6" t="inlineStr"/>
      <c r="I607" s="3" t="inlineStr">
        <is>
          <t>[Afinidad: 45/100 - Baja Afinidad] Afinidad en disciplina base (Ingeniera Civil Especialista en Vías y SST) sin especialidad directa en vías/SST. Modalidad: 100% Remoto en Colombia confirmado.</t>
        </is>
      </c>
      <c r="J607" s="2" t="inlineStr">
        <is>
          <t>Nueva</t>
        </is>
      </c>
      <c r="K607" s="3" t="inlineStr"/>
    </row>
    <row r="608" ht="22" customHeight="1">
      <c r="A608" s="2" t="inlineStr">
        <is>
          <t>776483d4ec602e40</t>
        </is>
      </c>
      <c r="B608" s="2" t="inlineStr">
        <is>
          <t>2026-09-22 05:09</t>
        </is>
      </c>
      <c r="C608" s="3" t="inlineStr">
        <is>
          <t>Consultor senior sap pm - remoto colombia</t>
        </is>
      </c>
      <c r="D608" s="3" t="inlineStr">
        <is>
          <t>TALYCAP GLOBAL SAS</t>
        </is>
      </c>
      <c r="E608" s="8" t="n">
        <v>0.45</v>
      </c>
      <c r="F608" s="2" t="inlineStr">
        <is>
          <t>Remoto</t>
        </is>
      </c>
      <c r="G608" s="5">
        <f>HYPERLINK("https://www.elempleo.com/co/ofertas-trabajo/consultor-senior-sap-pm-remoto-colombia-1886747903", "Ver Vacante")</f>
        <v/>
      </c>
      <c r="H608" s="6" t="inlineStr"/>
      <c r="I608" s="3" t="inlineStr">
        <is>
          <t>[Afinidad: 45/100 - Baja Afinidad] Afinidad en disciplina base (Ingeniera Civil Especialista en Vías y SST) sin especialidad directa en vías/SST. Modalidad: 100% Remoto en Colombia confirmado.</t>
        </is>
      </c>
      <c r="J608" s="2" t="inlineStr">
        <is>
          <t>Nueva</t>
        </is>
      </c>
      <c r="K608" s="3" t="inlineStr"/>
    </row>
    <row r="609" ht="22" customHeight="1">
      <c r="A609" s="2" t="inlineStr">
        <is>
          <t>b1cfe269bbc00011</t>
        </is>
      </c>
      <c r="B609" s="2" t="inlineStr">
        <is>
          <t>2026-09-22 05:09</t>
        </is>
      </c>
      <c r="C609" s="3" t="inlineStr">
        <is>
          <t>Coordinador de interventoría</t>
        </is>
      </c>
      <c r="D609" s="3" t="inlineStr">
        <is>
          <t>Confidencial</t>
        </is>
      </c>
      <c r="E609" s="8" t="n">
        <v>0.45</v>
      </c>
      <c r="F609" s="2" t="inlineStr">
        <is>
          <t>Remoto</t>
        </is>
      </c>
      <c r="G609" s="5">
        <f>HYPERLINK("https://www.elempleo.com/co/ofertas-trabajo/coordinador-de-interventoria-1886751671", "Ver Vacante")</f>
        <v/>
      </c>
      <c r="H609" s="6" t="inlineStr"/>
      <c r="I609" s="3" t="inlineStr">
        <is>
          <t>[Afinidad: 45/100 - Baja Afinidad] Afinidad en disciplina base (Ingeniera Civil Especialista en Vías y SST) sin especialidad directa en vías/SST. Modalidad: 100% Remoto en Colombia confirmado.</t>
        </is>
      </c>
      <c r="J609" s="2" t="inlineStr">
        <is>
          <t>Nueva</t>
        </is>
      </c>
      <c r="K609" s="3" t="inlineStr"/>
    </row>
    <row r="610" ht="22" customHeight="1">
      <c r="A610" s="2" t="inlineStr">
        <is>
          <t>b7a3423e1ee1e624</t>
        </is>
      </c>
      <c r="B610" s="2" t="inlineStr">
        <is>
          <t>2026-09-22 05:09</t>
        </is>
      </c>
      <c r="C610" s="3" t="inlineStr">
        <is>
          <t>Especialista en urbanismo - proyecto vial</t>
        </is>
      </c>
      <c r="D610" s="3" t="inlineStr">
        <is>
          <t>INGEPLAN.CO SAS EMPRESA DE BENEFICIO E INTERES COLECTIVO BIC</t>
        </is>
      </c>
      <c r="E610" s="8" t="n">
        <v>0.45</v>
      </c>
      <c r="F610" s="2" t="inlineStr">
        <is>
          <t>Remoto</t>
        </is>
      </c>
      <c r="G610" s="5">
        <f>HYPERLINK("https://www.elempleo.com/co/ofertas-trabajo/especialista-en-urbanismo-proyecto-vial-1886755827", "Ver Vacante")</f>
        <v/>
      </c>
      <c r="H610" s="6" t="inlineStr"/>
      <c r="I610" s="3" t="inlineStr">
        <is>
          <t>[Afinidad: 45/100 - Baja Afinidad] Afinidad en disciplina base (Ingeniera Civil Especialista en Vías y SST) sin especialidad directa en vías/SST. Modalidad: 100% Remoto en Colombia confirmado.</t>
        </is>
      </c>
      <c r="J610" s="2" t="inlineStr">
        <is>
          <t>Nueva</t>
        </is>
      </c>
      <c r="K610" s="3" t="inlineStr"/>
    </row>
    <row r="611" ht="22" customHeight="1">
      <c r="A611" s="2" t="inlineStr">
        <is>
          <t>fcb39d755657052e</t>
        </is>
      </c>
      <c r="B611" s="2" t="inlineStr">
        <is>
          <t>2026-09-22 05:09</t>
        </is>
      </c>
      <c r="C611" s="3" t="inlineStr">
        <is>
          <t>Coordinador hseq</t>
        </is>
      </c>
      <c r="D611" s="3" t="inlineStr">
        <is>
          <t>Confidencial</t>
        </is>
      </c>
      <c r="E611" s="8" t="n">
        <v>0.45</v>
      </c>
      <c r="F611" s="2" t="inlineStr">
        <is>
          <t>Remoto</t>
        </is>
      </c>
      <c r="G611" s="5">
        <f>HYPERLINK("https://www.elempleo.com/co/ofertas-trabajo/coordinador-hseq-1886747304", "Ver Vacante")</f>
        <v/>
      </c>
      <c r="H611" s="6" t="inlineStr"/>
      <c r="I611" s="3" t="inlineStr">
        <is>
          <t>[Afinidad: 45/100 - Baja Afinidad] Afinidad parcial en seguridad y salud ocupacional. Modalidad: 100% Remoto en Colombia confirmado.</t>
        </is>
      </c>
      <c r="J611" s="2" t="inlineStr">
        <is>
          <t>Nueva</t>
        </is>
      </c>
      <c r="K611" s="3" t="inlineStr"/>
    </row>
    <row r="612" ht="22" customHeight="1">
      <c r="A612" s="2" t="inlineStr">
        <is>
          <t>9e2f0c16f1a50983</t>
        </is>
      </c>
      <c r="B612" s="2" t="inlineStr">
        <is>
          <t>2026-09-22 05:09</t>
        </is>
      </c>
      <c r="C612" s="3" t="inlineStr">
        <is>
          <t>Coordinador hseq</t>
        </is>
      </c>
      <c r="D612" s="3" t="inlineStr">
        <is>
          <t>Confidencial</t>
        </is>
      </c>
      <c r="E612" s="8" t="n">
        <v>0.45</v>
      </c>
      <c r="F612" s="2" t="inlineStr">
        <is>
          <t>Remoto</t>
        </is>
      </c>
      <c r="G612" s="5">
        <f>HYPERLINK("https://www.elempleo.com/co/ofertas-trabajo/coordinador-hseq-1886764155", "Ver Vacante")</f>
        <v/>
      </c>
      <c r="H612" s="6" t="inlineStr"/>
      <c r="I612" s="3" t="inlineStr">
        <is>
          <t>[Afinidad: 45/100 - Baja Afinidad] Afinidad parcial en seguridad y salud ocupacional. Modalidad: 100% Remoto en Colombia confirmado.</t>
        </is>
      </c>
      <c r="J612" s="2" t="inlineStr">
        <is>
          <t>Nueva</t>
        </is>
      </c>
      <c r="K612" s="3" t="inlineStr"/>
    </row>
    <row r="613" ht="22" customHeight="1">
      <c r="A613" s="2" t="inlineStr">
        <is>
          <t>9d4d87a631d5e8b8</t>
        </is>
      </c>
      <c r="B613" s="2" t="inlineStr">
        <is>
          <t>2026-09-22 05:09</t>
        </is>
      </c>
      <c r="C613" s="3" t="inlineStr">
        <is>
          <t>Coordinador hseq</t>
        </is>
      </c>
      <c r="D613" s="3" t="inlineStr">
        <is>
          <t>Confidencial</t>
        </is>
      </c>
      <c r="E613" s="8" t="n">
        <v>0.45</v>
      </c>
      <c r="F613" s="2" t="inlineStr">
        <is>
          <t>Remoto</t>
        </is>
      </c>
      <c r="G613" s="5">
        <f>HYPERLINK("https://www.elempleo.com/co/ofertas-trabajo/coordinador-hseq-1886760733", "Ver Vacante")</f>
        <v/>
      </c>
      <c r="H613" s="6" t="inlineStr"/>
      <c r="I613" s="3" t="inlineStr">
        <is>
          <t>[Afinidad: 45/100 - Baja Afinidad] Afinidad parcial en seguridad y salud ocupacional. Modalidad: 100% Remoto en Colombia confirmado.</t>
        </is>
      </c>
      <c r="J613" s="2" t="inlineStr">
        <is>
          <t>Nueva</t>
        </is>
      </c>
      <c r="K613" s="3" t="inlineStr"/>
    </row>
    <row r="614" ht="22" customHeight="1">
      <c r="A614" s="2" t="inlineStr">
        <is>
          <t>62d6690ef260f268</t>
        </is>
      </c>
      <c r="B614" s="2" t="inlineStr">
        <is>
          <t>2026-09-22 05:09</t>
        </is>
      </c>
      <c r="C614" s="3" t="inlineStr">
        <is>
          <t>Coordinador hseq cartagena</t>
        </is>
      </c>
      <c r="D614" s="3" t="inlineStr">
        <is>
          <t>APPLUS NORCONTROL COLOMBIA LTDA</t>
        </is>
      </c>
      <c r="E614" s="8" t="n">
        <v>0.45</v>
      </c>
      <c r="F614" s="2" t="inlineStr">
        <is>
          <t>Remoto</t>
        </is>
      </c>
      <c r="G614" s="5">
        <f>HYPERLINK("https://www.elempleo.com/co/ofertas-trabajo/coordinador-hseq-cartagena-1886754661", "Ver Vacante")</f>
        <v/>
      </c>
      <c r="H614" s="6" t="inlineStr"/>
      <c r="I614" s="3" t="inlineStr">
        <is>
          <t>[Afinidad: 45/100 - Baja Afinidad] Afinidad parcial en seguridad y salud ocupacional. Modalidad: 100% Remoto en Colombia confirmado.</t>
        </is>
      </c>
      <c r="J614" s="2" t="inlineStr">
        <is>
          <t>Nueva</t>
        </is>
      </c>
      <c r="K614" s="3" t="inlineStr"/>
    </row>
    <row r="615" ht="22" customHeight="1">
      <c r="A615" s="2" t="inlineStr">
        <is>
          <t>6e57e2acbfc11d12</t>
        </is>
      </c>
      <c r="B615" s="2" t="inlineStr">
        <is>
          <t>2026-09-22 05:09</t>
        </is>
      </c>
      <c r="C615" s="3" t="inlineStr">
        <is>
          <t>Especialista sig</t>
        </is>
      </c>
      <c r="D615" s="3" t="inlineStr">
        <is>
          <t>Confidencial</t>
        </is>
      </c>
      <c r="E615" s="8" t="n">
        <v>0.45</v>
      </c>
      <c r="F615" s="2" t="inlineStr">
        <is>
          <t>Remoto</t>
        </is>
      </c>
      <c r="G615" s="5">
        <f>HYPERLINK("https://www.elempleo.com/co/ofertas-trabajo/especialista-sig-1886757094", "Ver Vacante")</f>
        <v/>
      </c>
      <c r="H615" s="6" t="inlineStr"/>
      <c r="I615" s="3" t="inlineStr">
        <is>
          <t>[Afinidad: 45/100 - Baja Afinidad] Afinidad en disciplina base (Ingeniera Civil Especialista en Vías y SST) sin especialidad directa en vías/SST. Modalidad: 100% Remoto en Colombia confirmado.</t>
        </is>
      </c>
      <c r="J615" s="2" t="inlineStr">
        <is>
          <t>Nueva</t>
        </is>
      </c>
      <c r="K615" s="3" t="inlineStr"/>
    </row>
    <row r="616" ht="22" customHeight="1">
      <c r="A616" s="2" t="inlineStr">
        <is>
          <t>11494a184e6f9290</t>
        </is>
      </c>
      <c r="B616" s="2" t="inlineStr">
        <is>
          <t>2026-09-22 05:09</t>
        </is>
      </c>
      <c r="C616" s="3" t="inlineStr">
        <is>
          <t>Especialista en ingeniería civil - coordinador técnico</t>
        </is>
      </c>
      <c r="D616" s="3" t="inlineStr">
        <is>
          <t>Confidencial</t>
        </is>
      </c>
      <c r="E616" s="8" t="n">
        <v>0.45</v>
      </c>
      <c r="F616" s="2" t="inlineStr">
        <is>
          <t>Remoto</t>
        </is>
      </c>
      <c r="G616" s="5">
        <f>HYPERLINK("https://www.elempleo.com/co/ofertas-trabajo/especialista-en-ingenieria-civil-coordinador-tecnico-honduras-1886745304", "Ver Vacante")</f>
        <v/>
      </c>
      <c r="H616" s="6" t="inlineStr"/>
      <c r="I616" s="3" t="inlineStr">
        <is>
          <t>[Afinidad: 45/100 - Baja Afinidad] Afinidad en disciplina base (Ingeniera Civil Especialista en Vías y SST) sin especialidad directa en vías/SST. Modalidad: 100% Remoto en Colombia confirmado.</t>
        </is>
      </c>
      <c r="J616" s="2" t="inlineStr">
        <is>
          <t>Nueva</t>
        </is>
      </c>
      <c r="K616" s="3" t="inlineStr"/>
    </row>
    <row r="617" ht="22" customHeight="1">
      <c r="A617" s="2" t="inlineStr">
        <is>
          <t>327c6d2b54619849</t>
        </is>
      </c>
      <c r="B617" s="2" t="inlineStr">
        <is>
          <t>2026-09-22 05:09</t>
        </is>
      </c>
      <c r="C617" s="3" t="inlineStr">
        <is>
          <t>Especialista en psiquiatría</t>
        </is>
      </c>
      <c r="D617" s="3" t="inlineStr">
        <is>
          <t>Confidencial</t>
        </is>
      </c>
      <c r="E617" s="8" t="n">
        <v>0.45</v>
      </c>
      <c r="F617" s="2" t="inlineStr">
        <is>
          <t>Remoto</t>
        </is>
      </c>
      <c r="G617" s="5">
        <f>HYPERLINK("https://www.elempleo.com/co/ofertas-trabajo/especialista-en-psiquiatria-1886757353", "Ver Vacante")</f>
        <v/>
      </c>
      <c r="H617" s="6" t="inlineStr"/>
      <c r="I617" s="3" t="inlineStr">
        <is>
          <t>[Afinidad: 45/100 - Baja Afinidad] Afinidad en disciplina base (Ingeniera Civil Especialista en Vías y SST) sin especialidad directa en vías/SST. Modalidad: 100% Remoto en Colombia confirmado.</t>
        </is>
      </c>
      <c r="J617" s="2" t="inlineStr">
        <is>
          <t>Nueva</t>
        </is>
      </c>
      <c r="K617" s="3" t="inlineStr"/>
    </row>
    <row r="618" ht="22" customHeight="1">
      <c r="A618" s="2" t="inlineStr">
        <is>
          <t>b637f33f588eb5ae</t>
        </is>
      </c>
      <c r="B618" s="2" t="inlineStr">
        <is>
          <t>2026-09-22 05:09</t>
        </is>
      </c>
      <c r="C618" s="3" t="inlineStr">
        <is>
          <t>Especialista en diseño hospitalario</t>
        </is>
      </c>
      <c r="D618" s="3" t="inlineStr">
        <is>
          <t>Confidencial</t>
        </is>
      </c>
      <c r="E618" s="8" t="n">
        <v>0.45</v>
      </c>
      <c r="F618" s="2" t="inlineStr">
        <is>
          <t>Remoto</t>
        </is>
      </c>
      <c r="G618" s="5">
        <f>HYPERLINK("https://www.elempleo.com/co/ofertas-trabajo/especialista-en-diseno-hospitalario-disponibilidad-viajar-a-peru-1886747220", "Ver Vacante")</f>
        <v/>
      </c>
      <c r="H618" s="6" t="inlineStr"/>
      <c r="I618" s="3" t="inlineStr">
        <is>
          <t>[Afinidad: 45/100 - Baja Afinidad] Afinidad en disciplina base (Ingeniera Civil Especialista en Vías y SST) sin especialidad directa en vías/SST. Modalidad: 100% Remoto en Colombia confirmado.</t>
        </is>
      </c>
      <c r="J618" s="2" t="inlineStr">
        <is>
          <t>Nueva</t>
        </is>
      </c>
      <c r="K618" s="3" t="inlineStr"/>
    </row>
    <row r="619" ht="22" customHeight="1">
      <c r="A619" s="2" t="inlineStr">
        <is>
          <t>adcc2b47284b5d4d</t>
        </is>
      </c>
      <c r="B619" s="2" t="inlineStr">
        <is>
          <t>2026-09-22 05:09</t>
        </is>
      </c>
      <c r="C619" s="3" t="inlineStr">
        <is>
          <t>Analista de diseño e ingeniería de empaque - sector farmaceutico</t>
        </is>
      </c>
      <c r="D619" s="3" t="inlineStr">
        <is>
          <t>LABORATORIOS BUSSIE</t>
        </is>
      </c>
      <c r="E619" s="8" t="n">
        <v>0.45</v>
      </c>
      <c r="F619" s="2" t="inlineStr">
        <is>
          <t>Remoto</t>
        </is>
      </c>
      <c r="G619" s="5">
        <f>HYPERLINK("https://www.elempleo.com/co/ofertas-trabajo/analista-de-diseno-e-ingenieria-de-empaque-sector-farmaceutico-1886755492", "Ver Vacante")</f>
        <v/>
      </c>
      <c r="H619" s="6" t="inlineStr"/>
      <c r="I619" s="3" t="inlineStr">
        <is>
          <t>[Afinidad: 45/100 - Baja Afinidad] Afinidad en disciplina base (Ingeniera Civil Especialista en Vías y SST) sin especialidad directa en vías/SST. Modalidad: 100% Remoto en Colombia confirmado.</t>
        </is>
      </c>
      <c r="J619" s="2" t="inlineStr">
        <is>
          <t>Nueva</t>
        </is>
      </c>
      <c r="K619" s="3" t="inlineStr"/>
    </row>
    <row r="620" ht="22" customHeight="1">
      <c r="A620" s="2" t="inlineStr">
        <is>
          <t>3ec3d2d34753ff04</t>
        </is>
      </c>
      <c r="B620" s="2" t="inlineStr">
        <is>
          <t>2026-09-22 05:09</t>
        </is>
      </c>
      <c r="C620" s="3" t="inlineStr">
        <is>
          <t>Especialista de diseño y arquitectura</t>
        </is>
      </c>
      <c r="D620" s="3" t="inlineStr">
        <is>
          <t>INTER RAPIDISIMO</t>
        </is>
      </c>
      <c r="E620" s="8" t="n">
        <v>0.45</v>
      </c>
      <c r="F620" s="2" t="inlineStr">
        <is>
          <t>Remoto</t>
        </is>
      </c>
      <c r="G620" s="5">
        <f>HYPERLINK("https://www.elempleo.com/co/ofertas-trabajo/especialista-de-diseno-y-arquitectura-1886761909", "Ver Vacante")</f>
        <v/>
      </c>
      <c r="H620" s="6" t="inlineStr"/>
      <c r="I620" s="3" t="inlineStr">
        <is>
          <t>[Afinidad: 45/100 - Baja Afinidad] Afinidad en disciplina base (Ingeniera Civil Especialista en Vías y SST) sin especialidad directa en vías/SST. Modalidad: 100% Remoto en Colombia confirmado.</t>
        </is>
      </c>
      <c r="J620" s="2" t="inlineStr">
        <is>
          <t>Nueva</t>
        </is>
      </c>
      <c r="K620" s="3" t="inlineStr"/>
    </row>
    <row r="621" ht="22" customHeight="1">
      <c r="A621" s="2" t="inlineStr">
        <is>
          <t>4e917305e90b3efa</t>
        </is>
      </c>
      <c r="B621" s="2" t="inlineStr">
        <is>
          <t>2026-09-22 05:09</t>
        </is>
      </c>
      <c r="C621" s="3" t="inlineStr">
        <is>
          <t>Especialista en geología</t>
        </is>
      </c>
      <c r="D621" s="3" t="inlineStr">
        <is>
          <t>INGEPLAN.CO SAS EMPRESA DE BENEFICIO E INTERES COLECTIVO BIC</t>
        </is>
      </c>
      <c r="E621" s="8" t="n">
        <v>0.45</v>
      </c>
      <c r="F621" s="2" t="inlineStr">
        <is>
          <t>Remoto</t>
        </is>
      </c>
      <c r="G621" s="5">
        <f>HYPERLINK("https://www.elempleo.com/co/ofertas-trabajo/especialista-en-geologia-1886761263", "Ver Vacante")</f>
        <v/>
      </c>
      <c r="H621" s="6" t="inlineStr"/>
      <c r="I621" s="3" t="inlineStr">
        <is>
          <t>[Afinidad: 45/100 - Baja Afinidad] Afinidad en disciplina base (Ingeniera Civil Especialista en Vías y SST) sin especialidad directa en vías/SST. Modalidad: 100% Remoto en Colombia confirmado.</t>
        </is>
      </c>
      <c r="J621" s="2" t="inlineStr">
        <is>
          <t>Nueva</t>
        </is>
      </c>
      <c r="K621" s="3" t="inlineStr"/>
    </row>
    <row r="622" ht="22" customHeight="1">
      <c r="A622" s="2" t="inlineStr">
        <is>
          <t>1aef5476d70bbe42</t>
        </is>
      </c>
      <c r="B622" s="2" t="inlineStr">
        <is>
          <t>2026-09-22 05:09</t>
        </is>
      </c>
      <c r="C622" s="3" t="inlineStr">
        <is>
          <t>Especialista en geología</t>
        </is>
      </c>
      <c r="D622" s="3" t="inlineStr">
        <is>
          <t>INGEPLAN.CO SAS EMPRESA DE BENEFICIO E INTERES COLECTIVO BIC</t>
        </is>
      </c>
      <c r="E622" s="8" t="n">
        <v>0.45</v>
      </c>
      <c r="F622" s="2" t="inlineStr">
        <is>
          <t>Remoto</t>
        </is>
      </c>
      <c r="G622" s="5">
        <f>HYPERLINK("https://www.elempleo.com/co/ofertas-trabajo/especialista-en-geologia-1886755729", "Ver Vacante")</f>
        <v/>
      </c>
      <c r="H622" s="6" t="inlineStr"/>
      <c r="I622" s="3" t="inlineStr">
        <is>
          <t>[Afinidad: 45/100 - Baja Afinidad] Afinidad en disciplina base (Ingeniera Civil Especialista en Vías y SST) sin especialidad directa en vías/SST. Modalidad: 100% Remoto en Colombia confirmado.</t>
        </is>
      </c>
      <c r="J622" s="2" t="inlineStr">
        <is>
          <t>Nueva</t>
        </is>
      </c>
      <c r="K622" s="3" t="inlineStr"/>
    </row>
    <row r="623" ht="22" customHeight="1">
      <c r="A623" s="2" t="inlineStr">
        <is>
          <t>b46df3b678599255</t>
        </is>
      </c>
      <c r="B623" s="2" t="inlineStr">
        <is>
          <t>2026-09-22 05:09</t>
        </is>
      </c>
      <c r="C623" s="3" t="inlineStr">
        <is>
          <t>Especialista en estructuras</t>
        </is>
      </c>
      <c r="D623" s="3" t="inlineStr">
        <is>
          <t>Confidencial</t>
        </is>
      </c>
      <c r="E623" s="8" t="n">
        <v>0.45</v>
      </c>
      <c r="F623" s="2" t="inlineStr">
        <is>
          <t>Remoto</t>
        </is>
      </c>
      <c r="G623" s="5">
        <f>HYPERLINK("https://www.elempleo.com/co/ofertas-trabajo/especialista-en-estructuras-1886757080", "Ver Vacante")</f>
        <v/>
      </c>
      <c r="H623" s="6" t="inlineStr"/>
      <c r="I623" s="3" t="inlineStr">
        <is>
          <t>[Afinidad: 45/100 - Baja Afinidad] Afinidad en disciplina base (Ingeniera Civil Especialista en Vías y SST) sin especialidad directa en vías/SST. Modalidad: 100% Remoto en Colombia confirmado.</t>
        </is>
      </c>
      <c r="J623" s="2" t="inlineStr">
        <is>
          <t>Nueva</t>
        </is>
      </c>
      <c r="K623" s="3" t="inlineStr"/>
    </row>
    <row r="624" ht="22" customHeight="1">
      <c r="A624" s="2" t="inlineStr">
        <is>
          <t>935035bdfa2ae0b7</t>
        </is>
      </c>
      <c r="B624" s="2" t="inlineStr">
        <is>
          <t>2026-09-22 05:09</t>
        </is>
      </c>
      <c r="C624" s="3" t="inlineStr">
        <is>
          <t>Especialista en gestión del riesgo</t>
        </is>
      </c>
      <c r="D624" s="3" t="inlineStr">
        <is>
          <t>INGEPLAN.CO SAS EMPRESA DE BENEFICIO E INTERES COLECTIVO BIC</t>
        </is>
      </c>
      <c r="E624" s="8" t="n">
        <v>0.45</v>
      </c>
      <c r="F624" s="2" t="inlineStr">
        <is>
          <t>Remoto</t>
        </is>
      </c>
      <c r="G624" s="5">
        <f>HYPERLINK("https://www.elempleo.com/co/ofertas-trabajo/especialista-en-gestion-del-riesgo-1886755709", "Ver Vacante")</f>
        <v/>
      </c>
      <c r="H624" s="6" t="inlineStr"/>
      <c r="I624" s="3" t="inlineStr">
        <is>
          <t>[Afinidad: 45/100 - Baja Afinidad] Afinidad en disciplina base (Ingeniera Civil Especialista en Vías y SST) sin especialidad directa en vías/SST. Modalidad: 100% Remoto en Colombia confirmado.</t>
        </is>
      </c>
      <c r="J624" s="2" t="inlineStr">
        <is>
          <t>Nueva</t>
        </is>
      </c>
      <c r="K624" s="3" t="inlineStr"/>
    </row>
    <row r="625" ht="22" customHeight="1">
      <c r="A625" s="2" t="inlineStr">
        <is>
          <t>14a1c964238340ba</t>
        </is>
      </c>
      <c r="B625" s="2" t="inlineStr">
        <is>
          <t>2026-09-22 05:09</t>
        </is>
      </c>
      <c r="C625" s="3" t="inlineStr">
        <is>
          <t>Ingeniero civil nivel v</t>
        </is>
      </c>
      <c r="D625" s="3" t="inlineStr">
        <is>
          <t>Confidencial</t>
        </is>
      </c>
      <c r="E625" s="8" t="n">
        <v>0.45</v>
      </c>
      <c r="F625" s="2" t="inlineStr">
        <is>
          <t>Remoto</t>
        </is>
      </c>
      <c r="G625" s="5">
        <f>HYPERLINK("https://www.elempleo.com/co/ofertas-trabajo/ingeniero-civil-nivel-v-1886758046", "Ver Vacante")</f>
        <v/>
      </c>
      <c r="H625" s="6" t="inlineStr"/>
      <c r="I625" s="3" t="inlineStr">
        <is>
          <t>[Afinidad: 45/100 - Baja Afinidad] Afinidad en disciplina base (Ingeniera Civil Especialista en Vías y SST) sin especialidad directa en vías/SST. Modalidad: 100% Remoto en Colombia confirmado.</t>
        </is>
      </c>
      <c r="J625" s="2" t="inlineStr">
        <is>
          <t>Nueva</t>
        </is>
      </c>
      <c r="K625" s="3" t="inlineStr"/>
    </row>
    <row r="626" ht="22" customHeight="1">
      <c r="A626" s="2" t="inlineStr">
        <is>
          <t>740f61bdbaa69d0e</t>
        </is>
      </c>
      <c r="B626" s="2" t="inlineStr">
        <is>
          <t>2026-09-22 05:09</t>
        </is>
      </c>
      <c r="C626" s="3" t="inlineStr">
        <is>
          <t>Coordinador de proyectos bilingüe</t>
        </is>
      </c>
      <c r="D626" s="3" t="inlineStr">
        <is>
          <t>EyS IT SAS</t>
        </is>
      </c>
      <c r="E626" s="8" t="n">
        <v>0.45</v>
      </c>
      <c r="F626" s="2" t="inlineStr">
        <is>
          <t>Remoto</t>
        </is>
      </c>
      <c r="G626" s="5">
        <f>HYPERLINK("https://www.elempleo.com/co/ofertas-trabajo/coordinador-de-proyectos-bilingue-1886749343", "Ver Vacante")</f>
        <v/>
      </c>
      <c r="H626" s="6" t="inlineStr"/>
      <c r="I626" s="3" t="inlineStr">
        <is>
          <t>[Afinidad: 45/100 - Baja Afinidad] Afinidad en disciplina base (Ingeniera Civil Especialista en Vías y SST) sin especialidad directa en vías/SST. Modalidad: 100% Remoto en Colombia confirmado.</t>
        </is>
      </c>
      <c r="J626" s="2" t="inlineStr">
        <is>
          <t>Nueva</t>
        </is>
      </c>
      <c r="K626" s="3" t="inlineStr"/>
    </row>
    <row r="627" ht="22" customHeight="1">
      <c r="A627" s="2" t="inlineStr">
        <is>
          <t>63ef229552018ccd</t>
        </is>
      </c>
      <c r="B627" s="2" t="inlineStr">
        <is>
          <t>2026-09-22 05:09</t>
        </is>
      </c>
      <c r="C627" s="3" t="inlineStr">
        <is>
          <t>Coordinador de proyectos</t>
        </is>
      </c>
      <c r="D627" s="3" t="inlineStr">
        <is>
          <t>Confidencial</t>
        </is>
      </c>
      <c r="E627" s="8" t="n">
        <v>0.45</v>
      </c>
      <c r="F627" s="2" t="inlineStr">
        <is>
          <t>Remoto</t>
        </is>
      </c>
      <c r="G627" s="5">
        <f>HYPERLINK("https://www.elempleo.com/co/ofertas-trabajo/coordinador-de-proyectos-1886748647", "Ver Vacante")</f>
        <v/>
      </c>
      <c r="H627" s="6" t="inlineStr"/>
      <c r="I627" s="3" t="inlineStr">
        <is>
          <t>[Afinidad: 45/100 - Baja Afinidad] Afinidad en disciplina base (Ingeniera Civil Especialista en Vías y SST) sin especialidad directa en vías/SST. Modalidad: 100% Remoto en Colombia confirmado.</t>
        </is>
      </c>
      <c r="J627" s="2" t="inlineStr">
        <is>
          <t>Nueva</t>
        </is>
      </c>
      <c r="K627" s="3" t="inlineStr"/>
    </row>
    <row r="628" ht="22" customHeight="1">
      <c r="A628" s="2" t="inlineStr">
        <is>
          <t>03750e25a7e1c016</t>
        </is>
      </c>
      <c r="B628" s="2" t="inlineStr">
        <is>
          <t>2026-09-22 05:09</t>
        </is>
      </c>
      <c r="C628" s="3" t="inlineStr">
        <is>
          <t>Coordinador de proyectos inmobiliarios</t>
        </is>
      </c>
      <c r="D628" s="3" t="inlineStr">
        <is>
          <t>GRUPO AR S.A.</t>
        </is>
      </c>
      <c r="E628" s="8" t="n">
        <v>0.45</v>
      </c>
      <c r="F628" s="2" t="inlineStr">
        <is>
          <t>Remoto</t>
        </is>
      </c>
      <c r="G628" s="5">
        <f>HYPERLINK("https://www.elempleo.com/co/ofertas-trabajo/coordinador-de-proyectos-inmobiliarios-1886745877", "Ver Vacante")</f>
        <v/>
      </c>
      <c r="H628" s="6" t="inlineStr"/>
      <c r="I628" s="3" t="inlineStr">
        <is>
          <t>[Afinidad: 45/100 - Baja Afinidad] Afinidad en disciplina base (Ingeniera Civil Especialista en Vías y SST) sin especialidad directa en vías/SST. Modalidad: 100% Remoto en Colombia confirmado.</t>
        </is>
      </c>
      <c r="J628" s="2" t="inlineStr">
        <is>
          <t>Nueva</t>
        </is>
      </c>
      <c r="K628" s="3" t="inlineStr"/>
    </row>
    <row r="629" ht="22" customHeight="1">
      <c r="A629" s="2" t="inlineStr">
        <is>
          <t>5627e52731a73f27</t>
        </is>
      </c>
      <c r="B629" s="2" t="inlineStr">
        <is>
          <t>2026-09-22 05:09</t>
        </is>
      </c>
      <c r="C629" s="3" t="inlineStr">
        <is>
          <t>Coordinador de proyectos inmobiliarios</t>
        </is>
      </c>
      <c r="D629" s="3" t="inlineStr">
        <is>
          <t>GRUPO AR S.A.</t>
        </is>
      </c>
      <c r="E629" s="8" t="n">
        <v>0.45</v>
      </c>
      <c r="F629" s="2" t="inlineStr">
        <is>
          <t>Remoto</t>
        </is>
      </c>
      <c r="G629" s="5">
        <f>HYPERLINK("https://www.elempleo.com/co/ofertas-trabajo/coordinador-de-proyectos-inmobiliarios-1886704948", "Ver Vacante")</f>
        <v/>
      </c>
      <c r="H629" s="6" t="inlineStr"/>
      <c r="I629" s="3" t="inlineStr">
        <is>
          <t>[Afinidad: 45/100 - Baja Afinidad] Afinidad en disciplina base (Ingeniera Civil Especialista en Vías y SST) sin especialidad directa en vías/SST. Modalidad: 100% Remoto en Colombia confirmado.</t>
        </is>
      </c>
      <c r="J629" s="2" t="inlineStr">
        <is>
          <t>Nueva</t>
        </is>
      </c>
      <c r="K629" s="3" t="inlineStr"/>
    </row>
    <row r="630" ht="22" customHeight="1">
      <c r="A630" s="2" t="inlineStr">
        <is>
          <t>b6af0024900baff6</t>
        </is>
      </c>
      <c r="B630" s="2" t="inlineStr">
        <is>
          <t>2026-09-22 05:09</t>
        </is>
      </c>
      <c r="C630" s="3" t="inlineStr">
        <is>
          <t>Ingeniero residente - ingeniero civil-cordoba</t>
        </is>
      </c>
      <c r="D630" s="3" t="inlineStr">
        <is>
          <t>OBCIPOL SAS</t>
        </is>
      </c>
      <c r="E630" s="8" t="n">
        <v>0.45</v>
      </c>
      <c r="F630" s="2" t="inlineStr">
        <is>
          <t>Remoto</t>
        </is>
      </c>
      <c r="G630" s="5">
        <f>HYPERLINK("https://www.elempleo.com/co/ofertas-trabajo/ingeniero-residente-ingeniero-civilcordoba-1886763488", "Ver Vacante")</f>
        <v/>
      </c>
      <c r="H630" s="6" t="inlineStr"/>
      <c r="I630" s="3" t="inlineStr">
        <is>
          <t>[Afinidad: 45/100 - Baja Afinidad] Afinidad en disciplina base (Ingeniera Civil Especialista en Vías y SST) sin especialidad directa en vías/SST. Modalidad: 100% Remoto en Colombia confirmado.</t>
        </is>
      </c>
      <c r="J630" s="2" t="inlineStr">
        <is>
          <t>Nueva</t>
        </is>
      </c>
      <c r="K630" s="3" t="inlineStr"/>
    </row>
    <row r="631" ht="22" customHeight="1">
      <c r="A631" s="2" t="inlineStr">
        <is>
          <t>2a0453695fa88728</t>
        </is>
      </c>
      <c r="B631" s="2" t="inlineStr">
        <is>
          <t>2026-09-22 05:09</t>
        </is>
      </c>
      <c r="C631" s="3" t="inlineStr">
        <is>
          <t>Profesional ingenieria mecanica</t>
        </is>
      </c>
      <c r="D631" s="3" t="inlineStr">
        <is>
          <t>INZIGNIA CONSTRUCTION S.A</t>
        </is>
      </c>
      <c r="E631" s="8" t="n">
        <v>0.45</v>
      </c>
      <c r="F631" s="2" t="inlineStr">
        <is>
          <t>Remoto</t>
        </is>
      </c>
      <c r="G631" s="5">
        <f>HYPERLINK("https://www.elempleo.com/co/ofertas-trabajo/profesional-ingenieria-mecanica-1886767282", "Ver Vacante")</f>
        <v/>
      </c>
      <c r="H631" s="6" t="inlineStr"/>
      <c r="I631" s="3" t="inlineStr">
        <is>
          <t>[Afinidad: 45/100 - Baja Afinidad] Afinidad en disciplina base (Ingeniera Civil Especialista en Vías y SST) sin especialidad directa en vías/SST. Modalidad: 100% Remoto en Colombia confirmado.</t>
        </is>
      </c>
      <c r="J631" s="2" t="inlineStr">
        <is>
          <t>Nueva</t>
        </is>
      </c>
      <c r="K631" s="3" t="inlineStr"/>
    </row>
    <row r="632" ht="22" customHeight="1">
      <c r="A632" s="2" t="inlineStr">
        <is>
          <t>edfe98c543194667</t>
        </is>
      </c>
      <c r="B632" s="2" t="inlineStr">
        <is>
          <t>2026-09-22 05:09</t>
        </is>
      </c>
      <c r="C632" s="3" t="inlineStr">
        <is>
          <t>Jefe de sst - nemocón - 1625991634-135</t>
        </is>
      </c>
      <c r="D632" s="3" t="inlineStr">
        <is>
          <t>AGENCIA DE EMPLEO Y FOMENTO EMPRESARIAL COMPENSAR</t>
        </is>
      </c>
      <c r="E632" s="8" t="n">
        <v>0.45</v>
      </c>
      <c r="F632" s="2" t="inlineStr">
        <is>
          <t>Remoto</t>
        </is>
      </c>
      <c r="G632" s="5">
        <f>HYPERLINK("https://www.elempleo.com/co/ofertas-trabajo/jefe-de-sst-nemocon-1625991634135-1886754873", "Ver Vacante")</f>
        <v/>
      </c>
      <c r="H632" s="6" t="inlineStr"/>
      <c r="I632" s="3" t="inlineStr">
        <is>
          <t>[Afinidad: 45/100 - Baja Afinidad] Afinidad parcial en seguridad y salud ocupacional. Modalidad: 100% Remoto en Colombia confirmado.</t>
        </is>
      </c>
      <c r="J632" s="2" t="inlineStr">
        <is>
          <t>Nueva</t>
        </is>
      </c>
      <c r="K632" s="3" t="inlineStr"/>
    </row>
    <row r="633" ht="22" customHeight="1">
      <c r="A633" s="2" t="inlineStr">
        <is>
          <t>6233e93ceb1dbeed</t>
        </is>
      </c>
      <c r="B633" s="2" t="inlineStr">
        <is>
          <t>2026-09-22 05:09</t>
        </is>
      </c>
      <c r="C633" s="3" t="inlineStr">
        <is>
          <t>Jefe de sst- nemocón</t>
        </is>
      </c>
      <c r="D633" s="3" t="inlineStr">
        <is>
          <t>Confidencial</t>
        </is>
      </c>
      <c r="E633" s="8" t="n">
        <v>0.45</v>
      </c>
      <c r="F633" s="2" t="inlineStr">
        <is>
          <t>Remoto</t>
        </is>
      </c>
      <c r="G633" s="5">
        <f>HYPERLINK("https://www.elempleo.com/co/ofertas-trabajo/jefe-de-sst-nemocon-1886757757", "Ver Vacante")</f>
        <v/>
      </c>
      <c r="H633" s="6" t="inlineStr"/>
      <c r="I633" s="3" t="inlineStr">
        <is>
          <t>[Afinidad: 45/100 - Baja Afinidad] Afinidad parcial en seguridad y salud ocupacional. Modalidad: 100% Remoto en Colombia confirmado.</t>
        </is>
      </c>
      <c r="J633" s="2" t="inlineStr">
        <is>
          <t>Nueva</t>
        </is>
      </c>
      <c r="K633" s="3" t="inlineStr"/>
    </row>
    <row r="634" ht="22" customHeight="1">
      <c r="A634" s="2" t="inlineStr">
        <is>
          <t>ce75aab7a32f36a3</t>
        </is>
      </c>
      <c r="B634" s="2" t="inlineStr">
        <is>
          <t>2026-09-22 05:09</t>
        </is>
      </c>
      <c r="C634" s="3" t="inlineStr">
        <is>
          <t>Coordinador talento humano y sst - bogota- 1626427532-7</t>
        </is>
      </c>
      <c r="D634" s="3" t="inlineStr">
        <is>
          <t>AGENCIA DE EMPLEO Y FOMENTO EMPRESARIAL COMPENSAR</t>
        </is>
      </c>
      <c r="E634" s="8" t="n">
        <v>0.45</v>
      </c>
      <c r="F634" s="2" t="inlineStr">
        <is>
          <t>Remoto</t>
        </is>
      </c>
      <c r="G634" s="5">
        <f>HYPERLINK("https://www.elempleo.com/co/ofertas-trabajo/coordinador-talento-humano-y-sst-bogota-16264275327-1886753531", "Ver Vacante")</f>
        <v/>
      </c>
      <c r="H634" s="6" t="inlineStr"/>
      <c r="I634" s="3" t="inlineStr">
        <is>
          <t>[Afinidad: 45/100 - Baja Afinidad] Afinidad parcial en seguridad y salud ocupacional. Modalidad: 100% Remoto en Colombia confirmado.</t>
        </is>
      </c>
      <c r="J634" s="2" t="inlineStr">
        <is>
          <t>Nueva</t>
        </is>
      </c>
      <c r="K634" s="3" t="inlineStr"/>
    </row>
    <row r="635" ht="22" customHeight="1">
      <c r="A635" s="2" t="inlineStr">
        <is>
          <t>850731f7bb6cd73f</t>
        </is>
      </c>
      <c r="B635" s="2" t="inlineStr">
        <is>
          <t>2026-09-22 05:09</t>
        </is>
      </c>
      <c r="C635" s="3" t="inlineStr">
        <is>
          <t>Coordinador(a) de sst y medio ambiente</t>
        </is>
      </c>
      <c r="D635" s="3" t="inlineStr">
        <is>
          <t>ATIEMPO S.A.S</t>
        </is>
      </c>
      <c r="E635" s="8" t="n">
        <v>0.45</v>
      </c>
      <c r="F635" s="2" t="inlineStr">
        <is>
          <t>Remoto</t>
        </is>
      </c>
      <c r="G635" s="5">
        <f>HYPERLINK("https://www.elempleo.com/co/ofertas-trabajo/coordinadora-de-sst-y-medio-ambiente-1886759848", "Ver Vacante")</f>
        <v/>
      </c>
      <c r="H635" s="6" t="inlineStr"/>
      <c r="I635" s="3" t="inlineStr">
        <is>
          <t>[Afinidad: 45/100 - Baja Afinidad] Afinidad parcial en seguridad y salud ocupacional. Modalidad: 100% Remoto en Colombia confirmado.</t>
        </is>
      </c>
      <c r="J635" s="2" t="inlineStr">
        <is>
          <t>Nueva</t>
        </is>
      </c>
      <c r="K635" s="3" t="inlineStr"/>
    </row>
    <row r="636" ht="22" customHeight="1">
      <c r="A636" s="2" t="inlineStr">
        <is>
          <t>abaf8e513787b3f3</t>
        </is>
      </c>
      <c r="B636" s="2" t="inlineStr">
        <is>
          <t>2026-09-22 05:09</t>
        </is>
      </c>
      <c r="C636" s="3" t="inlineStr">
        <is>
          <t>Coordinador pesv</t>
        </is>
      </c>
      <c r="D636" s="3" t="inlineStr">
        <is>
          <t>Confidencial</t>
        </is>
      </c>
      <c r="E636" s="8" t="n">
        <v>0.45</v>
      </c>
      <c r="F636" s="2" t="inlineStr">
        <is>
          <t>Remoto</t>
        </is>
      </c>
      <c r="G636" s="5">
        <f>HYPERLINK("https://www.elempleo.com/co/ofertas-trabajo/coordinador-pesv-1886769643", "Ver Vacante")</f>
        <v/>
      </c>
      <c r="H636" s="6" t="inlineStr"/>
      <c r="I636" s="3" t="inlineStr">
        <is>
          <t>[Afinidad: 45/100 - Baja Afinidad] Afinidad parcial en infraestructura vial y transporte. Modalidad: 100% Remoto en Colombia confirmado.</t>
        </is>
      </c>
      <c r="J636" s="2" t="inlineStr">
        <is>
          <t>Nueva</t>
        </is>
      </c>
      <c r="K636" s="3" t="inlineStr"/>
    </row>
    <row r="637" ht="22" customHeight="1">
      <c r="A637" s="2" t="inlineStr">
        <is>
          <t>9dcdf501e5912b88</t>
        </is>
      </c>
      <c r="B637" s="2" t="inlineStr">
        <is>
          <t>2026-09-22 05:09</t>
        </is>
      </c>
      <c r="C637" s="3" t="inlineStr">
        <is>
          <t>Tecnico de obras civiles /girardot ref. 339166-82241</t>
        </is>
      </c>
      <c r="D637" s="3" t="inlineStr">
        <is>
          <t>AGENCIA DE EMPLEO Y FOMENTO EMPRESARIAL COMPENSAR</t>
        </is>
      </c>
      <c r="E637" s="8" t="n">
        <v>0.45</v>
      </c>
      <c r="F637" s="2" t="inlineStr">
        <is>
          <t>Remoto</t>
        </is>
      </c>
      <c r="G637" s="5">
        <f>HYPERLINK("https://www.elempleo.com/co/ofertas-trabajo/tecnico-de-obras-civiles-girardot-ref-33916682241-1886747302", "Ver Vacante")</f>
        <v/>
      </c>
      <c r="H637" s="6" t="inlineStr"/>
      <c r="I637" s="3" t="inlineStr">
        <is>
          <t>[Afinidad: 45/100 - Baja Afinidad] Afinidad en disciplina base (Ingeniera Civil Especialista en Vías y SST) sin especialidad directa en vías/SST. Modalidad: 100% Remoto en Colombia confirmado.</t>
        </is>
      </c>
      <c r="J637" s="2" t="inlineStr">
        <is>
          <t>Nueva</t>
        </is>
      </c>
      <c r="K637" s="3" t="inlineStr"/>
    </row>
    <row r="638" ht="22" customHeight="1">
      <c r="A638" s="2" t="inlineStr">
        <is>
          <t>693b8a076a888f67</t>
        </is>
      </c>
      <c r="B638" s="2" t="inlineStr">
        <is>
          <t>2026-09-22 05:09</t>
        </is>
      </c>
      <c r="C638" s="3" t="inlineStr">
        <is>
          <t>Ingeniero civil - especializacion en estructuras</t>
        </is>
      </c>
      <c r="D638" s="3" t="inlineStr">
        <is>
          <t>Confidencial</t>
        </is>
      </c>
      <c r="E638" s="8" t="n">
        <v>0.45</v>
      </c>
      <c r="F638" s="2" t="inlineStr">
        <is>
          <t>Remoto</t>
        </is>
      </c>
      <c r="G638" s="5">
        <f>HYPERLINK("https://www.elempleo.com/co/ofertas-trabajo/ingeniero-civil-especializacion-en-estructuras-1886766956", "Ver Vacante")</f>
        <v/>
      </c>
      <c r="H638" s="6" t="inlineStr"/>
      <c r="I638" s="3" t="inlineStr">
        <is>
          <t>[Afinidad: 45/100 - Baja Afinidad] Afinidad en disciplina base (Ingeniera Civil Especialista en Vías y SST) sin especialidad directa en vías/SST. Modalidad: 100% Remoto en Colombia confirmado.</t>
        </is>
      </c>
      <c r="J638" s="2" t="inlineStr">
        <is>
          <t>Nueva</t>
        </is>
      </c>
      <c r="K638" s="3" t="inlineStr"/>
    </row>
    <row r="639" ht="22" customHeight="1">
      <c r="A639" s="2" t="inlineStr">
        <is>
          <t>13bc527565632878</t>
        </is>
      </c>
      <c r="B639" s="2" t="inlineStr">
        <is>
          <t>2026-09-22 05:09</t>
        </is>
      </c>
      <c r="C639" s="3" t="inlineStr">
        <is>
          <t>Tecnico en contratacion de obra civil bogota</t>
        </is>
      </c>
      <c r="D639" s="3" t="inlineStr">
        <is>
          <t>Confidencial</t>
        </is>
      </c>
      <c r="E639" s="8" t="n">
        <v>0.45</v>
      </c>
      <c r="F639" s="2" t="inlineStr">
        <is>
          <t>Remoto</t>
        </is>
      </c>
      <c r="G639" s="5">
        <f>HYPERLINK("https://www.elempleo.com/co/ofertas-trabajo/tecnico-en-contratacion-de-obra-civil-bogota-1886759693", "Ver Vacante")</f>
        <v/>
      </c>
      <c r="H639" s="6" t="inlineStr"/>
      <c r="I639" s="3" t="inlineStr">
        <is>
          <t>[Afinidad: 45/100 - Baja Afinidad] Afinidad en disciplina base (Ingeniera Civil Especialista en Vías y SST) sin especialidad directa en vías/SST. Modalidad: 100% Remoto en Colombia confirmado.</t>
        </is>
      </c>
      <c r="J639" s="2" t="inlineStr">
        <is>
          <t>Nueva</t>
        </is>
      </c>
      <c r="K639" s="3" t="inlineStr"/>
    </row>
    <row r="640" ht="22" customHeight="1">
      <c r="A640" s="2" t="inlineStr">
        <is>
          <t>6ccccd3a1ba05f7f</t>
        </is>
      </c>
      <c r="B640" s="2" t="inlineStr">
        <is>
          <t>2026-09-22 05:09</t>
        </is>
      </c>
      <c r="C640" s="3" t="inlineStr">
        <is>
          <t>14561-especialista interventoria-bogota</t>
        </is>
      </c>
      <c r="D640" s="3" t="inlineStr">
        <is>
          <t>APPLUS NORCONTROL COLOMBIA LTDA</t>
        </is>
      </c>
      <c r="E640" s="8" t="n">
        <v>0.45</v>
      </c>
      <c r="F640" s="2" t="inlineStr">
        <is>
          <t>Remoto</t>
        </is>
      </c>
      <c r="G640" s="5">
        <f>HYPERLINK("https://www.elempleo.com/co/ofertas-trabajo/14561especialista-interventoriabogota-1886768886", "Ver Vacante")</f>
        <v/>
      </c>
      <c r="H640" s="6" t="inlineStr"/>
      <c r="I640" s="3" t="inlineStr">
        <is>
          <t>[Afinidad: 45/100 - Baja Afinidad] Afinidad en disciplina base (Ingeniera Civil Especialista en Vías y SST) sin especialidad directa en vías/SST. Modalidad: 100% Remoto en Colombia confirmado.</t>
        </is>
      </c>
      <c r="J640" s="2" t="inlineStr">
        <is>
          <t>Nueva</t>
        </is>
      </c>
      <c r="K640" s="3" t="inlineStr"/>
    </row>
    <row r="641" ht="22" customHeight="1">
      <c r="A641" s="2" t="inlineStr">
        <is>
          <t>8ad0c11c4f07472e</t>
        </is>
      </c>
      <c r="B641" s="2" t="inlineStr">
        <is>
          <t>2026-09-22 05:09</t>
        </is>
      </c>
      <c r="C641" s="3" t="inlineStr">
        <is>
          <t>Ingeniero Civil / Terracerías</t>
        </is>
      </c>
      <c r="D641" s="3" t="inlineStr">
        <is>
          <t>EOSOL</t>
        </is>
      </c>
      <c r="E641" s="8" t="n">
        <v>0.45</v>
      </c>
      <c r="F641" s="2" t="inlineStr">
        <is>
          <t>Remoto</t>
        </is>
      </c>
      <c r="G641" s="5">
        <f>HYPERLINK("https://co.linkedin.com/jobs/view/ingeniero-civil-terracer%C3%ADas-at-eosol-4445793534", "Ver Vacante")</f>
        <v/>
      </c>
      <c r="H641" s="6" t="inlineStr"/>
      <c r="I641" s="3" t="inlineStr">
        <is>
          <t>[Afinidad: 45/100 - Baja Afinidad] Afinidad en disciplina base (Ingeniera Civil Especialista en Vías y SST) sin especialidad directa en vías/SST. Modalidad: 100% Remoto en Colombia confirmado.</t>
        </is>
      </c>
      <c r="J641" s="2" t="inlineStr">
        <is>
          <t>Nueva</t>
        </is>
      </c>
      <c r="K641" s="3" t="inlineStr"/>
    </row>
    <row r="642" ht="22" customHeight="1">
      <c r="A642" s="2" t="inlineStr">
        <is>
          <t>ed46085f88d06bf5</t>
        </is>
      </c>
      <c r="B642" s="2" t="inlineStr">
        <is>
          <t>2026-09-22 05:09</t>
        </is>
      </c>
      <c r="C642" s="3" t="inlineStr">
        <is>
          <t>Supervisor Civil</t>
        </is>
      </c>
      <c r="D642" s="3" t="inlineStr">
        <is>
          <t>EOSOL</t>
        </is>
      </c>
      <c r="E642" s="8" t="n">
        <v>0.45</v>
      </c>
      <c r="F642" s="2" t="inlineStr">
        <is>
          <t>Remoto</t>
        </is>
      </c>
      <c r="G642" s="5">
        <f>HYPERLINK("https://co.linkedin.com/jobs/view/supervisor-civil-at-eosol-4442238964", "Ver Vacante")</f>
        <v/>
      </c>
      <c r="H642" s="6" t="inlineStr"/>
      <c r="I642" s="3" t="inlineStr">
        <is>
          <t>[Afinidad: 45/100 - Baja Afinidad] Afinidad en disciplina base (Ingeniera Civil Especialista en Vías y SST) sin especialidad directa en vías/SST. Modalidad: 100% Remoto en Colombia confirmado.</t>
        </is>
      </c>
      <c r="J642" s="2" t="inlineStr">
        <is>
          <t>Nueva</t>
        </is>
      </c>
      <c r="K642" s="3" t="inlineStr"/>
    </row>
    <row r="643" ht="22" customHeight="1">
      <c r="A643" s="2" t="inlineStr">
        <is>
          <t>dc949850c44ae2c9</t>
        </is>
      </c>
      <c r="B643" s="2" t="inlineStr">
        <is>
          <t>2026-09-22 05:09</t>
        </is>
      </c>
      <c r="C643" s="3" t="inlineStr">
        <is>
          <t>Civil Engineer</t>
        </is>
      </c>
      <c r="D643" s="3" t="inlineStr">
        <is>
          <t>Cresta</t>
        </is>
      </c>
      <c r="E643" s="8" t="n">
        <v>0.45</v>
      </c>
      <c r="F643" s="2" t="inlineStr">
        <is>
          <t>Remoto</t>
        </is>
      </c>
      <c r="G643" s="5">
        <f>HYPERLINK("https://co.linkedin.com/jobs/view/civil-engineer-at-cresta-4465582487", "Ver Vacante")</f>
        <v/>
      </c>
      <c r="H643" s="6" t="inlineStr"/>
      <c r="I643" s="3" t="inlineStr">
        <is>
          <t>[Afinidad: 45/100 - Baja Afinidad] Afinidad en disciplina base (Ingeniera Civil Especialista en Vías y SST) sin especialidad directa en vías/SST. Modalidad: 100% Remoto en Colombia confirmado.</t>
        </is>
      </c>
      <c r="J643" s="2" t="inlineStr">
        <is>
          <t>Nueva</t>
        </is>
      </c>
      <c r="K643" s="3" t="inlineStr"/>
    </row>
    <row r="644" ht="22" customHeight="1">
      <c r="A644" s="2" t="inlineStr">
        <is>
          <t>4ad1a5acabdb8ad3</t>
        </is>
      </c>
      <c r="B644" s="2" t="inlineStr">
        <is>
          <t>2026-09-22 05:09</t>
        </is>
      </c>
      <c r="C644" s="3" t="inlineStr">
        <is>
          <t>Civil BIM Specialist</t>
        </is>
      </c>
      <c r="D644" s="3" t="inlineStr">
        <is>
          <t>ENG</t>
        </is>
      </c>
      <c r="E644" s="8" t="n">
        <v>0.45</v>
      </c>
      <c r="F644" s="2" t="inlineStr">
        <is>
          <t>Remoto</t>
        </is>
      </c>
      <c r="G644" s="5">
        <f>HYPERLINK("https://co.linkedin.com/jobs/view/civil-bim-specialist-at-eng-4469886677", "Ver Vacante")</f>
        <v/>
      </c>
      <c r="H644" s="6" t="inlineStr"/>
      <c r="I644" s="3" t="inlineStr">
        <is>
          <t>[Afinidad: 45/100 - Baja Afinidad] Afinidad en disciplina base (Ingeniera Civil Especialista en Vías y SST) sin especialidad directa en vías/SST. Modalidad: 100% Remoto en Colombia confirmado.</t>
        </is>
      </c>
      <c r="J644" s="2" t="inlineStr">
        <is>
          <t>Nueva</t>
        </is>
      </c>
      <c r="K644" s="3" t="inlineStr"/>
    </row>
    <row r="645" ht="22" customHeight="1">
      <c r="A645" s="2" t="inlineStr">
        <is>
          <t>5ebaba0a0c9927fb</t>
        </is>
      </c>
      <c r="B645" s="2" t="inlineStr">
        <is>
          <t>2026-09-22 05:09</t>
        </is>
      </c>
      <c r="C645" s="3" t="inlineStr">
        <is>
          <t>Ingeniero/a Civil-Estructuras Hormigón/Acero</t>
        </is>
      </c>
      <c r="D645" s="3" t="inlineStr">
        <is>
          <t>IDOM Consulting, Engineering, Architecture</t>
        </is>
      </c>
      <c r="E645" s="8" t="n">
        <v>0.45</v>
      </c>
      <c r="F645" s="2" t="inlineStr">
        <is>
          <t>Remoto</t>
        </is>
      </c>
      <c r="G645" s="5">
        <f>HYPERLINK("https://co.linkedin.com/jobs/view/ingeniero-a-civil-estructuras-hormig%C3%B3n-acero-at-idom-consulting-engineering-architecture-4462998187", "Ver Vacante")</f>
        <v/>
      </c>
      <c r="H645" s="6" t="inlineStr"/>
      <c r="I645" s="3" t="inlineStr">
        <is>
          <t>[Afinidad: 45/100 - Baja Afinidad] Afinidad en disciplina base (Ingeniera Civil Especialista en Vías y SST) sin especialidad directa en vías/SST. Modalidad: 100% Remoto en Colombia confirmado.</t>
        </is>
      </c>
      <c r="J645" s="2" t="inlineStr">
        <is>
          <t>Nueva</t>
        </is>
      </c>
      <c r="K645" s="3" t="inlineStr"/>
    </row>
    <row r="646" ht="22" customHeight="1">
      <c r="A646" s="2" t="inlineStr">
        <is>
          <t>5c954c66c2c9d655</t>
        </is>
      </c>
      <c r="B646" s="2" t="inlineStr">
        <is>
          <t>2026-09-22 05:09</t>
        </is>
      </c>
      <c r="C646" s="3" t="inlineStr">
        <is>
          <t>Civil Engineering-in-Training</t>
        </is>
      </c>
      <c r="D646" s="3" t="inlineStr">
        <is>
          <t>WSP en Colombia</t>
        </is>
      </c>
      <c r="E646" s="8" t="n">
        <v>0.45</v>
      </c>
      <c r="F646" s="2" t="inlineStr">
        <is>
          <t>Remoto</t>
        </is>
      </c>
      <c r="G646" s="5">
        <f>HYPERLINK("https://co.linkedin.com/jobs/view/civil-engineering-in-training-french-at-wsp-en-colombia-4458430104", "Ver Vacante")</f>
        <v/>
      </c>
      <c r="H646" s="6" t="inlineStr"/>
      <c r="I646" s="3" t="inlineStr">
        <is>
          <t>[Afinidad: 45/100 - Baja Afinidad] Afinidad en disciplina base (Ingeniera Civil Especialista en Vías y SST) sin especialidad directa en vías/SST. Modalidad: 100% Remoto en Colombia confirmado.</t>
        </is>
      </c>
      <c r="J646" s="2" t="inlineStr">
        <is>
          <t>Nueva</t>
        </is>
      </c>
      <c r="K646" s="3" t="inlineStr"/>
    </row>
    <row r="647" ht="22" customHeight="1">
      <c r="A647" s="2" t="inlineStr">
        <is>
          <t>571ae2aa81fa07b5</t>
        </is>
      </c>
      <c r="B647" s="2" t="inlineStr">
        <is>
          <t>2026-09-22 05:09</t>
        </is>
      </c>
      <c r="C647" s="3" t="inlineStr">
        <is>
          <t>Civil Engineering-in-Training</t>
        </is>
      </c>
      <c r="D647" s="3" t="inlineStr">
        <is>
          <t>WSP en Colombia</t>
        </is>
      </c>
      <c r="E647" s="8" t="n">
        <v>0.45</v>
      </c>
      <c r="F647" s="2" t="inlineStr">
        <is>
          <t>Remoto</t>
        </is>
      </c>
      <c r="G647" s="5">
        <f>HYPERLINK("https://co.linkedin.com/jobs/view/civil-engineering-in-training-at-wsp-en-colombia-4458027784", "Ver Vacante")</f>
        <v/>
      </c>
      <c r="H647" s="6" t="inlineStr"/>
      <c r="I647" s="3" t="inlineStr">
        <is>
          <t>[Afinidad: 45/100 - Baja Afinidad] Afinidad en disciplina base (Ingeniera Civil Especialista en Vías y SST) sin especialidad directa en vías/SST. Modalidad: 100% Remoto en Colombia confirmado.</t>
        </is>
      </c>
      <c r="J647" s="2" t="inlineStr">
        <is>
          <t>Nueva</t>
        </is>
      </c>
      <c r="K647" s="3" t="inlineStr"/>
    </row>
    <row r="648" ht="22" customHeight="1">
      <c r="A648" s="2" t="inlineStr">
        <is>
          <t>d94bcf92627b7b99</t>
        </is>
      </c>
      <c r="B648" s="2" t="inlineStr">
        <is>
          <t>2026-09-22 05:09</t>
        </is>
      </c>
      <c r="C648" s="3" t="inlineStr">
        <is>
          <t>Ingeniero civil</t>
        </is>
      </c>
      <c r="D648" s="3" t="inlineStr">
        <is>
          <t>HMV Ingenieros</t>
        </is>
      </c>
      <c r="E648" s="8" t="n">
        <v>0.45</v>
      </c>
      <c r="F648" s="2" t="inlineStr">
        <is>
          <t>Remoto</t>
        </is>
      </c>
      <c r="G648" s="5">
        <f>HYPERLINK("https://co.linkedin.com/jobs/view/ingeniero-civil-at-hmv-ingenieros-4461715824", "Ver Vacante")</f>
        <v/>
      </c>
      <c r="H648" s="6" t="inlineStr"/>
      <c r="I648" s="3" t="inlineStr">
        <is>
          <t>[Afinidad: 45/100 - Baja Afinidad] Afinidad en disciplina base (Ingeniera Civil Especialista en Vías y SST) sin especialidad directa en vías/SST. Modalidad: 100% Remoto en Colombia confirmado.</t>
        </is>
      </c>
      <c r="J648" s="2" t="inlineStr">
        <is>
          <t>Nueva</t>
        </is>
      </c>
      <c r="K648" s="3" t="inlineStr"/>
    </row>
    <row r="649" ht="22" customHeight="1">
      <c r="A649" s="2" t="inlineStr">
        <is>
          <t>1be0a8e56fa4736b</t>
        </is>
      </c>
      <c r="B649" s="2" t="inlineStr">
        <is>
          <t>2026-09-22 05:09</t>
        </is>
      </c>
      <c r="C649" s="3" t="inlineStr">
        <is>
          <t>Civil Engineer</t>
        </is>
      </c>
      <c r="D649" s="3" t="inlineStr">
        <is>
          <t>Wood</t>
        </is>
      </c>
      <c r="E649" s="8" t="n">
        <v>0.45</v>
      </c>
      <c r="F649" s="2" t="inlineStr">
        <is>
          <t>Remoto</t>
        </is>
      </c>
      <c r="G649" s="5">
        <f>HYPERLINK("https://co.linkedin.com/jobs/view/civil-engineer-at-wood-4418961778", "Ver Vacante")</f>
        <v/>
      </c>
      <c r="H649" s="6" t="inlineStr"/>
      <c r="I649" s="3" t="inlineStr">
        <is>
          <t>[Afinidad: 45/100 - Baja Afinidad] Afinidad en disciplina base (Ingeniera Civil Especialista en Vías y SST) sin especialidad directa en vías/SST. Modalidad: 100% Remoto en Colombia confirmado.</t>
        </is>
      </c>
      <c r="J649" s="2" t="inlineStr">
        <is>
          <t>Nueva</t>
        </is>
      </c>
      <c r="K649" s="3" t="inlineStr"/>
    </row>
    <row r="650" ht="22" customHeight="1">
      <c r="A650" s="2" t="inlineStr">
        <is>
          <t>825c4e246cbd6b6b</t>
        </is>
      </c>
      <c r="B650" s="2" t="inlineStr">
        <is>
          <t>2026-09-22 05:09</t>
        </is>
      </c>
      <c r="C650" s="3" t="inlineStr">
        <is>
          <t>Civil Engineering Expert</t>
        </is>
      </c>
      <c r="D650" s="3" t="inlineStr">
        <is>
          <t>Anyone AI</t>
        </is>
      </c>
      <c r="E650" s="8" t="n">
        <v>0.45</v>
      </c>
      <c r="F650" s="2" t="inlineStr">
        <is>
          <t>Remoto</t>
        </is>
      </c>
      <c r="G650" s="5">
        <f>HYPERLINK("https://co.linkedin.com/jobs/view/civil-engineering-expert-at-anyone-ai-4462461832", "Ver Vacante")</f>
        <v/>
      </c>
      <c r="H650" s="6" t="inlineStr"/>
      <c r="I650" s="3" t="inlineStr">
        <is>
          <t>[Afinidad: 45/100 - Baja Afinidad] Afinidad en disciplina base (Ingeniera Civil Especialista en Vías y SST) sin especialidad directa en vías/SST. Modalidad: 100% Remoto en Colombia confirmado.</t>
        </is>
      </c>
      <c r="J650" s="2" t="inlineStr">
        <is>
          <t>Nueva</t>
        </is>
      </c>
      <c r="K650" s="3" t="inlineStr"/>
    </row>
    <row r="651" ht="22" customHeight="1">
      <c r="A651" s="2" t="inlineStr">
        <is>
          <t>76740179a82340ae</t>
        </is>
      </c>
      <c r="B651" s="2" t="inlineStr">
        <is>
          <t>2026-09-22 05:09</t>
        </is>
      </c>
      <c r="C651" s="3" t="inlineStr">
        <is>
          <t>Profesional en Ingeniería Civil</t>
        </is>
      </c>
      <c r="D651" s="3" t="inlineStr">
        <is>
          <t>CMH Colombia</t>
        </is>
      </c>
      <c r="E651" s="8" t="n">
        <v>0.45</v>
      </c>
      <c r="F651" s="2" t="inlineStr">
        <is>
          <t>Remoto</t>
        </is>
      </c>
      <c r="G651" s="5">
        <f>HYPERLINK("https://co.linkedin.com/jobs/view/profesional-en-ingenier%C3%ADa-civil-at-minerales-c%C3%B3rdoba-4450022471", "Ver Vacante")</f>
        <v/>
      </c>
      <c r="H651" s="6" t="inlineStr"/>
      <c r="I651" s="3" t="inlineStr">
        <is>
          <t>[Afinidad: 45/100 - Baja Afinidad] Afinidad en disciplina base (Ingeniera Civil Especialista en Vías y SST) sin especialidad directa en vías/SST. Modalidad: 100% Remoto en Colombia confirmado.</t>
        </is>
      </c>
      <c r="J651" s="2" t="inlineStr">
        <is>
          <t>Nueva</t>
        </is>
      </c>
      <c r="K651" s="3" t="inlineStr"/>
    </row>
    <row r="652" ht="22" customHeight="1">
      <c r="A652" s="2" t="inlineStr">
        <is>
          <t>5bea04b9e734c2fc</t>
        </is>
      </c>
      <c r="B652" s="2" t="inlineStr">
        <is>
          <t>2026-09-22 05:09</t>
        </is>
      </c>
      <c r="C652" s="3" t="inlineStr">
        <is>
          <t>Coordinador HSEQ</t>
        </is>
      </c>
      <c r="D652" s="3" t="inlineStr">
        <is>
          <t>ASSEMTEC</t>
        </is>
      </c>
      <c r="E652" s="8" t="n">
        <v>0.45</v>
      </c>
      <c r="F652" s="2" t="inlineStr">
        <is>
          <t>Remoto</t>
        </is>
      </c>
      <c r="G652" s="5">
        <f>HYPERLINK("https://co.linkedin.com/jobs/view/coordinador-hseq-at-assemtec-4457664932", "Ver Vacante")</f>
        <v/>
      </c>
      <c r="H652" s="6" t="inlineStr"/>
      <c r="I652" s="3" t="inlineStr">
        <is>
          <t>[Afinidad: 45/100 - Baja Afinidad] Afinidad parcial en seguridad y salud ocupacional. Modalidad: 100% Remoto en Colombia confirmado.</t>
        </is>
      </c>
      <c r="J652" s="2" t="inlineStr">
        <is>
          <t>Nueva</t>
        </is>
      </c>
      <c r="K652" s="3" t="inlineStr"/>
    </row>
    <row r="653" ht="22" customHeight="1">
      <c r="A653" s="2" t="inlineStr">
        <is>
          <t>6ba6bae2d7bfb226</t>
        </is>
      </c>
      <c r="B653" s="2" t="inlineStr">
        <is>
          <t>2026-09-22 05:09</t>
        </is>
      </c>
      <c r="C653" s="3" t="inlineStr">
        <is>
          <t>Inspector SST con Licencia, Coordinador de Alturas</t>
        </is>
      </c>
      <c r="D653" s="3" t="inlineStr">
        <is>
          <t>Asertempo Colombia S.A.S</t>
        </is>
      </c>
      <c r="E653" s="8" t="n">
        <v>0.45</v>
      </c>
      <c r="F653" s="2" t="inlineStr">
        <is>
          <t>Remoto</t>
        </is>
      </c>
      <c r="G653" s="5">
        <f>HYPERLINK("https://co.linkedin.com/jobs/view/inspector-sst-con-licencia-coordinador-de-alturas-at-asertempo-colombia-s-a-s-4464408367", "Ver Vacante")</f>
        <v/>
      </c>
      <c r="H653" s="6" t="inlineStr"/>
      <c r="I653" s="3" t="inlineStr">
        <is>
          <t>[Afinidad: 45/100 - Baja Afinidad] Afinidad parcial en seguridad y salud ocupacional. Modalidad: 100% Remoto en Colombia confirmado.</t>
        </is>
      </c>
      <c r="J653" s="2" t="inlineStr">
        <is>
          <t>Nueva</t>
        </is>
      </c>
      <c r="K653" s="3" t="inlineStr"/>
    </row>
    <row r="654" ht="22" customHeight="1">
      <c r="A654" s="2" t="inlineStr">
        <is>
          <t>0df4a63a82189896</t>
        </is>
      </c>
      <c r="B654" s="2" t="inlineStr">
        <is>
          <t>2026-09-22 05:09</t>
        </is>
      </c>
      <c r="C654" s="3" t="inlineStr">
        <is>
          <t>Especialista en Salud y Seguridad en el trabajo con especialización en medio Ambiente</t>
        </is>
      </c>
      <c r="D654" s="3" t="inlineStr">
        <is>
          <t>Dextera IT Services</t>
        </is>
      </c>
      <c r="E654" s="8" t="n">
        <v>0.45</v>
      </c>
      <c r="F654" s="2" t="inlineStr">
        <is>
          <t>Remoto</t>
        </is>
      </c>
      <c r="G654" s="5">
        <f>HYPERLINK("https://co.linkedin.com/jobs/view/especialista-en-salud-y-seguridad-en-el-trabajo-con-especializaci%C3%B3n-en-medio-ambiente-at-dextera-it-services-4464024362", "Ver Vacante")</f>
        <v/>
      </c>
      <c r="H654" s="6" t="inlineStr"/>
      <c r="I654" s="3" t="inlineStr">
        <is>
          <t>[Afinidad: 45/100 - Baja Afinidad] Afinidad en disciplina base (Ingeniera Civil Especialista en Vías y SST) sin especialidad directa en vías/SST. Modalidad: 100% Remoto en Colombia confirmado.</t>
        </is>
      </c>
      <c r="J654" s="2" t="inlineStr">
        <is>
          <t>Nueva</t>
        </is>
      </c>
      <c r="K654" s="3" t="inlineStr"/>
    </row>
    <row r="655" ht="22" customHeight="1">
      <c r="A655" s="2" t="inlineStr">
        <is>
          <t>e8e3c75915d1945c</t>
        </is>
      </c>
      <c r="B655" s="2" t="inlineStr">
        <is>
          <t>2026-09-22 05:09</t>
        </is>
      </c>
      <c r="C655" s="3" t="inlineStr">
        <is>
          <t>Coordinador (a) profesional HSEQ</t>
        </is>
      </c>
      <c r="D655" s="3" t="inlineStr">
        <is>
          <t>SD SAS</t>
        </is>
      </c>
      <c r="E655" s="8" t="n">
        <v>0.45</v>
      </c>
      <c r="F655" s="2" t="inlineStr">
        <is>
          <t>Remoto</t>
        </is>
      </c>
      <c r="G655" s="5">
        <f>HYPERLINK("https://co.linkedin.com/jobs/view/coordinador-a-profesional-hseq-at-sd-sas-4444939872", "Ver Vacante")</f>
        <v/>
      </c>
      <c r="H655" s="6" t="inlineStr"/>
      <c r="I655" s="3" t="inlineStr">
        <is>
          <t>[Afinidad: 45/100 - Baja Afinidad] Afinidad parcial en seguridad y salud ocupacional. Modalidad: 100% Remoto en Colombia confirmado.</t>
        </is>
      </c>
      <c r="J655" s="2" t="inlineStr">
        <is>
          <t>Nueva</t>
        </is>
      </c>
      <c r="K655" s="3" t="inlineStr"/>
    </row>
    <row r="656" ht="22" customHeight="1">
      <c r="A656" s="2" t="inlineStr">
        <is>
          <t>fb37fc1bf485e650</t>
        </is>
      </c>
      <c r="B656" s="2" t="inlineStr">
        <is>
          <t>2026-09-22 05:09</t>
        </is>
      </c>
      <c r="C656" s="3" t="inlineStr">
        <is>
          <t>Técnico de trazado especialista en ISTRAM</t>
        </is>
      </c>
      <c r="D656" s="3" t="inlineStr">
        <is>
          <t>EADIC</t>
        </is>
      </c>
      <c r="E656" s="8" t="n">
        <v>0.45</v>
      </c>
      <c r="F656" s="2" t="inlineStr">
        <is>
          <t>Remoto</t>
        </is>
      </c>
      <c r="G656" s="5">
        <f>HYPERLINK("https://co.linkedin.com/jobs/view/t%C3%A9cnico-de-trazado-especialista-en-istram-at-eadic-4468780158", "Ver Vacante")</f>
        <v/>
      </c>
      <c r="H656" s="6" t="inlineStr"/>
      <c r="I656" s="3" t="inlineStr">
        <is>
          <t>[Afinidad: 45/100 - Baja Afinidad] Afinidad en disciplina base (Ingeniera Civil Especialista en Vías y SST) sin especialidad directa en vías/SST. Modalidad: 100% Remoto en Colombia confirmado.</t>
        </is>
      </c>
      <c r="J656" s="2" t="inlineStr">
        <is>
          <t>Nueva</t>
        </is>
      </c>
      <c r="K656" s="3" t="inlineStr"/>
    </row>
    <row r="657" ht="22" customHeight="1">
      <c r="A657" s="2" t="inlineStr">
        <is>
          <t>0f01a66eb85a1ffd</t>
        </is>
      </c>
      <c r="B657" s="2" t="inlineStr">
        <is>
          <t>2026-09-22 05:09</t>
        </is>
      </c>
      <c r="C657" s="3" t="inlineStr">
        <is>
          <t>AUXILIAR MODELADOR BIM Y DIBUJANTE EN INGENIERÍA CIVIL</t>
        </is>
      </c>
      <c r="D657" s="3" t="inlineStr">
        <is>
          <t>Antea Group España y Latinoamérica</t>
        </is>
      </c>
      <c r="E657" s="8" t="n">
        <v>0.45</v>
      </c>
      <c r="F657" s="2" t="inlineStr">
        <is>
          <t>Remoto</t>
        </is>
      </c>
      <c r="G657" s="5">
        <f>HYPERLINK("https://co.linkedin.com/jobs/view/auxiliar-modelador-bim-y-dibujante-en-ingenier%C3%ADa-civil-at-antea-group-espa%C3%B1a-y-latinoam%C3%A9rica-4467605615", "Ver Vacante")</f>
        <v/>
      </c>
      <c r="H657" s="6" t="inlineStr"/>
      <c r="I657" s="3" t="inlineStr">
        <is>
          <t>[Afinidad: 45/100 - Baja Afinidad] Afinidad en disciplina base (Ingeniera Civil Especialista en Vías y SST) sin especialidad directa en vías/SST. Modalidad: 100% Remoto en Colombia confirmado.</t>
        </is>
      </c>
      <c r="J657" s="2" t="inlineStr">
        <is>
          <t>Nueva</t>
        </is>
      </c>
      <c r="K657" s="3" t="inlineStr"/>
    </row>
    <row r="658" ht="22" customHeight="1">
      <c r="A658" s="2" t="inlineStr">
        <is>
          <t>cba614af5ce1fc3a</t>
        </is>
      </c>
      <c r="B658" s="2" t="inlineStr">
        <is>
          <t>2026-09-22 05:09</t>
        </is>
      </c>
      <c r="C658" s="3" t="inlineStr">
        <is>
          <t>Principal Pavement Engineer - Linear Infrastructure &amp; Site Civils</t>
        </is>
      </c>
      <c r="D658" s="3" t="inlineStr">
        <is>
          <t>AECOM</t>
        </is>
      </c>
      <c r="E658" s="8" t="n">
        <v>0.45</v>
      </c>
      <c r="F658" s="2" t="inlineStr">
        <is>
          <t>Remoto</t>
        </is>
      </c>
      <c r="G658" s="5">
        <f>HYPERLINK("https://co.linkedin.com/jobs/view/principal-pavement-engineer-linear-infrastructure-site-civils-at-aecom-4403657428", "Ver Vacante")</f>
        <v/>
      </c>
      <c r="H658" s="6" t="inlineStr"/>
      <c r="I658" s="3" t="inlineStr">
        <is>
          <t>[Afinidad: 45/100 - Baja Afinidad] Afinidad en disciplina base (Ingeniera Civil Especialista en Vías y SST) sin especialidad directa en vías/SST. Modalidad: 100% Remoto en Colombia confirmado.</t>
        </is>
      </c>
      <c r="J658" s="2" t="inlineStr">
        <is>
          <t>Nueva</t>
        </is>
      </c>
      <c r="K658" s="3" t="inlineStr"/>
    </row>
    <row r="659" ht="22" customHeight="1">
      <c r="A659" s="2" t="inlineStr">
        <is>
          <t>2bafc4e5eb29746b</t>
        </is>
      </c>
      <c r="B659" s="2" t="inlineStr">
        <is>
          <t>2026-09-22 05:09</t>
        </is>
      </c>
      <c r="C659" s="3" t="inlineStr">
        <is>
          <t>Ingeniero/a Geotécnico/a Senior</t>
        </is>
      </c>
      <c r="D659" s="3" t="inlineStr">
        <is>
          <t>IDOM Consulting, Engineering, Architecture</t>
        </is>
      </c>
      <c r="E659" s="8" t="n">
        <v>0.45</v>
      </c>
      <c r="F659" s="2" t="inlineStr">
        <is>
          <t>Remoto</t>
        </is>
      </c>
      <c r="G659" s="5">
        <f>HYPERLINK("https://co.linkedin.com/jobs/view/ingeniero-a-geot%C3%A9cnico-a-senior-at-idom-consulting-engineering-architecture-4467729578", "Ver Vacante")</f>
        <v/>
      </c>
      <c r="H659" s="6" t="inlineStr"/>
      <c r="I659" s="3" t="inlineStr">
        <is>
          <t>[Afinidad: 45/100 - Baja Afinidad] Afinidad en disciplina base (Ingeniera Civil Especialista en Vías y SST) sin especialidad directa en vías/SST. Modalidad: 100% Remoto en Colombia confirmado.</t>
        </is>
      </c>
      <c r="J659" s="2" t="inlineStr">
        <is>
          <t>Nueva</t>
        </is>
      </c>
      <c r="K659" s="3" t="inlineStr"/>
    </row>
    <row r="660" ht="22" customHeight="1">
      <c r="A660" s="2" t="inlineStr">
        <is>
          <t>f3290f3c2a2d0061</t>
        </is>
      </c>
      <c r="B660" s="2" t="inlineStr">
        <is>
          <t>2026-09-22 05:09</t>
        </is>
      </c>
      <c r="C660" s="3" t="inlineStr">
        <is>
          <t>Engenheiro Civil - Lisboa</t>
        </is>
      </c>
      <c r="D660" s="3" t="inlineStr">
        <is>
          <t>DDN GERENCIAMENTO</t>
        </is>
      </c>
      <c r="E660" s="8" t="n">
        <v>0.45</v>
      </c>
      <c r="F660" s="2" t="inlineStr">
        <is>
          <t>Remoto</t>
        </is>
      </c>
      <c r="G660" s="5">
        <f>HYPERLINK("https://co.linkedin.com/jobs/view/engenheiro-civil-lisboa-at-ddn-gerenciamento-4468408791", "Ver Vacante")</f>
        <v/>
      </c>
      <c r="H660" s="6" t="inlineStr"/>
      <c r="I660" s="3" t="inlineStr">
        <is>
          <t>[Afinidad: 45/100 - Baja Afinidad] Afinidad en disciplina base (Ingeniera Civil Especialista en Vías y SST) sin especialidad directa en vías/SST. Modalidad: 100% Remoto en Colombia confirmado.</t>
        </is>
      </c>
      <c r="J660" s="2" t="inlineStr">
        <is>
          <t>Nueva</t>
        </is>
      </c>
      <c r="K660" s="3" t="inlineStr"/>
    </row>
    <row r="661" ht="22" customHeight="1">
      <c r="A661" s="2" t="inlineStr">
        <is>
          <t>d2feccf91b9b1f0b</t>
        </is>
      </c>
      <c r="B661" s="2" t="inlineStr">
        <is>
          <t>2026-09-22 05:09</t>
        </is>
      </c>
      <c r="C661" s="3" t="inlineStr">
        <is>
          <t>Ingeniero/a Civil especialista en Talleres y Patios Ferroviarios</t>
        </is>
      </c>
      <c r="D661" s="3" t="inlineStr">
        <is>
          <t>IDOM Consulting, Engineering, Architecture</t>
        </is>
      </c>
      <c r="E661" s="8" t="n">
        <v>0.45</v>
      </c>
      <c r="F661" s="2" t="inlineStr">
        <is>
          <t>Remoto</t>
        </is>
      </c>
      <c r="G661" s="5">
        <f>HYPERLINK("https://co.linkedin.com/jobs/view/ingeniero-a-civil-especialista-en-talleres-y-patios-ferroviarios-at-idom-consulting-engineering-architecture-4443713908", "Ver Vacante")</f>
        <v/>
      </c>
      <c r="H661" s="6" t="inlineStr"/>
      <c r="I661" s="3" t="inlineStr">
        <is>
          <t>[Afinidad: 45/100 - Baja Afinidad] Afinidad en disciplina base (Ingeniera Civil Especialista en Vías y SST) sin especialidad directa en vías/SST. Modalidad: 100% Remoto en Colombia confirmado.</t>
        </is>
      </c>
      <c r="J661" s="2" t="inlineStr">
        <is>
          <t>Nueva</t>
        </is>
      </c>
      <c r="K661" s="3" t="inlineStr"/>
    </row>
    <row r="662" ht="22" customHeight="1">
      <c r="A662" s="2" t="inlineStr">
        <is>
          <t>152ea7f07f195fc8</t>
        </is>
      </c>
      <c r="B662" s="2" t="inlineStr">
        <is>
          <t>2026-09-22 05:09</t>
        </is>
      </c>
      <c r="C662" s="3" t="inlineStr">
        <is>
          <t>COORDINADOR DE INTERVENTORÍA-NIVEL 1 SECTOR HIDROCARBUROS</t>
        </is>
      </c>
      <c r="D662" s="3" t="inlineStr">
        <is>
          <t>Centro de Empleo y Talento</t>
        </is>
      </c>
      <c r="E662" s="8" t="n">
        <v>0.45</v>
      </c>
      <c r="F662" s="2" t="inlineStr">
        <is>
          <t>Remoto</t>
        </is>
      </c>
      <c r="G662" s="5">
        <f>HYPERLINK("https://co.linkedin.com/jobs/view/coordinador-de-interventor%C3%ADa-nivel-1-sector-hidrocarburos-at-centro-de-empleo-y-talento-4468030406", "Ver Vacante")</f>
        <v/>
      </c>
      <c r="H662" s="6" t="inlineStr"/>
      <c r="I662" s="3" t="inlineStr">
        <is>
          <t>[Afinidad: 45/100 - Baja Afinidad] Afinidad en disciplina base (Ingeniera Civil Especialista en Vías y SST) sin especialidad directa en vías/SST. Modalidad: 100% Remoto en Colombia confirmado.</t>
        </is>
      </c>
      <c r="J662" s="2" t="inlineStr">
        <is>
          <t>Nueva</t>
        </is>
      </c>
      <c r="K662" s="3" t="inlineStr"/>
    </row>
    <row r="663" ht="22" customHeight="1">
      <c r="A663" s="2" t="inlineStr">
        <is>
          <t>b3dd7e9d8f53fb27</t>
        </is>
      </c>
      <c r="B663" s="2" t="inlineStr">
        <is>
          <t>2026-09-22 05:09</t>
        </is>
      </c>
      <c r="C663" s="3" t="inlineStr">
        <is>
          <t>Consultor (Desarrollador) Senior Appian</t>
        </is>
      </c>
      <c r="D663" s="3" t="inlineStr">
        <is>
          <t>VASS LATAM</t>
        </is>
      </c>
      <c r="E663" s="8" t="n">
        <v>0.45</v>
      </c>
      <c r="F663" s="2" t="inlineStr">
        <is>
          <t>Remoto</t>
        </is>
      </c>
      <c r="G663" s="5">
        <f>HYPERLINK("https://co.linkedin.com/jobs/view/consultor-desarrollador-senior-appian-at-vass-latam-4458249659", "Ver Vacante")</f>
        <v/>
      </c>
      <c r="H663" s="6" t="inlineStr"/>
      <c r="I663" s="3" t="inlineStr">
        <is>
          <t>[Afinidad: 45/100 - Baja Afinidad] Afinidad en disciplina base (Ingeniera Civil Especialista en Vías y SST) sin especialidad directa en vías/SST. Modalidad: 100% Remoto en Colombia confirmado.</t>
        </is>
      </c>
      <c r="J663" s="2" t="inlineStr">
        <is>
          <t>Nueva</t>
        </is>
      </c>
      <c r="K663" s="3" t="inlineStr"/>
    </row>
    <row r="664" ht="22" customHeight="1">
      <c r="A664" s="2" t="inlineStr">
        <is>
          <t>0f895f69320d7d8d</t>
        </is>
      </c>
      <c r="B664" s="2" t="inlineStr">
        <is>
          <t>2026-09-22 05:09</t>
        </is>
      </c>
      <c r="C664" s="3" t="inlineStr">
        <is>
          <t>Coordinador hse Cartagena</t>
        </is>
      </c>
      <c r="D664" s="3" t="inlineStr">
        <is>
          <t>TRANSPORTES MONTEJO SAS</t>
        </is>
      </c>
      <c r="E664" s="8" t="n">
        <v>0.45</v>
      </c>
      <c r="F664" s="2" t="inlineStr">
        <is>
          <t>Remoto</t>
        </is>
      </c>
      <c r="G664" s="5">
        <f>HYPERLINK("https://co.linkedin.com/jobs/view/coordinador-hse-cartagena-at-transportes-montejo-sas-4458746462", "Ver Vacante")</f>
        <v/>
      </c>
      <c r="H664" s="6" t="inlineStr"/>
      <c r="I664" s="3" t="inlineStr">
        <is>
          <t>[Afinidad: 45/100 - Baja Afinidad] Afinidad parcial en seguridad y salud ocupacional. Modalidad: 100% Remoto en Colombia confirmado.</t>
        </is>
      </c>
      <c r="J664" s="2" t="inlineStr">
        <is>
          <t>Nueva</t>
        </is>
      </c>
      <c r="K664" s="3" t="inlineStr"/>
    </row>
    <row r="665" ht="22" customHeight="1">
      <c r="A665" s="2" t="inlineStr">
        <is>
          <t>b86d50ad2dd5f642</t>
        </is>
      </c>
      <c r="B665" s="2" t="inlineStr">
        <is>
          <t>2026-09-22 05:09</t>
        </is>
      </c>
      <c r="C665" s="3" t="inlineStr">
        <is>
          <t>Coordinador Regional SIG/ SST</t>
        </is>
      </c>
      <c r="D665" s="3" t="inlineStr">
        <is>
          <t>Interaseo S.A.S. E.S.P.</t>
        </is>
      </c>
      <c r="E665" s="8" t="n">
        <v>0.45</v>
      </c>
      <c r="F665" s="2" t="inlineStr">
        <is>
          <t>Remoto</t>
        </is>
      </c>
      <c r="G665" s="5">
        <f>HYPERLINK("https://co.linkedin.com/jobs/view/coordinador-regional-sig-sst-at-interaseo-s-a-s-e-s-p-4459088040", "Ver Vacante")</f>
        <v/>
      </c>
      <c r="H665" s="6" t="inlineStr"/>
      <c r="I665" s="3" t="inlineStr">
        <is>
          <t>[Afinidad: 45/100 - Baja Afinidad] Afinidad parcial en seguridad y salud ocupacional. Modalidad: 100% Remoto en Colombia confirmado.</t>
        </is>
      </c>
      <c r="J665" s="2" t="inlineStr">
        <is>
          <t>Nueva</t>
        </is>
      </c>
      <c r="K665" s="3" t="inlineStr"/>
    </row>
    <row r="666" ht="22" customHeight="1">
      <c r="A666" s="2" t="inlineStr">
        <is>
          <t>506296811a5a9cbb</t>
        </is>
      </c>
      <c r="B666" s="2" t="inlineStr">
        <is>
          <t>2026-09-22 05:09</t>
        </is>
      </c>
      <c r="C666" s="3" t="inlineStr">
        <is>
          <t>Coordinador/a de SST</t>
        </is>
      </c>
      <c r="D666" s="3" t="inlineStr">
        <is>
          <t>Estelar Food S.A.S</t>
        </is>
      </c>
      <c r="E666" s="8" t="n">
        <v>0.45</v>
      </c>
      <c r="F666" s="2" t="inlineStr">
        <is>
          <t>Remoto</t>
        </is>
      </c>
      <c r="G666" s="5">
        <f>HYPERLINK("https://co.linkedin.com/jobs/view/coordinador-a-de-sst-at-estelar-food-s-a-s-4462115593", "Ver Vacante")</f>
        <v/>
      </c>
      <c r="H666" s="6" t="inlineStr"/>
      <c r="I666" s="3" t="inlineStr">
        <is>
          <t>[Afinidad: 45/100 - Baja Afinidad] Afinidad parcial en seguridad y salud ocupacional. Modalidad: 100% Remoto en Colombia confirmado.</t>
        </is>
      </c>
      <c r="J666" s="2" t="inlineStr">
        <is>
          <t>Nueva</t>
        </is>
      </c>
      <c r="K666" s="3" t="inlineStr"/>
    </row>
    <row r="667" ht="22" customHeight="1">
      <c r="A667" s="2" t="inlineStr">
        <is>
          <t>0e4b8eed7f32714e</t>
        </is>
      </c>
      <c r="B667" s="2" t="inlineStr">
        <is>
          <t>2026-09-22 05:09</t>
        </is>
      </c>
      <c r="C667" s="3" t="inlineStr">
        <is>
          <t>coordinador de Seguridad y Salud en el Trabajo</t>
        </is>
      </c>
      <c r="D667" s="3" t="inlineStr">
        <is>
          <t>Asertempo Colombia S.A.S</t>
        </is>
      </c>
      <c r="E667" s="8" t="n">
        <v>0.45</v>
      </c>
      <c r="F667" s="2" t="inlineStr">
        <is>
          <t>Remoto</t>
        </is>
      </c>
      <c r="G667" s="5">
        <f>HYPERLINK("https://co.linkedin.com/jobs/view/coordinador-de-seguridad-y-salud-en-el-trabajo-at-asertempo-colombia-s-a-s-4461723686", "Ver Vacante")</f>
        <v/>
      </c>
      <c r="H667" s="6" t="inlineStr"/>
      <c r="I667" s="3" t="inlineStr">
        <is>
          <t>[Afinidad: 45/100 - Baja Afinidad] Afinidad parcial en seguridad y salud ocupacional. Modalidad: 100% Remoto en Colombia confirmado.</t>
        </is>
      </c>
      <c r="J667" s="2" t="inlineStr">
        <is>
          <t>Nueva</t>
        </is>
      </c>
      <c r="K667" s="3" t="inlineStr"/>
    </row>
    <row r="668" ht="22" customHeight="1">
      <c r="A668" s="2" t="inlineStr">
        <is>
          <t>aa2882af3c61095b</t>
        </is>
      </c>
      <c r="B668" s="2" t="inlineStr">
        <is>
          <t>2026-09-22 05:09</t>
        </is>
      </c>
      <c r="C668" s="3" t="inlineStr">
        <is>
          <t>Coordinador (a) SST / APH - Marmato</t>
        </is>
      </c>
      <c r="D668" s="3" t="inlineStr">
        <is>
          <t>Aris Mining Colombia</t>
        </is>
      </c>
      <c r="E668" s="8" t="n">
        <v>0.45</v>
      </c>
      <c r="F668" s="2" t="inlineStr">
        <is>
          <t>Remoto</t>
        </is>
      </c>
      <c r="G668" s="5">
        <f>HYPERLINK("https://co.linkedin.com/jobs/view/coordinador-a-sst-aph-marmato-at-aris-mining-colombia-4448929810", "Ver Vacante")</f>
        <v/>
      </c>
      <c r="H668" s="6" t="inlineStr"/>
      <c r="I668" s="3" t="inlineStr">
        <is>
          <t>[Afinidad: 45/100 - Baja Afinidad] Afinidad parcial en seguridad y salud ocupacional. Modalidad: 100% Remoto en Colombia confirmado.</t>
        </is>
      </c>
      <c r="J668" s="2" t="inlineStr">
        <is>
          <t>Nueva</t>
        </is>
      </c>
      <c r="K668" s="3" t="inlineStr"/>
    </row>
    <row r="669" ht="22" customHeight="1">
      <c r="A669" s="2" t="inlineStr">
        <is>
          <t>26cff43f13982962</t>
        </is>
      </c>
      <c r="B669" s="2" t="inlineStr">
        <is>
          <t>2026-09-22 05:09</t>
        </is>
      </c>
      <c r="C669" s="3" t="inlineStr">
        <is>
          <t>Consultor(a) Senior SOX TI</t>
        </is>
      </c>
      <c r="D669" s="3" t="inlineStr">
        <is>
          <t>Hitss Colombia</t>
        </is>
      </c>
      <c r="E669" s="8" t="n">
        <v>0.45</v>
      </c>
      <c r="F669" s="2" t="inlineStr">
        <is>
          <t>Remoto</t>
        </is>
      </c>
      <c r="G669" s="5">
        <f>HYPERLINK("https://co.linkedin.com/jobs/view/consultor-a-senior-sox-ti-at-hitss-colombia-4460766744", "Ver Vacante")</f>
        <v/>
      </c>
      <c r="H669" s="6" t="inlineStr"/>
      <c r="I669" s="3" t="inlineStr">
        <is>
          <t>[Afinidad: 45/100 - Baja Afinidad] Afinidad en disciplina base (Ingeniera Civil Especialista en Vías y SST) sin especialidad directa en vías/SST. Modalidad: 100% Remoto en Colombia confirmado.</t>
        </is>
      </c>
      <c r="J669" s="2" t="inlineStr">
        <is>
          <t>Nueva</t>
        </is>
      </c>
      <c r="K669" s="3" t="inlineStr"/>
    </row>
    <row r="670" ht="22" customHeight="1">
      <c r="A670" s="2" t="inlineStr">
        <is>
          <t>87e367215ed55502</t>
        </is>
      </c>
      <c r="B670" s="2" t="inlineStr">
        <is>
          <t>2026-09-22 05:09</t>
        </is>
      </c>
      <c r="C670" s="3" t="inlineStr">
        <is>
          <t>Consultor(a) Senior Auditoría Interna</t>
        </is>
      </c>
      <c r="D670" s="3" t="inlineStr">
        <is>
          <t>Deloitte</t>
        </is>
      </c>
      <c r="E670" s="8" t="n">
        <v>0.45</v>
      </c>
      <c r="F670" s="2" t="inlineStr">
        <is>
          <t>Remoto</t>
        </is>
      </c>
      <c r="G670" s="5">
        <f>HYPERLINK("https://co.linkedin.com/jobs/view/consultor-a-senior-auditor%C3%ADa-interna-at-deloitte-4462090075", "Ver Vacante")</f>
        <v/>
      </c>
      <c r="H670" s="6" t="inlineStr"/>
      <c r="I670" s="3" t="inlineStr">
        <is>
          <t>[Afinidad: 45/100 - Baja Afinidad] Afinidad en disciplina base (Ingeniera Civil Especialista en Vías y SST) sin especialidad directa en vías/SST. Modalidad: 100% Remoto en Colombia confirmado.</t>
        </is>
      </c>
      <c r="J670" s="2" t="inlineStr">
        <is>
          <t>Nueva</t>
        </is>
      </c>
      <c r="K670" s="3" t="inlineStr"/>
    </row>
    <row r="671" ht="22" customHeight="1">
      <c r="A671" s="2" t="inlineStr">
        <is>
          <t>e2e525b51bbd0e5e</t>
        </is>
      </c>
      <c r="B671" s="2" t="inlineStr">
        <is>
          <t>2026-09-22 05:09</t>
        </is>
      </c>
      <c r="C671" s="3" t="inlineStr">
        <is>
          <t>Coordinador/a de Salud y Bienestar (HSE) Latam</t>
        </is>
      </c>
      <c r="D671" s="3" t="inlineStr">
        <is>
          <t>Aqualia</t>
        </is>
      </c>
      <c r="E671" s="8" t="n">
        <v>0.45</v>
      </c>
      <c r="F671" s="2" t="inlineStr">
        <is>
          <t>Remoto</t>
        </is>
      </c>
      <c r="G671" s="5">
        <f>HYPERLINK("https://co.linkedin.com/jobs/view/coordinador-a-de-salud-y-bienestar-hse-latam-at-aqualia-4463977352", "Ver Vacante")</f>
        <v/>
      </c>
      <c r="H671" s="6" t="inlineStr"/>
      <c r="I671" s="3" t="inlineStr">
        <is>
          <t>[Afinidad: 45/100 - Baja Afinidad] Afinidad parcial en seguridad y salud ocupacional. Modalidad: 100% Remoto en Colombia confirmado.</t>
        </is>
      </c>
      <c r="J671" s="2" t="inlineStr">
        <is>
          <t>Nueva</t>
        </is>
      </c>
      <c r="K671" s="3" t="inlineStr"/>
    </row>
    <row r="672" ht="22" customHeight="1">
      <c r="A672" s="2" t="inlineStr">
        <is>
          <t>8ef614b651dfe9d9</t>
        </is>
      </c>
      <c r="B672" s="2" t="inlineStr">
        <is>
          <t>2026-09-22 05:09</t>
        </is>
      </c>
      <c r="C672" s="3" t="inlineStr">
        <is>
          <t>Lead Civil Site Engineer</t>
        </is>
      </c>
      <c r="D672" s="3" t="inlineStr">
        <is>
          <t>AECOM</t>
        </is>
      </c>
      <c r="E672" s="8" t="n">
        <v>0.45</v>
      </c>
      <c r="F672" s="2" t="inlineStr">
        <is>
          <t>Remoto</t>
        </is>
      </c>
      <c r="G672" s="5">
        <f>HYPERLINK("https://co.linkedin.com/jobs/view/lead-civil-site-engineer-at-aecom-4468059409", "Ver Vacante")</f>
        <v/>
      </c>
      <c r="H672" s="6" t="inlineStr"/>
      <c r="I672" s="3" t="inlineStr">
        <is>
          <t>[Afinidad: 45/100 - Baja Afinidad] Afinidad en disciplina base (Ingeniera Civil Especialista en Vías y SST) sin especialidad directa en vías/SST. Modalidad: 100% Remoto en Colombia confirmado.</t>
        </is>
      </c>
      <c r="J672" s="2" t="inlineStr">
        <is>
          <t>Nueva</t>
        </is>
      </c>
      <c r="K672" s="3" t="inlineStr"/>
    </row>
    <row r="673" ht="22" customHeight="1">
      <c r="A673" s="2" t="inlineStr">
        <is>
          <t>b339389a0d32a94f</t>
        </is>
      </c>
      <c r="B673" s="2" t="inlineStr">
        <is>
          <t>2026-09-22 05:09</t>
        </is>
      </c>
      <c r="C673" s="3" t="inlineStr">
        <is>
          <t>Ingeniero civil</t>
        </is>
      </c>
      <c r="D673" s="3" t="inlineStr">
        <is>
          <t>constructora cumbrera</t>
        </is>
      </c>
      <c r="E673" s="8" t="n">
        <v>0.45</v>
      </c>
      <c r="F673" s="2" t="inlineStr">
        <is>
          <t>Remoto</t>
        </is>
      </c>
      <c r="G673" s="5">
        <f>HYPERLINK("https://co.linkedin.com/jobs/view/ingeniero-civil-4463108593", "Ver Vacante")</f>
        <v/>
      </c>
      <c r="H673" s="6" t="inlineStr"/>
      <c r="I673" s="3" t="inlineStr">
        <is>
          <t>[Afinidad: 45/100 - Baja Afinidad] Afinidad en disciplina base (Ingeniera Civil Especialista en Vías y SST) sin especialidad directa en vías/SST. Modalidad: 100% Remoto en Colombia confirmado.</t>
        </is>
      </c>
      <c r="J673" s="2" t="inlineStr">
        <is>
          <t>Nueva</t>
        </is>
      </c>
      <c r="K673" s="3" t="inlineStr"/>
    </row>
    <row r="674" ht="22" customHeight="1">
      <c r="A674" s="2" t="inlineStr">
        <is>
          <t>93623c0212e39cb9</t>
        </is>
      </c>
      <c r="B674" s="2" t="inlineStr">
        <is>
          <t>2026-09-22 05:09</t>
        </is>
      </c>
      <c r="C674" s="3" t="inlineStr">
        <is>
          <t>Ingeniero(a) Civil</t>
        </is>
      </c>
      <c r="D674" s="3" t="inlineStr">
        <is>
          <t>CMH Colombia</t>
        </is>
      </c>
      <c r="E674" s="8" t="n">
        <v>0.45</v>
      </c>
      <c r="F674" s="2" t="inlineStr">
        <is>
          <t>Remoto</t>
        </is>
      </c>
      <c r="G674" s="5">
        <f>HYPERLINK("https://co.linkedin.com/jobs/view/ingeniero-a-civil-at-minerales-c%C3%B3rdoba-4417533007", "Ver Vacante")</f>
        <v/>
      </c>
      <c r="H674" s="6" t="inlineStr"/>
      <c r="I674" s="3" t="inlineStr">
        <is>
          <t>[Afinidad: 45/100 - Baja Afinidad] Afinidad en disciplina base (Ingeniera Civil Especialista en Vías y SST) sin especialidad directa en vías/SST. Modalidad: 100% Remoto en Colombia confirmado.</t>
        </is>
      </c>
      <c r="J674" s="2" t="inlineStr">
        <is>
          <t>Nueva</t>
        </is>
      </c>
      <c r="K674" s="3" t="inlineStr"/>
    </row>
    <row r="675" ht="22" customHeight="1">
      <c r="A675" s="2" t="inlineStr">
        <is>
          <t>cd06fbe3d5b74888</t>
        </is>
      </c>
      <c r="B675" s="2" t="inlineStr">
        <is>
          <t>2026-09-22 05:09</t>
        </is>
      </c>
      <c r="C675" s="3" t="inlineStr">
        <is>
          <t>Oficial Obra Civil</t>
        </is>
      </c>
      <c r="D675" s="3" t="inlineStr">
        <is>
          <t>Equans Colombia</t>
        </is>
      </c>
      <c r="E675" s="8" t="n">
        <v>0.45</v>
      </c>
      <c r="F675" s="2" t="inlineStr">
        <is>
          <t>Remoto</t>
        </is>
      </c>
      <c r="G675" s="5">
        <f>HYPERLINK("https://co.linkedin.com/jobs/view/oficial-obra-civil-bogota-y-cundinamarca-at-equans-colombia-4470218146", "Ver Vacante")</f>
        <v/>
      </c>
      <c r="H675" s="6" t="inlineStr"/>
      <c r="I675" s="3" t="inlineStr">
        <is>
          <t>[Afinidad: 45/100 - Baja Afinidad] Afinidad en disciplina base (Ingeniera Civil Especialista en Vías y SST) sin especialidad directa en vías/SST. Modalidad: 100% Remoto en Colombia confirmado.</t>
        </is>
      </c>
      <c r="J675" s="2" t="inlineStr">
        <is>
          <t>Nueva</t>
        </is>
      </c>
      <c r="K675" s="3" t="inlineStr"/>
    </row>
  </sheetData>
  <dataValidations count="1">
    <dataValidation sqref="J2:J874" showDropDown="0" showInputMessage="0" showErrorMessage="0" allowBlank="1" type="list">
      <formula1>"Nueva,Por revisar,Postulado,Descartado,Entrevista"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2026-10-22T15:54:03Z</dcterms:created>
  <dcterms:modified xmlns:dcterms="http://purl.org/dc/terms/" xmlns:xsi="http://www.w3.org/2001/XMLSchema-instance" xsi:type="dcterms:W3CDTF">2026-10-22T15:54:04Z</dcterms:modified>
</cp:coreProperties>
</file>