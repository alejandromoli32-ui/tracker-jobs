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8c4c85415c7d1976</t>
        </is>
      </c>
      <c r="B9" s="2" t="inlineStr">
        <is>
          <t>2026-09-22 03:17</t>
        </is>
      </c>
      <c r="C9" s="3" t="inlineStr">
        <is>
          <t>Barranquilla- consultor de sistemas hseq y seguridad vial- independiente</t>
        </is>
      </c>
      <c r="D9" s="3" t="inlineStr">
        <is>
          <t>Confidencial</t>
        </is>
      </c>
      <c r="E9" s="4" t="n">
        <v>0.7</v>
      </c>
      <c r="F9" s="2" t="inlineStr">
        <is>
          <t>Remoto</t>
        </is>
      </c>
      <c r="G9" s="5">
        <f>HYPERLINK("https://www.elempleo.com/co/ofertas-trabajo/barranquilla-consultor-de-sistemas-hseq-y-seguridad-vial-independiente-1886770176", "Ver Vacante")</f>
        <v/>
      </c>
      <c r="H9" s="6" t="inlineStr"/>
      <c r="I9" s="3" t="inlineStr">
        <is>
          <t>[Afinidad: 70/100 -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b9d6e99de3f7d95f</t>
        </is>
      </c>
      <c r="B10" s="2" t="inlineStr">
        <is>
          <t>2026-09-22 05:09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3224b988c2ce1680</t>
        </is>
      </c>
      <c r="B11" s="2" t="inlineStr">
        <is>
          <t>2026-09-22 05:09</t>
        </is>
      </c>
      <c r="C11" s="3" t="inlineStr">
        <is>
          <t>Barranquilla- consultor de sistemas de gestion sst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HYPERLINK("https://www.elempleo.com/co/ofertas-trabajo/barranquilla-consultor-de-sistemas-de-gestion-sst-y-seguridad-vial-independiente-1886768156",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b20483f07ee4b9c0</t>
        </is>
      </c>
      <c r="B12" s="2" t="inlineStr">
        <is>
          <t>2026-09-22 05:09</t>
        </is>
      </c>
      <c r="C12" s="3" t="inlineStr">
        <is>
          <t>Especialista en sg-sst | prestación de servicios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HYPERLINK("https://www.elempleo.com/co/ofertas-trabajo/especialista-en-sgsst-prestacion-de-servicios-1886764855", "Ver Vacante")</f>
        <v/>
      </c>
      <c r="H12" s="6" t="inlineStr"/>
      <c r="I12" s="3" t="inlineStr">
        <is>
          <t>[Afinidad: 70/100 - Alta Afinidad] Alta coincidencia en gestión de Seguridad y Salud en el Trabajo (SST).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d7290bda5f5a3783</t>
        </is>
      </c>
      <c r="B13" s="2" t="inlineStr">
        <is>
          <t>2026-09-22 03:17</t>
        </is>
      </c>
      <c r="C13" s="3" t="inlineStr">
        <is>
          <t>Director de proyecto vias</t>
        </is>
      </c>
      <c r="D13" s="3" t="inlineStr">
        <is>
          <t>Confidencial</t>
        </is>
      </c>
      <c r="E13" s="7" t="n">
        <v>0.68</v>
      </c>
      <c r="F13" s="2" t="inlineStr">
        <is>
          <t>Remoto</t>
        </is>
      </c>
      <c r="G13" s="5">
        <f>HYPERLINK("https://www.elempleo.com/co/ofertas-trabajo/director-de-proyecto-vias-1886748722", "Ver Vacante")</f>
        <v/>
      </c>
      <c r="H13" s="6" t="inlineStr"/>
      <c r="I13" s="3" t="inlineStr">
        <is>
          <t>[Afinidad: 68/100 - Afinidad Moderada] Alta coincidencia técnica en infraestructura vial, diseño geométrico y pavimentos.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30674ca816381080</t>
        </is>
      </c>
      <c r="B14" s="2" t="inlineStr">
        <is>
          <t>2026-09-22 05:09</t>
        </is>
      </c>
      <c r="C14" s="3" t="inlineStr">
        <is>
          <t>ing civil , transporte y vias , director de planeacion, control , ejecucion de proyectos</t>
        </is>
      </c>
      <c r="D14" s="3" t="inlineStr">
        <is>
          <t>Gestión Vial Integral S.A.S.</t>
        </is>
      </c>
      <c r="E14" s="7" t="n">
        <v>0.68</v>
      </c>
      <c r="F14" s="2" t="inlineStr">
        <is>
          <t>Remoto</t>
        </is>
      </c>
      <c r="G14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14" s="6" t="inlineStr">
        <is>
          <t>$ 8.000.000,00 (Mensual)</t>
        </is>
      </c>
      <c r="I14" s="3" t="inlineStr">
        <is>
          <t>[Afinidad: 68/100 - Afinidad Moderada]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d1f260d2af51a1e6</t>
        </is>
      </c>
      <c r="B15" s="2" t="inlineStr">
        <is>
          <t>2026-09-22 05:09</t>
        </is>
      </c>
      <c r="C15" s="3" t="inlineStr">
        <is>
          <t>Director de proyecto vias</t>
        </is>
      </c>
      <c r="D15" s="3" t="inlineStr">
        <is>
          <t>Confidencial</t>
        </is>
      </c>
      <c r="E15" s="7" t="n">
        <v>0.68</v>
      </c>
      <c r="F15" s="2" t="inlineStr">
        <is>
          <t>Remoto</t>
        </is>
      </c>
      <c r="G15" s="5">
        <f>HYPERLINK("https://www.elempleo.com/co/ofertas-trabajo/director-de-proyecto-vias-1886748722", "Ver Vacante")</f>
        <v/>
      </c>
      <c r="H15" s="6" t="inlineStr"/>
      <c r="I15" s="3" t="inlineStr">
        <is>
          <t>[Afinidad: 68/100 - Afinidad Moderada] Alta coincidencia técnica en infraestructura vial, diseño geométrico y pavimentos.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7ca1ad59dab87f3d</t>
        </is>
      </c>
      <c r="B16" s="2" t="inlineStr">
        <is>
          <t>2026-09-22 05:09</t>
        </is>
      </c>
      <c r="C16" s="3" t="inlineStr">
        <is>
          <t>ingeniero civil o transporte y vias , postgrado diseño vias, exp de cinco años en diseño vias</t>
        </is>
      </c>
      <c r="D16" s="3" t="inlineStr">
        <is>
          <t>Gestión Vial Integral S.A.S.</t>
        </is>
      </c>
      <c r="E16" s="7" t="n">
        <v>0.63</v>
      </c>
      <c r="F16" s="2" t="inlineStr">
        <is>
          <t>Remoto</t>
        </is>
      </c>
      <c r="G16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16" s="6" t="inlineStr">
        <is>
          <t>$ 5.000.000,00 (Mensual)</t>
        </is>
      </c>
      <c r="I16" s="3" t="inlineStr">
        <is>
          <t>[Afinidad: 63/100 - Afinidad Moderada] Alta coincidencia técnica en infraestructura vial, diseño geométrico y pavimentos.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996d4431668c2172</t>
        </is>
      </c>
      <c r="B17" s="2" t="inlineStr">
        <is>
          <t>2026-09-22 05:09</t>
        </is>
      </c>
      <c r="C17" s="3" t="inlineStr">
        <is>
          <t>Ingeniero Civil o Ingeniero de Vías y Transporte</t>
        </is>
      </c>
      <c r="D17" s="3" t="inlineStr">
        <is>
          <t>GCS CONSTRUCCIONES S A S</t>
        </is>
      </c>
      <c r="E17" s="7" t="n">
        <v>0.63</v>
      </c>
      <c r="F17" s="2" t="inlineStr">
        <is>
          <t>Remoto</t>
        </is>
      </c>
      <c r="G17" s="5">
        <f>HYPERLINK("https://co.computrabajo.com/ofertas-de-trabajo/oferta-de-trabajo-de-ingeniero-civil-o-ingeniero-de-vias-y-transporte-se-requiere-posgrado-en-la-belleza-1E4C34A6305A99C961373E686DCF3405", "Ver Vacante")</f>
        <v/>
      </c>
      <c r="H17" s="6" t="inlineStr"/>
      <c r="I17" s="3" t="inlineStr">
        <is>
          <t>[Afinidad: 63/100 - Afinidad Moderada] Alta coincidencia técnica en infraestructura vial, diseño geométrico y pavimentos.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3465193d5051ccd2</t>
        </is>
      </c>
      <c r="B18" s="2" t="inlineStr">
        <is>
          <t>2026-09-22 05:09</t>
        </is>
      </c>
      <c r="C18" s="3" t="inlineStr">
        <is>
          <t>Ingeniero Civil Especialista en Vías – Residente de Interventoría</t>
        </is>
      </c>
      <c r="D18" s="3" t="inlineStr">
        <is>
          <t>STRUCTONIA S.A.S.</t>
        </is>
      </c>
      <c r="E18" s="7" t="n">
        <v>0.63</v>
      </c>
      <c r="F18" s="2" t="inlineStr">
        <is>
          <t>Remoto</t>
        </is>
      </c>
      <c r="G18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18" s="6" t="inlineStr">
        <is>
          <t>$ 4.250.000,00 (Mensual)</t>
        </is>
      </c>
      <c r="I18" s="3" t="inlineStr">
        <is>
          <t>[Afinidad: 63/100 - Afinidad Moderada] Alta coincidencia técnica en infraestructura vial, diseño geométrico y pavimentos.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540fc0f8d433dd02</t>
        </is>
      </c>
      <c r="B19" s="2" t="inlineStr">
        <is>
          <t>2026-09-22 05:09</t>
        </is>
      </c>
      <c r="C19" s="3" t="inlineStr">
        <is>
          <t>Ingeniero de infraestructura vial</t>
        </is>
      </c>
      <c r="D19" s="3" t="inlineStr">
        <is>
          <t>INZIGNIA CONSTRUCTION S.A</t>
        </is>
      </c>
      <c r="E19" s="7" t="n">
        <v>0.63</v>
      </c>
      <c r="F19" s="2" t="inlineStr">
        <is>
          <t>Remoto</t>
        </is>
      </c>
      <c r="G19" s="5">
        <f>HYPERLINK("https://www.elempleo.com/co/ofertas-trabajo/ingeniero-de-infraestructura-vial-1886744406", "Ver Vacante")</f>
        <v/>
      </c>
      <c r="H19" s="6" t="inlineStr"/>
      <c r="I19" s="3" t="inlineStr">
        <is>
          <t>[Afinidad: 63/100 - Afinidad Moderada] Alta coincidencia técnica en infraestructura vial, diseño geométrico y pavimentos.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3d719b8e664390cc</t>
        </is>
      </c>
      <c r="B20" s="2" t="inlineStr">
        <is>
          <t>2026-09-22 05:09</t>
        </is>
      </c>
      <c r="C20" s="3" t="inlineStr">
        <is>
          <t>Especialista en Vías</t>
        </is>
      </c>
      <c r="D20" s="3" t="inlineStr">
        <is>
          <t>Grupo Cal y Mayor</t>
        </is>
      </c>
      <c r="E20" s="7" t="n">
        <v>0.63</v>
      </c>
      <c r="F20" s="2" t="inlineStr">
        <is>
          <t>Remoto</t>
        </is>
      </c>
      <c r="G20" s="5">
        <f>HYPERLINK("https://co.linkedin.com/jobs/view/especialista-en-v%C3%ADas-at-cal-y-mayor-4444576886", "Ver Vacante")</f>
        <v/>
      </c>
      <c r="H20" s="6" t="inlineStr"/>
      <c r="I20" s="3" t="inlineStr">
        <is>
          <t>[Afinidad: 63/100 -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cd1fbb60948260e1</t>
        </is>
      </c>
      <c r="B21" s="2" t="inlineStr">
        <is>
          <t>2026-09-22 05:09</t>
        </is>
      </c>
      <c r="C21" s="3" t="inlineStr">
        <is>
          <t>Modelador/a BIM en Civil 3D- Infraestructura</t>
        </is>
      </c>
      <c r="D21" s="3" t="inlineStr">
        <is>
          <t>IDOM Consulting, Engineering, Architecture</t>
        </is>
      </c>
      <c r="E21" s="7" t="n">
        <v>0.63</v>
      </c>
      <c r="F21" s="2" t="inlineStr">
        <is>
          <t>Remoto</t>
        </is>
      </c>
      <c r="G21" s="5">
        <f>HYPERLINK("https://co.linkedin.com/jobs/view/modelador-a-bim-en-civil-3d-infraestructura-at-idom-consulting-engineering-architecture-4443664764", "Ver Vacante")</f>
        <v/>
      </c>
      <c r="H21" s="6" t="inlineStr"/>
      <c r="I21" s="3" t="inlineStr">
        <is>
          <t>[Afinidad: 63/100 -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9f470ed483d687e0</t>
        </is>
      </c>
      <c r="B22" s="2" t="inlineStr">
        <is>
          <t>2026-09-22 05:09</t>
        </is>
      </c>
      <c r="C22" s="3" t="inlineStr">
        <is>
          <t>Especialista HSE/SST</t>
        </is>
      </c>
      <c r="D22" s="3" t="inlineStr">
        <is>
          <t>SOE 360</t>
        </is>
      </c>
      <c r="E22" s="7" t="n">
        <v>0.63</v>
      </c>
      <c r="F22" s="2" t="inlineStr">
        <is>
          <t>Remoto</t>
        </is>
      </c>
      <c r="G22" s="5">
        <f>HYPERLINK("https://co.linkedin.com/jobs/view/especialista-hse-sst-at-soe-360-4468830991", "Ver Vacante")</f>
        <v/>
      </c>
      <c r="H22" s="6" t="inlineStr"/>
      <c r="I22" s="3" t="inlineStr">
        <is>
          <t>[Afinidad: 63/100 - Afinidad Moderada] Alta coincidencia en gestión de Seguridad y Salud en el Trabajo (SST).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b61ad1aa15c22ca5</t>
        </is>
      </c>
      <c r="B23" s="2" t="inlineStr">
        <is>
          <t>2026-09-22 03:17</t>
        </is>
      </c>
      <c r="C23" s="3" t="inlineStr">
        <is>
          <t>Inspector sst y seguridad vial motorizado - zona sabana norte</t>
        </is>
      </c>
      <c r="D23" s="3" t="inlineStr">
        <is>
          <t>ATIEMPO S.A.S</t>
        </is>
      </c>
      <c r="E23" s="7" t="n">
        <v>0.6</v>
      </c>
      <c r="F23" s="2" t="inlineStr">
        <is>
          <t>Remoto</t>
        </is>
      </c>
      <c r="G23" s="5">
        <f>HYPERLINK("https://www.elempleo.com/co/ofertas-trabajo/inspector-sst-y-seguridad-vial-motorizado-zona-sabana-norte-chia-cota-zipaquira-tabio-y-tenjo-1886766982", "Ver Vacante")</f>
        <v/>
      </c>
      <c r="H23" s="6" t="inlineStr"/>
      <c r="I23" s="3" t="inlineStr">
        <is>
          <t>[Afinidad: 60/100 - Afinidad Moderada] Afinidad moderada con componentes de vías e infraestructura y seguridad laboral.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eaa28269212c2ec6</t>
        </is>
      </c>
      <c r="B24" s="2" t="inlineStr">
        <is>
          <t>2026-09-22 03:17</t>
        </is>
      </c>
      <c r="C24" s="3" t="inlineStr">
        <is>
          <t>Analista sst / plan estratégico de seguridad vial-bogotá</t>
        </is>
      </c>
      <c r="D24" s="3" t="inlineStr">
        <is>
          <t>Confidencial</t>
        </is>
      </c>
      <c r="E24" s="7" t="n">
        <v>0.6</v>
      </c>
      <c r="F24" s="2" t="inlineStr">
        <is>
          <t>Remoto</t>
        </is>
      </c>
      <c r="G24" s="5">
        <f>HYPERLINK("https://www.elempleo.com/co/ofertas-trabajo/analista-sst-plan-estrategico-de-seguridad-vialbogota-1886767391", "Ver Vacante")</f>
        <v/>
      </c>
      <c r="H24" s="6" t="inlineStr"/>
      <c r="I24" s="3" t="inlineStr">
        <is>
          <t>[Afinidad: 60/100 - Afinidad Moderada]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06f094ce9d5aac78</t>
        </is>
      </c>
      <c r="B25" s="2" t="inlineStr">
        <is>
          <t>2026-09-22 05:09</t>
        </is>
      </c>
      <c r="C25" s="3" t="inlineStr">
        <is>
          <t>Profesional en seguridad y salud en el trabajo - pereira | seguridad vial</t>
        </is>
      </c>
      <c r="D25" s="3" t="inlineStr">
        <is>
          <t>ADECCO COLOMBIA S A</t>
        </is>
      </c>
      <c r="E25" s="7" t="n">
        <v>0.6</v>
      </c>
      <c r="F25" s="2" t="inlineStr">
        <is>
          <t>Remoto</t>
        </is>
      </c>
      <c r="G25" s="5">
        <f>HYPERLINK("https://www.elempleo.com/co/ofertas-trabajo/profesional-en-seguridad-y-salud-en-el-trabajo-pereira-seguridad-vial-1886747053", "Ver Vacante")</f>
        <v/>
      </c>
      <c r="H25" s="6" t="inlineStr"/>
      <c r="I25" s="3" t="inlineStr">
        <is>
          <t>[Afinidad: 60/100 - Afinidad Moderada] Afinidad moderada con componentes de vías e infraestructura y seguridad laboral.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e9d56941eaea2d73</t>
        </is>
      </c>
      <c r="B26" s="2" t="inlineStr">
        <is>
          <t>2026-09-22 05:09</t>
        </is>
      </c>
      <c r="C26" s="3" t="inlineStr">
        <is>
          <t>Inspector sst y seguridad vial motorizado - zona sabana norte</t>
        </is>
      </c>
      <c r="D26" s="3" t="inlineStr">
        <is>
          <t>ATIEMPO S.A.S</t>
        </is>
      </c>
      <c r="E26" s="7" t="n">
        <v>0.6</v>
      </c>
      <c r="F26" s="2" t="inlineStr">
        <is>
          <t>Remoto</t>
        </is>
      </c>
      <c r="G26" s="5">
        <f>HYPERLINK("https://www.elempleo.com/co/ofertas-trabajo/inspector-sst-y-seguridad-vial-motorizado-zona-sabana-norte-chia-cota-zipaquira-tabio-y-tenjo-1886766982", "Ver Vacante")</f>
        <v/>
      </c>
      <c r="H26" s="6" t="inlineStr"/>
      <c r="I26" s="3" t="inlineStr">
        <is>
          <t>[Afinidad: 60/100 - Afinidad Moderada] Afinidad moderada con componentes de vías e infraestructura y seguridad laboral.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1577b8627227b7b9</t>
        </is>
      </c>
      <c r="B27" s="2" t="inlineStr">
        <is>
          <t>2026-09-22 05:09</t>
        </is>
      </c>
      <c r="C27" s="3" t="inlineStr">
        <is>
          <t>Analista sst / plan estratégico de seguridad vial-bogotá</t>
        </is>
      </c>
      <c r="D27" s="3" t="inlineStr">
        <is>
          <t>Confidencial</t>
        </is>
      </c>
      <c r="E27" s="7" t="n">
        <v>0.6</v>
      </c>
      <c r="F27" s="2" t="inlineStr">
        <is>
          <t>Remoto</t>
        </is>
      </c>
      <c r="G27" s="5">
        <f>HYPERLINK("https://www.elempleo.com/co/ofertas-trabajo/analista-sst-plan-estrategico-de-seguridad-vialbogota-1886767391", "Ver Vacante")</f>
        <v/>
      </c>
      <c r="H27" s="6" t="inlineStr"/>
      <c r="I27" s="3" t="inlineStr">
        <is>
          <t>[Afinidad: 60/100 - Afinidad Moderada]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4d2a4ed8de3a33cf</t>
        </is>
      </c>
      <c r="B28" s="2" t="inlineStr">
        <is>
          <t>2026-09-22 05:09</t>
        </is>
      </c>
      <c r="C28" s="3" t="inlineStr">
        <is>
          <t>Director de proyecto idu</t>
        </is>
      </c>
      <c r="D28" s="3" t="inlineStr">
        <is>
          <t>Confidencial</t>
        </is>
      </c>
      <c r="E28" s="7" t="n">
        <v>0.6</v>
      </c>
      <c r="F28" s="2" t="inlineStr">
        <is>
          <t>Remoto</t>
        </is>
      </c>
      <c r="G28" s="5">
        <f>HYPERLINK("https://www.elempleo.com/co/ofertas-trabajo/director-de-proyecto-idu-1886749675", "Ver Vacante")</f>
        <v/>
      </c>
      <c r="H28" s="6" t="inlineStr"/>
      <c r="I28" s="3" t="inlineStr">
        <is>
          <t>[Afinidad: 60/100 - Afinidad Moderada] Afinidad parcial en infraestructura vial y transporte.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6d0f6220edda6c00</t>
        </is>
      </c>
      <c r="B29" s="2" t="inlineStr">
        <is>
          <t>2026-09-22 05:09</t>
        </is>
      </c>
      <c r="C29" s="3" t="inlineStr">
        <is>
          <t>Profesional en sst (pesv) - bogotá</t>
        </is>
      </c>
      <c r="D29" s="3" t="inlineStr">
        <is>
          <t>Quirón Prevención Colombia S.A.S</t>
        </is>
      </c>
      <c r="E29" s="7" t="n">
        <v>0.6</v>
      </c>
      <c r="F29" s="2" t="inlineStr">
        <is>
          <t>Remoto</t>
        </is>
      </c>
      <c r="G29" s="5">
        <f>HYPERLINK("https://www.elempleo.com/co/ofertas-trabajo/profesional-en-sst-pesv-bogota-1886764924", "Ver Vacante")</f>
        <v/>
      </c>
      <c r="H29" s="6" t="inlineStr"/>
      <c r="I29" s="3" t="inlineStr">
        <is>
          <t>[Afinidad: 60/100 - Afinidad Moderada] Afinidad moderada con componentes de vías e infraestructura y seguridad laboral.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d08c11f2965be02b</t>
        </is>
      </c>
      <c r="B30" s="2" t="inlineStr">
        <is>
          <t>2026-09-22 05:09</t>
        </is>
      </c>
      <c r="C30" s="3" t="inlineStr">
        <is>
          <t>Psicóloga (o) senior especialista sst</t>
        </is>
      </c>
      <c r="D30" s="3" t="inlineStr">
        <is>
          <t>Confidencial</t>
        </is>
      </c>
      <c r="E30" s="7" t="n">
        <v>0.6</v>
      </c>
      <c r="F30" s="2" t="inlineStr">
        <is>
          <t>Remoto</t>
        </is>
      </c>
      <c r="G30" s="5">
        <f>HYPERLINK("https://www.elempleo.com/co/ofertas-trabajo/psicologa-o-senior-especialista-sst-1886752312", "Ver Vacante")</f>
        <v/>
      </c>
      <c r="H30" s="6" t="inlineStr"/>
      <c r="I30" s="3" t="inlineStr">
        <is>
          <t>[Afinidad: 60/100 - Afinidad Moderada] Afinidad parcial en seguridad y salud ocupacional.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b00bfc12c3eebd36</t>
        </is>
      </c>
      <c r="B31" s="2" t="inlineStr">
        <is>
          <t>2026-09-22 05:09</t>
        </is>
      </c>
      <c r="C31" s="3" t="inlineStr">
        <is>
          <t>Cali - psicóloga (o) senior especialista sst- independiente</t>
        </is>
      </c>
      <c r="D31" s="3" t="inlineStr">
        <is>
          <t>Confidencial</t>
        </is>
      </c>
      <c r="E31" s="7" t="n">
        <v>0.6</v>
      </c>
      <c r="F31" s="2" t="inlineStr">
        <is>
          <t>Remoto</t>
        </is>
      </c>
      <c r="G31" s="5">
        <f>HYPERLINK("https://www.elempleo.com/co/ofertas-trabajo/cali-psicologa-o-senior-especialista-sst-independiente-1886761400", "Ver Vacante")</f>
        <v/>
      </c>
      <c r="H31" s="6" t="inlineStr"/>
      <c r="I31" s="3" t="inlineStr">
        <is>
          <t>[Afinidad: 60/100 - Afinidad Moderada] Afinidad parcial en seguridad y salud ocupacional.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273669711cd789c2</t>
        </is>
      </c>
      <c r="B32" s="2" t="inlineStr">
        <is>
          <t>2026-09-22 05:09</t>
        </is>
      </c>
      <c r="C32" s="3" t="inlineStr">
        <is>
          <t>Tecnico en sst- con licencia en sst experto en pesv - bogota</t>
        </is>
      </c>
      <c r="D32" s="3" t="inlineStr">
        <is>
          <t>Confidencial</t>
        </is>
      </c>
      <c r="E32" s="7" t="n">
        <v>0.6</v>
      </c>
      <c r="F32" s="2" t="inlineStr">
        <is>
          <t>Remoto</t>
        </is>
      </c>
      <c r="G32" s="5">
        <f>HYPERLINK("https://www.elempleo.com/co/ofertas-trabajo/tecnico-en-sst-con-licencia-en-sst-experto-en-pesv-bogota-1886764118", "Ver Vacante")</f>
        <v/>
      </c>
      <c r="H32" s="6" t="inlineStr"/>
      <c r="I32" s="3" t="inlineStr">
        <is>
          <t>[Afinidad: 60/100 - Afinidad Moderada] Afinidad moderada con componentes de vías e infraestructura y seguridad laboral. Modalidad: 100% Remoto en Colombia confirmado. Observación: Requiere Licencia en Seguridad y Salud en el Trabajo (SST) vigente.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2f0067eb2449c438</t>
        </is>
      </c>
      <c r="B33" s="2" t="inlineStr">
        <is>
          <t>2026-09-22 05:09</t>
        </is>
      </c>
      <c r="C33" s="3" t="inlineStr">
        <is>
          <t>Jefe de prevención de riesgos laborales sst</t>
        </is>
      </c>
      <c r="D33" s="3" t="inlineStr">
        <is>
          <t>Confidencial</t>
        </is>
      </c>
      <c r="E33" s="7" t="n">
        <v>0.6</v>
      </c>
      <c r="F33" s="2" t="inlineStr">
        <is>
          <t>Remoto</t>
        </is>
      </c>
      <c r="G33" s="5">
        <f>HYPERLINK("https://www.elempleo.com/co/ofertas-trabajo/jefe-de-prevencion-de-riesgos-laborales-sst-1886769416", "Ver Vacante")</f>
        <v/>
      </c>
      <c r="H33" s="6" t="inlineStr"/>
      <c r="I33" s="3" t="inlineStr">
        <is>
          <t>[Afinidad: 60/100 -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44316258861df5d1</t>
        </is>
      </c>
      <c r="B34" s="2" t="inlineStr">
        <is>
          <t>2026-09-22 05:09</t>
        </is>
      </c>
      <c r="C34" s="3" t="inlineStr">
        <is>
          <t>Profesional en seguridad y salud en el trabajo - pereira | experiencia en pesv</t>
        </is>
      </c>
      <c r="D34" s="3" t="inlineStr">
        <is>
          <t>ADECCO COLOMBIA S A</t>
        </is>
      </c>
      <c r="E34" s="7" t="n">
        <v>0.6</v>
      </c>
      <c r="F34" s="2" t="inlineStr">
        <is>
          <t>Remoto</t>
        </is>
      </c>
      <c r="G34" s="5">
        <f>HYPERLINK("https://www.elempleo.com/co/ofertas-trabajo/profesional-en-seguridad-y-salud-en-el-trabajo-pereira-experiencia-en-pesv-1886758149", "Ver Vacante")</f>
        <v/>
      </c>
      <c r="H34" s="6" t="inlineStr"/>
      <c r="I34" s="3" t="inlineStr">
        <is>
          <t>[Afinidad: 60/100 - Afinidad Moderada] Afinidad moderada con componentes de vías e infraestructura y seguridad laboral.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76884e88c622ce0a</t>
        </is>
      </c>
      <c r="B35" s="2" t="inlineStr">
        <is>
          <t>2026-09-22 05:09</t>
        </is>
      </c>
      <c r="C35" s="3" t="inlineStr">
        <is>
          <t>Analista sst / plan estratégico de seguridad vial</t>
        </is>
      </c>
      <c r="D35" s="3" t="inlineStr">
        <is>
          <t>Confidencial</t>
        </is>
      </c>
      <c r="E35" s="7" t="n">
        <v>0.6</v>
      </c>
      <c r="F35" s="2" t="inlineStr">
        <is>
          <t>Remoto</t>
        </is>
      </c>
      <c r="G35" s="5">
        <f>HYPERLINK("https://www.elempleo.com/co/ofertas-trabajo/analista-sst-plan-estrategico-de-seguridad-vial-1886767397", "Ver Vacante")</f>
        <v/>
      </c>
      <c r="H35" s="6" t="inlineStr"/>
      <c r="I35" s="3" t="inlineStr">
        <is>
          <t>[Afinidad: 60/100 - Afinidad Moderada] Afinidad moderada con componentes de vías e infraestructura y seguridad laboral.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43d7b93a9eb1329d</t>
        </is>
      </c>
      <c r="B36" s="2" t="inlineStr">
        <is>
          <t>2026-09-22 05:09</t>
        </is>
      </c>
      <c r="C36" s="3" t="inlineStr">
        <is>
          <t>Tecnologo en sst- experto en pesv - bogota</t>
        </is>
      </c>
      <c r="D36" s="3" t="inlineStr">
        <is>
          <t>Confidencial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HYPERLINK("https://www.elempleo.com/co/ofertas-trabajo/tecnologo-en-sst-experto-en-pesv-bogota-1886763258",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b7c231a34a86de79</t>
        </is>
      </c>
      <c r="B37" s="2" t="inlineStr">
        <is>
          <t>2026-09-22 05:09</t>
        </is>
      </c>
      <c r="C37" s="3" t="inlineStr">
        <is>
          <t>Tecnico o tecnologo en sst // exp pesv</t>
        </is>
      </c>
      <c r="D37" s="3" t="inlineStr">
        <is>
          <t>Quirón Prevención Colombia S.A.S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HYPERLINK("https://www.elempleo.com/co/ofertas-trabajo/tecnico-o-tecnologo-en-sst-exp-pesv-1886748107",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7293efcccc03c71c</t>
        </is>
      </c>
      <c r="B38" s="2" t="inlineStr">
        <is>
          <t>2026-09-22 05:09</t>
        </is>
      </c>
      <c r="C38" s="3" t="inlineStr">
        <is>
          <t>Tecnico o tecnologo en sst // exp pesv</t>
        </is>
      </c>
      <c r="D38" s="3" t="inlineStr">
        <is>
          <t>Quirón Prevención Colombia S.A.S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HYPERLINK("https://www.elempleo.com/co/ofertas-trabajo/tecnico-o-tecnologo-en-sst-exp-pesv-1886748681",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6397c4e43d0ce4c8</t>
        </is>
      </c>
      <c r="B39" s="2" t="inlineStr">
        <is>
          <t>2026-09-22 03:17</t>
        </is>
      </c>
      <c r="C39" s="3" t="inlineStr">
        <is>
          <t>Ingeniero de vías y transporte</t>
        </is>
      </c>
      <c r="D39" s="3" t="inlineStr">
        <is>
          <t>KMA CONSTRUCCIONES SAS</t>
        </is>
      </c>
      <c r="E39" s="7" t="n">
        <v>0.58</v>
      </c>
      <c r="F39" s="2" t="inlineStr">
        <is>
          <t>Remoto</t>
        </is>
      </c>
      <c r="G39" s="5">
        <f>HYPERLINK("https://www.elempleo.com/co/ofertas-trabajo/ingeniero-de-vias-y-transporte-1886755352", "Ver Vacante")</f>
        <v/>
      </c>
      <c r="H39" s="6" t="inlineStr"/>
      <c r="I39" s="3" t="inlineStr">
        <is>
          <t>[Afinidad: 58/100 -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4a585f361f9a3cde</t>
        </is>
      </c>
      <c r="B40" s="2" t="inlineStr">
        <is>
          <t>2026-09-22 03:17</t>
        </is>
      </c>
      <c r="C40" s="3" t="inlineStr">
        <is>
          <t>Ingeniero residente de vias</t>
        </is>
      </c>
      <c r="D40" s="3" t="inlineStr">
        <is>
          <t>TERMOTECNICA COINDUSTRIAL SAS</t>
        </is>
      </c>
      <c r="E40" s="7" t="n">
        <v>0.58</v>
      </c>
      <c r="F40" s="2" t="inlineStr">
        <is>
          <t>Remoto</t>
        </is>
      </c>
      <c r="G40" s="5">
        <f>HYPERLINK("https://www.elempleo.com/co/ofertas-trabajo/ingeniero-residente-de-vias-1886762445", "Ver Vacante")</f>
        <v/>
      </c>
      <c r="H40" s="6" t="inlineStr"/>
      <c r="I40" s="3" t="inlineStr">
        <is>
          <t>[Afinidad: 58/100 -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65a123f37ecb61a2</t>
        </is>
      </c>
      <c r="B41" s="2" t="inlineStr">
        <is>
          <t>2026-09-22 03:17</t>
        </is>
      </c>
      <c r="C41" s="3" t="inlineStr">
        <is>
          <t>Ingeniero/a de Vías Férreas</t>
        </is>
      </c>
      <c r="D41" s="3" t="inlineStr">
        <is>
          <t>IDOM Consulting, Engineering, Architecture</t>
        </is>
      </c>
      <c r="E41" s="7" t="n">
        <v>0.58</v>
      </c>
      <c r="F41" s="2" t="inlineStr">
        <is>
          <t>Remoto</t>
        </is>
      </c>
      <c r="G41" s="5">
        <f>HYPERLINK("https://co.linkedin.com/jobs/view/ingeniero-a-de-v%C3%ADas-f%C3%A9rreas-at-idom-consulting-engineering-architecture-4443714860", "Ver Vacante")</f>
        <v/>
      </c>
      <c r="H41" s="6" t="inlineStr"/>
      <c r="I41" s="3" t="inlineStr">
        <is>
          <t>[Afinidad: 58/100 -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fceb07cf99a43a15</t>
        </is>
      </c>
      <c r="B42" s="2" t="inlineStr">
        <is>
          <t>2026-09-22 05:09</t>
        </is>
      </c>
      <c r="C42" s="3" t="inlineStr">
        <is>
          <t>Ingeniero Residente en Proyectos vías</t>
        </is>
      </c>
      <c r="D42" s="3" t="inlineStr">
        <is>
          <t>KMA CONSTRUCCIONES S.A.S</t>
        </is>
      </c>
      <c r="E42" s="7" t="n">
        <v>0.58</v>
      </c>
      <c r="F42" s="2" t="inlineStr">
        <is>
          <t>Remoto</t>
        </is>
      </c>
      <c r="G42" s="5">
        <f>HYPERLINK("https://co.computrabajo.com/ofertas-de-trabajo/oferta-de-trabajo-de-ingeniero-residente-en-proyectos-vias-nacional-en-curumani-3E969F0AD9C6204861373E686DCF3405", "Ver Vacante")</f>
        <v/>
      </c>
      <c r="H42" s="6" t="inlineStr"/>
      <c r="I42" s="3" t="inlineStr">
        <is>
          <t>[Afinidad: 58/100 -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407bff46acf8d5b9</t>
        </is>
      </c>
      <c r="B43" s="2" t="inlineStr">
        <is>
          <t>2026-09-22 05:09</t>
        </is>
      </c>
      <c r="C43" s="3" t="inlineStr">
        <is>
          <t>Director(a) de Seguridad y Salud en el Trabajo — SST Bogotá D.C. Presencial</t>
        </is>
      </c>
      <c r="D43" s="3" t="inlineStr">
        <is>
          <t>FIREKEY SAS</t>
        </is>
      </c>
      <c r="E43" s="7" t="n">
        <v>0.58</v>
      </c>
      <c r="F43" s="2" t="inlineStr">
        <is>
          <t>Remoto</t>
        </is>
      </c>
      <c r="G43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43" s="6" t="inlineStr">
        <is>
          <t>$ 2.699.999,00 (Mensual)</t>
        </is>
      </c>
      <c r="I43" s="3" t="inlineStr">
        <is>
          <t>[Afinidad: 58/100 - Afinidad Moderada] Alta coincidencia en gestión de Seguridad y Salud en el Trabajo (SST).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c100150b8992d885</t>
        </is>
      </c>
      <c r="B44" s="2" t="inlineStr">
        <is>
          <t>2026-09-22 05:09</t>
        </is>
      </c>
      <c r="C44" s="3" t="inlineStr">
        <is>
          <t>Ingeniero residente de vias</t>
        </is>
      </c>
      <c r="D44" s="3" t="inlineStr">
        <is>
          <t>TERMOTECNICA COINDUSTRIAL SAS</t>
        </is>
      </c>
      <c r="E44" s="7" t="n">
        <v>0.58</v>
      </c>
      <c r="F44" s="2" t="inlineStr">
        <is>
          <t>Remoto</t>
        </is>
      </c>
      <c r="G44" s="5">
        <f>HYPERLINK("https://www.elempleo.com/co/ofertas-trabajo/ingeniero-residente-de-vias-1886762445", "Ver Vacante")</f>
        <v/>
      </c>
      <c r="H44" s="6" t="inlineStr"/>
      <c r="I44" s="3" t="inlineStr">
        <is>
          <t>[Afinidad: 58/100 -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fb3f5f47762bcd6a</t>
        </is>
      </c>
      <c r="B45" s="2" t="inlineStr">
        <is>
          <t>2026-09-22 05:09</t>
        </is>
      </c>
      <c r="C45" s="3" t="inlineStr">
        <is>
          <t>Ingeniero de vías y transporte</t>
        </is>
      </c>
      <c r="D45" s="3" t="inlineStr">
        <is>
          <t>KMA CONSTRUCCIONES SAS</t>
        </is>
      </c>
      <c r="E45" s="7" t="n">
        <v>0.58</v>
      </c>
      <c r="F45" s="2" t="inlineStr">
        <is>
          <t>Remoto</t>
        </is>
      </c>
      <c r="G45" s="5">
        <f>HYPERLINK("https://www.elempleo.com/co/ofertas-trabajo/ingeniero-de-vias-y-transporte-1886755352", "Ver Vacante")</f>
        <v/>
      </c>
      <c r="H45" s="6" t="inlineStr"/>
      <c r="I45" s="3" t="inlineStr">
        <is>
          <t>[Afinidad: 58/100 -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ed126154bb93d557</t>
        </is>
      </c>
      <c r="B46" s="2" t="inlineStr">
        <is>
          <t>2026-09-22 05:09</t>
        </is>
      </c>
      <c r="C46" s="3" t="inlineStr">
        <is>
          <t>Ingeniero residente de vias y urbanismo</t>
        </is>
      </c>
      <c r="D46" s="3" t="inlineStr">
        <is>
          <t>METRO LINEA 1 S.A.S.</t>
        </is>
      </c>
      <c r="E46" s="7" t="n">
        <v>0.58</v>
      </c>
      <c r="F46" s="2" t="inlineStr">
        <is>
          <t>Remoto</t>
        </is>
      </c>
      <c r="G46" s="5">
        <f>HYPERLINK("https://www.elempleo.com/co/ofertas-trabajo/ingeniero-residente-de-vias-y-urbanismo-1886764375", "Ver Vacante")</f>
        <v/>
      </c>
      <c r="H46" s="6" t="inlineStr"/>
      <c r="I46" s="3" t="inlineStr">
        <is>
          <t>[Afinidad: 58/100 -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mock_edge_011</t>
        </is>
      </c>
      <c r="B47" s="2" t="inlineStr">
        <is>
          <t>2026-09-23 09:45</t>
        </is>
      </c>
      <c r="C47" s="3" t="inlineStr">
        <is>
          <t>Ingeniero/a consultor vias y seguridad</t>
        </is>
      </c>
      <c r="D47" s="3" t="inlineStr">
        <is>
          <t>Consultores Generales</t>
        </is>
      </c>
      <c r="E47" s="7" t="n">
        <v>0.58</v>
      </c>
      <c r="F47" s="2" t="inlineStr">
        <is>
          <t>Desconocido</t>
        </is>
      </c>
      <c r="G47" s="5">
        <f>HYPERLINK("https://co.computrabajo.com/ofertas-de-trabajo/mock-edge-011", "Ver Vacante")</f>
        <v/>
      </c>
      <c r="H47" s="6" t="inlineStr"/>
      <c r="I47" s="3" t="inlineStr">
        <is>
          <t>[Afinidad: 58/100 - Afinidad Moderada] Alta coincidencia técnica en infraestructura vial, diseño geométrico y pavimentos. Modalidad: Modalidad no declarada o por verificar.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b1adf833f3af1052</t>
        </is>
      </c>
      <c r="B48" s="2" t="inlineStr">
        <is>
          <t>2026-09-22 03:17</t>
        </is>
      </c>
      <c r="C48" s="3" t="inlineStr">
        <is>
          <t>Coordinador de área ambiental y calidad - líder de sostenibilidad ambiental - ingeniero /hseq</t>
        </is>
      </c>
      <c r="D48" s="3" t="inlineStr">
        <is>
          <t>Confidencial</t>
        </is>
      </c>
      <c r="E48" s="7" t="n">
        <v>0.55</v>
      </c>
      <c r="F48" s="2" t="inlineStr">
        <is>
          <t>Remoto</t>
        </is>
      </c>
      <c r="G48" s="5">
        <f>HYPERLINK("https://www.elempleo.com/co/ofertas-trabajo/coordinador-de-area-ambiental-y-calidad-lider-de-sostenibilidad-ambiental-ingeniero-hseq-1886755446", "Ver Vacante")</f>
        <v/>
      </c>
      <c r="H48" s="6" t="inlineStr"/>
      <c r="I48" s="3" t="inlineStr">
        <is>
          <t>[Afinidad: 55/100 - Afinidad Moderada] Afinidad parcial en seguridad y salud ocupacional.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fc5dd04f5bd144ee</t>
        </is>
      </c>
      <c r="B49" s="2" t="inlineStr">
        <is>
          <t>2026-09-22 03:27</t>
        </is>
      </c>
      <c r="C49" s="3" t="inlineStr">
        <is>
          <t>Fisioterapeuta Especialista en SST</t>
        </is>
      </c>
      <c r="D49" s="3" t="inlineStr">
        <is>
          <t>Gi Group Colombia</t>
        </is>
      </c>
      <c r="E49" s="7" t="n">
        <v>0.55</v>
      </c>
      <c r="F49" s="2" t="inlineStr">
        <is>
          <t>Remoto</t>
        </is>
      </c>
      <c r="G49" s="5">
        <f>HYPERLINK("https://co.computrabajo.com/ofertas-de-trabajo/oferta-de-trabajo-de-fisioterapeuta-especialista-en-sst-en-bogota-dc-076F583656B7841761373E686DCF3405", "Ver Vacante")</f>
        <v/>
      </c>
      <c r="H49" s="6" t="inlineStr">
        <is>
          <t>$ 4.000.000,00 (Mensual)</t>
        </is>
      </c>
      <c r="I49" s="3" t="inlineStr">
        <is>
          <t>[Afinidad: 55/100 - Afinidad Moderada] Afinidad parcial en seguridad y salud ocupacional.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3262fc198936542f</t>
        </is>
      </c>
      <c r="B50" s="2" t="inlineStr">
        <is>
          <t>2026-09-22 05:09</t>
        </is>
      </c>
      <c r="C50" s="3" t="inlineStr">
        <is>
          <t>Ingeniero industrial especialista SST</t>
        </is>
      </c>
      <c r="D50" s="3" t="inlineStr">
        <is>
          <t>ACTIVOS S A S</t>
        </is>
      </c>
      <c r="E50" s="7" t="n">
        <v>0.55</v>
      </c>
      <c r="F50" s="2" t="inlineStr">
        <is>
          <t>Remoto</t>
        </is>
      </c>
      <c r="G50" s="5">
        <f>HYPERLINK("https://co.computrabajo.com/ofertas-de-trabajo/oferta-de-trabajo-de-ingeniero-industrial-especialista-sst-en-yumbo-74CF6CB934E4D36B61373E686DCF3405", "Ver Vacante")</f>
        <v/>
      </c>
      <c r="H50" s="6" t="inlineStr">
        <is>
          <t>$ 4.104.000,00 (Mensual)</t>
        </is>
      </c>
      <c r="I50" s="3" t="inlineStr">
        <is>
          <t>[Afinidad: 55/100 - Afinidad Moderada] Afinidad parcial en seguridad y salud ocupacional.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d2ad2ff9acd6839f</t>
        </is>
      </c>
      <c r="B51" s="2" t="inlineStr">
        <is>
          <t>2026-09-22 05:09</t>
        </is>
      </c>
      <c r="C51" s="3" t="inlineStr">
        <is>
          <t>Ingeniero eléctrico o electrónico Especialista en SST</t>
        </is>
      </c>
      <c r="D51" s="3" t="inlineStr">
        <is>
          <t>ACTIVOS S A S</t>
        </is>
      </c>
      <c r="E51" s="7" t="n">
        <v>0.55</v>
      </c>
      <c r="F51" s="2" t="inlineStr">
        <is>
          <t>Remoto</t>
        </is>
      </c>
      <c r="G51" s="5">
        <f>HYPERLINK("https://co.computrabajo.com/ofertas-de-trabajo/oferta-de-trabajo-de-ingeniero-electrico-o-electronico-especialista-en-sst-en-barranquilla-D72EF1BA5326962B61373E686DCF3405", "Ver Vacante")</f>
        <v/>
      </c>
      <c r="H51" s="6" t="inlineStr">
        <is>
          <t>$ 3.477.600,00 (Mensual)</t>
        </is>
      </c>
      <c r="I51" s="3" t="inlineStr">
        <is>
          <t>[Afinidad: 55/100 - Afinidad Moderada] Afinidad parcial en seguridad y salud ocupacional.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3808b33644911513</t>
        </is>
      </c>
      <c r="B52" s="2" t="inlineStr">
        <is>
          <t>2026-09-22 05:09</t>
        </is>
      </c>
      <c r="C52" s="3" t="inlineStr">
        <is>
          <t>Fisioterapeuta Especialista en SST / Contratacion Inmediata / Empresa de Servicios Ocupacionales</t>
        </is>
      </c>
      <c r="D52" s="3" t="inlineStr">
        <is>
          <t>Contrate S.A.S</t>
        </is>
      </c>
      <c r="E52" s="7" t="n">
        <v>0.55</v>
      </c>
      <c r="F52" s="2" t="inlineStr">
        <is>
          <t>Remoto</t>
        </is>
      </c>
      <c r="G52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52" s="6" t="inlineStr">
        <is>
          <t>$ 3.500.000,00 (Mensual)</t>
        </is>
      </c>
      <c r="I52" s="3" t="inlineStr">
        <is>
          <t>[Afinidad: 55/100 - Afinidad Moderada] Afinidad parcial en seguridad y salud ocupacional.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286ae83bbe142964</t>
        </is>
      </c>
      <c r="B53" s="2" t="inlineStr">
        <is>
          <t>2026-09-22 05:09</t>
        </is>
      </c>
      <c r="C53" s="3" t="inlineStr">
        <is>
          <t>Optómetra Especialista en SST / Contratacion Inmediata / Empresa de Servicios Ocupacionales</t>
        </is>
      </c>
      <c r="D53" s="3" t="inlineStr">
        <is>
          <t>Contrate S.A.S</t>
        </is>
      </c>
      <c r="E53" s="7" t="n">
        <v>0.55</v>
      </c>
      <c r="F53" s="2" t="inlineStr">
        <is>
          <t>Remoto</t>
        </is>
      </c>
      <c r="G53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53" s="6" t="inlineStr">
        <is>
          <t>$ 4.800.000,00 (Mensual)</t>
        </is>
      </c>
      <c r="I53" s="3" t="inlineStr">
        <is>
          <t>[Afinidad: 55/100 - Afinidad Moderada] Afinidad parcial en seguridad y salud ocupacional.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076e18f5f418f801</t>
        </is>
      </c>
      <c r="B54" s="2" t="inlineStr">
        <is>
          <t>2026-09-22 05:09</t>
        </is>
      </c>
      <c r="C54" s="3" t="inlineStr">
        <is>
          <t>Fonoaudiólogo(a) Especialista en SST</t>
        </is>
      </c>
      <c r="D54" s="3" t="inlineStr">
        <is>
          <t>Colmedicos S.A.S</t>
        </is>
      </c>
      <c r="E54" s="7" t="n">
        <v>0.55</v>
      </c>
      <c r="F54" s="2" t="inlineStr">
        <is>
          <t>Remoto</t>
        </is>
      </c>
      <c r="G54" s="5">
        <f>HYPERLINK("https://co.computrabajo.com/ofertas-de-trabajo/oferta-de-trabajo-de-fonoaudiologoa-especialista-en-sst-medellin-medio-tiempo-en-medellin-D90159B0E2B69D2361373E686DCF3405", "Ver Vacante")</f>
        <v/>
      </c>
      <c r="H54" s="6" t="inlineStr">
        <is>
          <t>$ 1.805.000,00 (Mensual)</t>
        </is>
      </c>
      <c r="I54" s="3" t="inlineStr">
        <is>
          <t>[Afinidad: 55/100 - Afinidad Moderada] Afinidad parcial en seguridad y salud ocupacional.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e8acf791a5020cbe</t>
        </is>
      </c>
      <c r="B55" s="2" t="inlineStr">
        <is>
          <t>2026-09-22 05:09</t>
        </is>
      </c>
      <c r="C55" s="3" t="inlineStr">
        <is>
          <t>Fisioterapeuta especialista SST</t>
        </is>
      </c>
      <c r="D55" s="3" t="inlineStr">
        <is>
          <t>Importante empresa del sector</t>
        </is>
      </c>
      <c r="E55" s="7" t="n">
        <v>0.55</v>
      </c>
      <c r="F55" s="2" t="inlineStr">
        <is>
          <t>Remoto</t>
        </is>
      </c>
      <c r="G55" s="5">
        <f>HYPERLINK("https://co.computrabajo.com/ofertas-de-trabajo/oferta-de-trabajo-de-fisioterapeuta-especialista-sst-bogota-en-bogota-dc-3627E6618E738BBF61373E686DCF3405", "Ver Vacante")</f>
        <v/>
      </c>
      <c r="H55" s="6" t="inlineStr"/>
      <c r="I55" s="3" t="inlineStr">
        <is>
          <t>[Afinidad: 55/100 - Afinidad Moderada] Afinidad parcial en seguridad y salud ocupacional.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2695132e0a8dfc40</t>
        </is>
      </c>
      <c r="B56" s="2" t="inlineStr">
        <is>
          <t>2026-09-22 05:09</t>
        </is>
      </c>
      <c r="C56" s="3" t="inlineStr">
        <is>
          <t>Ingeniero/a químico/a especialista en SST</t>
        </is>
      </c>
      <c r="D56" s="3" t="inlineStr">
        <is>
          <t>AGENCIA DE EMPLEO COMFAMA</t>
        </is>
      </c>
      <c r="E56" s="7" t="n">
        <v>0.55</v>
      </c>
      <c r="F56" s="2" t="inlineStr">
        <is>
          <t>Remoto</t>
        </is>
      </c>
      <c r="G56" s="5">
        <f>HYPERLINK("https://co.computrabajo.com/ofertas-de-trabajo/oferta-de-trabajo-de-ingenieroa-quimicoa-especialista-en-sst-en-medellin-A54414235252C3E061373E686DCF3405", "Ver Vacante")</f>
        <v/>
      </c>
      <c r="H56" s="6" t="inlineStr">
        <is>
          <t>$ 5.040.000,00 (Mensual)</t>
        </is>
      </c>
      <c r="I56" s="3" t="inlineStr">
        <is>
          <t>[Afinidad: 55/100 - Afinidad Moderada] Afinidad parcial en seguridad y salud ocupacional.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1c1d8e4983dc33f4</t>
        </is>
      </c>
      <c r="B57" s="2" t="inlineStr">
        <is>
          <t>2026-09-22 05:09</t>
        </is>
      </c>
      <c r="C57" s="3" t="inlineStr">
        <is>
          <t>Ingeniero ambiental Especialista SST</t>
        </is>
      </c>
      <c r="D57" s="3" t="inlineStr">
        <is>
          <t>Importante empresa del sector</t>
        </is>
      </c>
      <c r="E57" s="7" t="n">
        <v>0.55</v>
      </c>
      <c r="F57" s="2" t="inlineStr">
        <is>
          <t>Remoto</t>
        </is>
      </c>
      <c r="G57" s="5">
        <f>HYPERLINK("https://co.computrabajo.com/ofertas-de-trabajo/oferta-de-trabajo-de-ingeniero-ambiental-especialista-sst-en-itagui-DCE95A795F77267C61373E686DCF3405", "Ver Vacante")</f>
        <v/>
      </c>
      <c r="H57" s="6" t="inlineStr">
        <is>
          <t>$ 4.000.000,00 (Mensual)</t>
        </is>
      </c>
      <c r="I57" s="3" t="inlineStr">
        <is>
          <t>[Afinidad: 55/100 - Afinidad Moderada] Afinidad parcial en seguridad y salud ocupacional.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7a6cd20b57cbdef4</t>
        </is>
      </c>
      <c r="B58" s="2" t="inlineStr">
        <is>
          <t>2026-09-22 05:09</t>
        </is>
      </c>
      <c r="C58" s="3" t="inlineStr">
        <is>
          <t>Coordinador de SST</t>
        </is>
      </c>
      <c r="D58" s="3" t="inlineStr">
        <is>
          <t>PERSOM S.A.S</t>
        </is>
      </c>
      <c r="E58" s="7" t="n">
        <v>0.55</v>
      </c>
      <c r="F58" s="2" t="inlineStr">
        <is>
          <t>Remoto</t>
        </is>
      </c>
      <c r="G58" s="5">
        <f>HYPERLINK("https://co.computrabajo.com/ofertas-de-trabajo/oferta-de-trabajo-de-coordinador-de-sst-en-bogota-dc-F63CA2164CED78C361373E686DCF3405", "Ver Vacante")</f>
        <v/>
      </c>
      <c r="H58" s="6" t="inlineStr">
        <is>
          <t>$ 3.257.687,00 (Mensual)</t>
        </is>
      </c>
      <c r="I58" s="3" t="inlineStr">
        <is>
          <t>[Afinidad: 55/100 - Afinidad Moderada] Afinidad parcial en seguridad y salud ocupacional.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215938c628e41120</t>
        </is>
      </c>
      <c r="B59" s="2" t="inlineStr">
        <is>
          <t>2026-09-22 05:09</t>
        </is>
      </c>
      <c r="C59" s="3" t="inlineStr">
        <is>
          <t>Ingeniero Civil proyectos Infraestructura</t>
        </is>
      </c>
      <c r="D59" s="3" t="inlineStr">
        <is>
          <t>Eficacia</t>
        </is>
      </c>
      <c r="E59" s="7" t="n">
        <v>0.55</v>
      </c>
      <c r="F59" s="2" t="inlineStr">
        <is>
          <t>Remoto</t>
        </is>
      </c>
      <c r="G59" s="5">
        <f>HYPERLINK("https://co.computrabajo.com/ofertas-de-trabajo/oferta-de-trabajo-de-ingeniero-civil-proyectos-infraestructura-cali-valle-en-cali-03949569B6DE5E3061373E686DCF3405", "Ver Vacante")</f>
        <v/>
      </c>
      <c r="H59" s="6" t="inlineStr">
        <is>
          <t>$ 1.750.000,00 (Mensual)</t>
        </is>
      </c>
      <c r="I59" s="3" t="inlineStr">
        <is>
          <t>[Afinidad: 55/100 - Afinidad Moderada] Afinidad parcial en infraestructura vial y transporte.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d40d792e0c65305f</t>
        </is>
      </c>
      <c r="B60" s="2" t="inlineStr">
        <is>
          <t>2026-09-22 05:09</t>
        </is>
      </c>
      <c r="C60" s="3" t="inlineStr">
        <is>
          <t>Coordinador de área ambiental y calidad - líder de sostenibilidad ambiental - ingeniero /hseq</t>
        </is>
      </c>
      <c r="D60" s="3" t="inlineStr">
        <is>
          <t>Confidencial</t>
        </is>
      </c>
      <c r="E60" s="7" t="n">
        <v>0.55</v>
      </c>
      <c r="F60" s="2" t="inlineStr">
        <is>
          <t>Remoto</t>
        </is>
      </c>
      <c r="G60" s="5">
        <f>HYPERLINK("https://www.elempleo.com/co/ofertas-trabajo/coordinador-de-area-ambiental-y-calidad-lider-de-sostenibilidad-ambiental-ingeniero-hseq-1886755446", "Ver Vacante")</f>
        <v/>
      </c>
      <c r="H60" s="6" t="inlineStr"/>
      <c r="I60" s="3" t="inlineStr">
        <is>
          <t>[Afinidad: 55/100 - Afinidad Moderada] Afinidad parcial en seguridad y salud ocupacional.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5333f11a5d9ddaf0</t>
        </is>
      </c>
      <c r="B61" s="2" t="inlineStr">
        <is>
          <t>2026-09-22 05:09</t>
        </is>
      </c>
      <c r="C61" s="3" t="inlineStr">
        <is>
          <t>Cali -consultor psicólogo especialista sst independiente</t>
        </is>
      </c>
      <c r="D61" s="3" t="inlineStr">
        <is>
          <t>Confidencial</t>
        </is>
      </c>
      <c r="E61" s="7" t="n">
        <v>0.55</v>
      </c>
      <c r="F61" s="2" t="inlineStr">
        <is>
          <t>Remoto</t>
        </is>
      </c>
      <c r="G61" s="5">
        <f>HYPERLINK("https://www.elempleo.com/co/ofertas-trabajo/cali-consultor-psicologo-especialista-sst-independiente-1886768154", "Ver Vacante")</f>
        <v/>
      </c>
      <c r="H61" s="6" t="inlineStr"/>
      <c r="I61" s="3" t="inlineStr">
        <is>
          <t>[Afinidad: 55/100 - Afinidad Moderada] Afinidad parcial en seguridad y salud ocupacional.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c2ab1be2d87d56da</t>
        </is>
      </c>
      <c r="B62" s="2" t="inlineStr">
        <is>
          <t>2026-09-22 05:09</t>
        </is>
      </c>
      <c r="C62" s="3" t="inlineStr">
        <is>
          <t>Cali -consultor psicólogo especialista sst independiente</t>
        </is>
      </c>
      <c r="D62" s="3" t="inlineStr">
        <is>
          <t>Confidencial</t>
        </is>
      </c>
      <c r="E62" s="7" t="n">
        <v>0.55</v>
      </c>
      <c r="F62" s="2" t="inlineStr">
        <is>
          <t>Remoto</t>
        </is>
      </c>
      <c r="G62" s="5">
        <f>HYPERLINK("https://www.elempleo.com/co/ofertas-trabajo/cali-consultor-psicologo-especialista-sst-independiente-1886745046", "Ver Vacante")</f>
        <v/>
      </c>
      <c r="H62" s="6" t="inlineStr"/>
      <c r="I62" s="3" t="inlineStr">
        <is>
          <t>[Afinidad: 55/100 -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b2e965ef992d7e0c</t>
        </is>
      </c>
      <c r="B63" s="2" t="inlineStr">
        <is>
          <t>2026-09-22 05:09</t>
        </is>
      </c>
      <c r="C63" s="3" t="inlineStr">
        <is>
          <t>Cali -consultor psicólogo especialista sst independiente</t>
        </is>
      </c>
      <c r="D63" s="3" t="inlineStr">
        <is>
          <t>Confidencial</t>
        </is>
      </c>
      <c r="E63" s="7" t="n">
        <v>0.55</v>
      </c>
      <c r="F63" s="2" t="inlineStr">
        <is>
          <t>Remoto</t>
        </is>
      </c>
      <c r="G63" s="5">
        <f>HYPERLINK("https://www.elempleo.com/co/ofertas-trabajo/cali-consultor-psicologo-especialista-sst-independiente-1886760591", "Ver Vacante")</f>
        <v/>
      </c>
      <c r="H63" s="6" t="inlineStr"/>
      <c r="I63" s="3" t="inlineStr">
        <is>
          <t>[Afinidad: 55/100 -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e59c6b77c6fb31ec</t>
        </is>
      </c>
      <c r="B64" s="2" t="inlineStr">
        <is>
          <t>2026-09-22 05:09</t>
        </is>
      </c>
      <c r="C64" s="3" t="inlineStr">
        <is>
          <t>Ingeniero químico especialista en sst - bogotá</t>
        </is>
      </c>
      <c r="D64" s="3" t="inlineStr">
        <is>
          <t>Quirón Prevención Colombia S.A.S</t>
        </is>
      </c>
      <c r="E64" s="7" t="n">
        <v>0.55</v>
      </c>
      <c r="F64" s="2" t="inlineStr">
        <is>
          <t>Remoto</t>
        </is>
      </c>
      <c r="G64" s="5">
        <f>HYPERLINK("https://www.elempleo.com/co/ofertas-trabajo/ingeniero-quimico-especialista-en-sst-bogota-1886699816", "Ver Vacante")</f>
        <v/>
      </c>
      <c r="H64" s="6" t="inlineStr"/>
      <c r="I64" s="3" t="inlineStr">
        <is>
          <t>[Afinidad: 55/100 -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631acc8f85eaeeff</t>
        </is>
      </c>
      <c r="B65" s="2" t="inlineStr">
        <is>
          <t>2026-09-22 05:09</t>
        </is>
      </c>
      <c r="C65" s="3" t="inlineStr">
        <is>
          <t>Psicólogo especialista en sst</t>
        </is>
      </c>
      <c r="D65" s="3" t="inlineStr">
        <is>
          <t>Quirón Prevención Colombia S.A.S</t>
        </is>
      </c>
      <c r="E65" s="7" t="n">
        <v>0.55</v>
      </c>
      <c r="F65" s="2" t="inlineStr">
        <is>
          <t>Remoto</t>
        </is>
      </c>
      <c r="G65" s="5">
        <f>HYPERLINK("https://www.elempleo.com/co/ofertas-trabajo/psicologo-especialista-en-sst-bogota-1886758005", "Ver Vacante")</f>
        <v/>
      </c>
      <c r="H65" s="6" t="inlineStr"/>
      <c r="I65" s="3" t="inlineStr">
        <is>
          <t>[Afinidad: 55/100 - Afinidad Moderada] Afinidad parcial en seguridad y salud ocupacional.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7c17015bfac36a33</t>
        </is>
      </c>
      <c r="B66" s="2" t="inlineStr">
        <is>
          <t>2026-09-22 05:09</t>
        </is>
      </c>
      <c r="C66" s="3" t="inlineStr">
        <is>
          <t>Coordinador de proyectos en sst</t>
        </is>
      </c>
      <c r="D66" s="3" t="inlineStr">
        <is>
          <t>ACL</t>
        </is>
      </c>
      <c r="E66" s="7" t="n">
        <v>0.55</v>
      </c>
      <c r="F66" s="2" t="inlineStr">
        <is>
          <t>Remoto</t>
        </is>
      </c>
      <c r="G66" s="5">
        <f>HYPERLINK("https://www.elempleo.com/co/ofertas-trabajo/coordinador-de-proyectos-en-sst-1886754005", "Ver Vacante")</f>
        <v/>
      </c>
      <c r="H66" s="6" t="inlineStr"/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4b4069b9dca6e119</t>
        </is>
      </c>
      <c r="B67" s="2" t="inlineStr">
        <is>
          <t>2026-09-22 05:09</t>
        </is>
      </c>
      <c r="C67" s="3" t="inlineStr">
        <is>
          <t>Profesional sst especialista sst 627556</t>
        </is>
      </c>
      <c r="D67" s="3" t="inlineStr">
        <is>
          <t>JOBANDTALENT CO SAS</t>
        </is>
      </c>
      <c r="E67" s="7" t="n">
        <v>0.55</v>
      </c>
      <c r="F67" s="2" t="inlineStr">
        <is>
          <t>Remoto</t>
        </is>
      </c>
      <c r="G67" s="5">
        <f>HYPERLINK("https://www.elempleo.com/co/ofertas-trabajo/profesional-sst-especialista-sst-627556-1886739219", "Ver Vacante")</f>
        <v/>
      </c>
      <c r="H67" s="6" t="inlineStr"/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1857f57b4d01d529</t>
        </is>
      </c>
      <c r="B68" s="2" t="inlineStr">
        <is>
          <t>2026-09-22 05:09</t>
        </is>
      </c>
      <c r="C68" s="3" t="inlineStr">
        <is>
          <t>Especialista sst regional</t>
        </is>
      </c>
      <c r="D68" s="3" t="inlineStr">
        <is>
          <t>D1 SAS</t>
        </is>
      </c>
      <c r="E68" s="7" t="n">
        <v>0.55</v>
      </c>
      <c r="F68" s="2" t="inlineStr">
        <is>
          <t>Remoto</t>
        </is>
      </c>
      <c r="G68" s="5">
        <f>HYPERLINK("https://www.elempleo.com/co/ofertas-trabajo/especialista-sst-regional-1886755260", "Ver Vacante")</f>
        <v/>
      </c>
      <c r="H68" s="6" t="inlineStr"/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bedbbc3d1eb04d51</t>
        </is>
      </c>
      <c r="B69" s="2" t="inlineStr">
        <is>
          <t>2026-09-22 05:09</t>
        </is>
      </c>
      <c r="C69" s="3" t="inlineStr">
        <is>
          <t>Ingeniero industrial especialista en sst - bogotá</t>
        </is>
      </c>
      <c r="D69" s="3" t="inlineStr">
        <is>
          <t>Quirón Prevención Colombia S.A.S</t>
        </is>
      </c>
      <c r="E69" s="7" t="n">
        <v>0.55</v>
      </c>
      <c r="F69" s="2" t="inlineStr">
        <is>
          <t>Remoto</t>
        </is>
      </c>
      <c r="G69" s="5">
        <f>HYPERLINK("https://www.elempleo.com/co/ofertas-trabajo/ingeniero-industrial-especialista-en-sst-bogota-1886769067", "Ver Vacante")</f>
        <v/>
      </c>
      <c r="H69" s="6" t="inlineStr"/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32bbd9adcf2cf897</t>
        </is>
      </c>
      <c r="B70" s="2" t="inlineStr">
        <is>
          <t>2026-09-22 05:09</t>
        </is>
      </c>
      <c r="C70" s="3" t="inlineStr">
        <is>
          <t>Psicóloga especialista sst medellin</t>
        </is>
      </c>
      <c r="D70" s="3" t="inlineStr">
        <is>
          <t>CROMA MEDICAL IPS SAS</t>
        </is>
      </c>
      <c r="E70" s="7" t="n">
        <v>0.55</v>
      </c>
      <c r="F70" s="2" t="inlineStr">
        <is>
          <t>Remoto</t>
        </is>
      </c>
      <c r="G70" s="5">
        <f>HYPERLINK("https://www.elempleo.com/co/ofertas-trabajo/psicologa-especialista-sst-medellin-1886760695", "Ver Vacante")</f>
        <v/>
      </c>
      <c r="H70" s="6" t="inlineStr"/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515ba58295e9ed62</t>
        </is>
      </c>
      <c r="B71" s="2" t="inlineStr">
        <is>
          <t>2026-09-22 05:09</t>
        </is>
      </c>
      <c r="C71" s="3" t="inlineStr">
        <is>
          <t>Barranquilla - consultor psicólogo especialista sst independiente</t>
        </is>
      </c>
      <c r="D71" s="3" t="inlineStr">
        <is>
          <t>Confidencial</t>
        </is>
      </c>
      <c r="E71" s="7" t="n">
        <v>0.55</v>
      </c>
      <c r="F71" s="2" t="inlineStr">
        <is>
          <t>Remoto</t>
        </is>
      </c>
      <c r="G71" s="5">
        <f>HYPERLINK("https://www.elempleo.com/co/ofertas-trabajo/barranquilla-consultor-psicologo-especialista-sst-independiente-1886751100", "Ver Vacante")</f>
        <v/>
      </c>
      <c r="H71" s="6" t="inlineStr"/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c4d1af7d4b175e9c</t>
        </is>
      </c>
      <c r="B72" s="2" t="inlineStr">
        <is>
          <t>2026-09-22 05:09</t>
        </is>
      </c>
      <c r="C72" s="3" t="inlineStr">
        <is>
          <t>Cali -consultor psicólogo especialista sst independiente</t>
        </is>
      </c>
      <c r="D72" s="3" t="inlineStr">
        <is>
          <t>Confidencial</t>
        </is>
      </c>
      <c r="E72" s="7" t="n">
        <v>0.55</v>
      </c>
      <c r="F72" s="2" t="inlineStr">
        <is>
          <t>Remoto</t>
        </is>
      </c>
      <c r="G72" s="5">
        <f>HYPERLINK("https://www.elempleo.com/co/ofertas-trabajo/cali-consultor-psicologo-especialista-sst-independiente-1886765207", "Ver Vacante")</f>
        <v/>
      </c>
      <c r="H72" s="6" t="inlineStr"/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5c1c43e8151646eb</t>
        </is>
      </c>
      <c r="B73" s="2" t="inlineStr">
        <is>
          <t>2026-09-22 05:09</t>
        </is>
      </c>
      <c r="C73" s="3" t="inlineStr">
        <is>
          <t>Cartagena -consultor psicólogo especialista sst independiente</t>
        </is>
      </c>
      <c r="D73" s="3" t="inlineStr">
        <is>
          <t>Confidencial</t>
        </is>
      </c>
      <c r="E73" s="7" t="n">
        <v>0.55</v>
      </c>
      <c r="F73" s="2" t="inlineStr">
        <is>
          <t>Remoto</t>
        </is>
      </c>
      <c r="G73" s="5">
        <f>HYPERLINK("https://www.elempleo.com/co/ofertas-trabajo/cartagena-consultor-psicologo-especialista-sst-independiente-1886764943", "Ver Vacante")</f>
        <v/>
      </c>
      <c r="H73" s="6" t="inlineStr"/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8b77e05e299277ac</t>
        </is>
      </c>
      <c r="B74" s="2" t="inlineStr">
        <is>
          <t>2026-09-22 05:09</t>
        </is>
      </c>
      <c r="C74" s="3" t="inlineStr">
        <is>
          <t>Bogota- psicólogo especialista sst consultor independiente</t>
        </is>
      </c>
      <c r="D74" s="3" t="inlineStr">
        <is>
          <t>Confidencial</t>
        </is>
      </c>
      <c r="E74" s="7" t="n">
        <v>0.55</v>
      </c>
      <c r="F74" s="2" t="inlineStr">
        <is>
          <t>Remoto</t>
        </is>
      </c>
      <c r="G74" s="5">
        <f>HYPERLINK("https://www.elempleo.com/co/ofertas-trabajo/bogota-psicologo-especialista-sst-consultor-independiente-1886769274", "Ver Vacante")</f>
        <v/>
      </c>
      <c r="H74" s="6" t="inlineStr"/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caec2bc618b7c929</t>
        </is>
      </c>
      <c r="B75" s="2" t="inlineStr">
        <is>
          <t>2026-09-22 05:09</t>
        </is>
      </c>
      <c r="C75" s="3" t="inlineStr">
        <is>
          <t>Barranquilla - consultor psicólogo especialista sst independiente</t>
        </is>
      </c>
      <c r="D75" s="3" t="inlineStr">
        <is>
          <t>Confidencial</t>
        </is>
      </c>
      <c r="E75" s="7" t="n">
        <v>0.55</v>
      </c>
      <c r="F75" s="2" t="inlineStr">
        <is>
          <t>Remoto</t>
        </is>
      </c>
      <c r="G75" s="5">
        <f>HYPERLINK("https://www.elempleo.com/co/ofertas-trabajo/barranquilla-consultor-psicologo-especialista-sst-independiente-1886763915", "Ver Vacante")</f>
        <v/>
      </c>
      <c r="H75" s="6" t="inlineStr"/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3cd4840075db8bba</t>
        </is>
      </c>
      <c r="B76" s="2" t="inlineStr">
        <is>
          <t>2026-09-22 05:09</t>
        </is>
      </c>
      <c r="C76" s="3" t="inlineStr">
        <is>
          <t>Barranquilla - consultor psicólogo especialista sst independiente</t>
        </is>
      </c>
      <c r="D76" s="3" t="inlineStr">
        <is>
          <t>Confidencial</t>
        </is>
      </c>
      <c r="E76" s="7" t="n">
        <v>0.55</v>
      </c>
      <c r="F76" s="2" t="inlineStr">
        <is>
          <t>Remoto</t>
        </is>
      </c>
      <c r="G76" s="5">
        <f>HYPERLINK("https://www.elempleo.com/co/ofertas-trabajo/barranquilla-consultor-psicologo-especialista-sst-independiente-1886746264",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1e6baed6c22e66e5</t>
        </is>
      </c>
      <c r="B77" s="2" t="inlineStr">
        <is>
          <t>2026-09-22 05:09</t>
        </is>
      </c>
      <c r="C77" s="3" t="inlineStr">
        <is>
          <t>Bogota - consultor psicólogo especialista sst independiente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HYPERLINK("https://www.elempleo.com/co/ofertas-trabajo/bogota-consultor-psicologo-especialista-sst-independiente-1886746058",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38789d9a0608d840</t>
        </is>
      </c>
      <c r="B78" s="2" t="inlineStr">
        <is>
          <t>2026-09-22 05:09</t>
        </is>
      </c>
      <c r="C78" s="3" t="inlineStr">
        <is>
          <t>Bogota- psicólogo especialista sst consultor independiente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HYPERLINK("https://www.elempleo.com/co/ofertas-trabajo/bogota-psicologo-especialista-sst-consultor-independiente-1886744293",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10cf16645266a188</t>
        </is>
      </c>
      <c r="B79" s="2" t="inlineStr">
        <is>
          <t>2026-09-22 05:09</t>
        </is>
      </c>
      <c r="C79" s="3" t="inlineStr">
        <is>
          <t>Bogota - consultor psicólogo especialista sst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HYPERLINK("https://www.elempleo.com/co/ofertas-trabajo/bogota-consultor-psicologo-especialista-sst-independiente-1886754444",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9d63e5860eb4f511</t>
        </is>
      </c>
      <c r="B80" s="2" t="inlineStr">
        <is>
          <t>2026-09-22 05:09</t>
        </is>
      </c>
      <c r="C80" s="3" t="inlineStr">
        <is>
          <t>Coordinador sst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HYPERLINK("https://www.elempleo.com/co/ofertas-trabajo/coordinador-sst-1886756694",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b6fc490e7d1cb302</t>
        </is>
      </c>
      <c r="B81" s="2" t="inlineStr">
        <is>
          <t>2026-09-22 05:09</t>
        </is>
      </c>
      <c r="C81" s="3" t="inlineStr">
        <is>
          <t>Coordinador sst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HYPERLINK("https://www.elempleo.com/co/ofertas-trabajo/coordinador-sst-1886755615",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89b0a50a441c6311</t>
        </is>
      </c>
      <c r="B82" s="2" t="inlineStr">
        <is>
          <t>2026-09-22 05:09</t>
        </is>
      </c>
      <c r="C82" s="3" t="inlineStr">
        <is>
          <t>Coordinador sst</t>
        </is>
      </c>
      <c r="D82" s="3" t="inlineStr">
        <is>
          <t>Ingeurbe S.A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HYPERLINK("https://www.elempleo.com/co/ofertas-trabajo/coordinador-sst-1886751696",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dbd929b4729965e4</t>
        </is>
      </c>
      <c r="B83" s="2" t="inlineStr">
        <is>
          <t>2026-09-22 05:09</t>
        </is>
      </c>
      <c r="C83" s="3" t="inlineStr">
        <is>
          <t>Coordinador sst cali</t>
        </is>
      </c>
      <c r="D83" s="3" t="inlineStr">
        <is>
          <t>PROMOAMBIENTAL DISTRITO SAS ESP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HYPERLINK("https://www.elempleo.com/co/ofertas-trabajo/coordinador-sst-cali-1886763306",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c3693cc02f73e3a5</t>
        </is>
      </c>
      <c r="B84" s="2" t="inlineStr">
        <is>
          <t>2026-09-22 05:09</t>
        </is>
      </c>
      <c r="C84" s="3" t="inlineStr">
        <is>
          <t>Inspector o coordinador sst</t>
        </is>
      </c>
      <c r="D84" s="3" t="inlineStr">
        <is>
          <t>ADECCO COLOMBIA S A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HYPERLINK("https://www.elempleo.com/co/ofertas-trabajo/inspector-o-coordinador-sst-1886747212",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202995b9333b4f87</t>
        </is>
      </c>
      <c r="B85" s="2" t="inlineStr">
        <is>
          <t>2026-09-22 05:09</t>
        </is>
      </c>
      <c r="C85" s="3" t="inlineStr">
        <is>
          <t>Coordinador sst sector manufactura</t>
        </is>
      </c>
      <c r="D85" s="3" t="inlineStr">
        <is>
          <t>Confidencial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HYPERLINK("https://www.elempleo.com/co/ofertas-trabajo/coordinador-sst-sector-manufactura-1886742930",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b84b7270d3c00390</t>
        </is>
      </c>
      <c r="B86" s="2" t="inlineStr">
        <is>
          <t>2026-09-22 05:09</t>
        </is>
      </c>
      <c r="C86" s="3" t="inlineStr">
        <is>
          <t>Coordinador de sst - tunja boyaca</t>
        </is>
      </c>
      <c r="D86" s="3" t="inlineStr">
        <is>
          <t>Clínica Medilaser S.A.S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HYPERLINK("https://www.elempleo.com/co/ofertas-trabajo/coordinador-de-sst-tunja-boyaca-1886756822",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e2d49218b20ec3d4</t>
        </is>
      </c>
      <c r="B87" s="2" t="inlineStr">
        <is>
          <t>2026-09-22 05:09</t>
        </is>
      </c>
      <c r="C87" s="3" t="inlineStr">
        <is>
          <t>Coordinador sst profesional bogota y aledaños</t>
        </is>
      </c>
      <c r="D87" s="3" t="inlineStr">
        <is>
          <t>Automatizacion Integ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HYPERLINK("https://www.elempleo.com/co/ofertas-trabajo/coordinador-sst-profesional-bogota-y-aledanos-1886766934",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c9ddc083f60a3c14</t>
        </is>
      </c>
      <c r="B88" s="2" t="inlineStr">
        <is>
          <t>2026-09-22 05:09</t>
        </is>
      </c>
      <c r="C88" s="3" t="inlineStr">
        <is>
          <t>Coordinadora de sst</t>
        </is>
      </c>
      <c r="D88" s="3" t="inlineStr">
        <is>
          <t>Confidencial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HYPERLINK("https://www.elempleo.com/co/ofertas-trabajo/coordinadora-de-sst-1886764987",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7f87b552f8374594</t>
        </is>
      </c>
      <c r="B89" s="2" t="inlineStr">
        <is>
          <t>2026-09-22 05:09</t>
        </is>
      </c>
      <c r="C89" s="3" t="inlineStr">
        <is>
          <t>Coordinador sst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HYPERLINK("https://www.elempleo.com/co/ofertas-trabajo/coordinador-sst-1886745545",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da412525716fc949</t>
        </is>
      </c>
      <c r="B90" s="2" t="inlineStr">
        <is>
          <t>2026-09-22 05:09</t>
        </is>
      </c>
      <c r="C90" s="3" t="inlineStr">
        <is>
          <t>Coordinador sst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HYPERLINK("https://www.elempleo.com/co/ofertas-trabajo/coordinador-sst-1886758307",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6a236142b439c2df</t>
        </is>
      </c>
      <c r="B91" s="2" t="inlineStr">
        <is>
          <t>2026-09-22 05:09</t>
        </is>
      </c>
      <c r="C91" s="3" t="inlineStr">
        <is>
          <t>Profesional sg-sst - bogotá sector salud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HYPERLINK("https://www.elempleo.com/co/ofertas-trabajo/profesional-sgsst-bogota-sector-salud-1886722019", "Ver Vacante")</f>
        <v/>
      </c>
      <c r="H91" s="6" t="inlineStr"/>
      <c r="I91" s="3" t="inlineStr">
        <is>
          <t>[Afinidad: 55/100 -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183be09bac3981ff</t>
        </is>
      </c>
      <c r="B92" s="2" t="inlineStr">
        <is>
          <t>2026-09-22 05:09</t>
        </is>
      </c>
      <c r="C92" s="3" t="inlineStr">
        <is>
          <t>Auxiliar de seguridad y salud en el trabajo</t>
        </is>
      </c>
      <c r="D92" s="3" t="inlineStr">
        <is>
          <t>SUMMAR PRODUCTIVIDAD S.A.S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HYPERLINK("https://www.elempleo.com/co/ofertas-trabajo/auxiliar-de-seguridad-y-salud-en-el-trabajo-sgsst-1886760290", "Ver Vacante")</f>
        <v/>
      </c>
      <c r="H92" s="6" t="inlineStr"/>
      <c r="I92" s="3" t="inlineStr">
        <is>
          <t>[Afinidad: 55/100 -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e458abda6c8c6a4d</t>
        </is>
      </c>
      <c r="B93" s="2" t="inlineStr">
        <is>
          <t>2026-09-22 05:09</t>
        </is>
      </c>
      <c r="C93" s="3" t="inlineStr">
        <is>
          <t>Residente SG-SST</t>
        </is>
      </c>
      <c r="D93" s="3" t="inlineStr">
        <is>
          <t>Hunter Douglas Colombia</t>
        </is>
      </c>
      <c r="E93" s="7" t="n">
        <v>0.55</v>
      </c>
      <c r="F93" s="2" t="inlineStr">
        <is>
          <t>Remoto</t>
        </is>
      </c>
      <c r="G93" s="5">
        <f>HYPERLINK("https://co.linkedin.com/jobs/view/residente-sg-sst-at-hunter-douglas-colombia-4467388359", "Ver Vacante")</f>
        <v/>
      </c>
      <c r="H93" s="6" t="inlineStr"/>
      <c r="I93" s="3" t="inlineStr">
        <is>
          <t>[Afinidad: 55/100 - Afinidad Moderada] Alta coincidencia en gestión de Seguridad y Salud en el Trabajo (SST).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c9c1198f936f8f92</t>
        </is>
      </c>
      <c r="B94" s="2" t="inlineStr">
        <is>
          <t>2026-09-22 05:09</t>
        </is>
      </c>
      <c r="C94" s="3" t="inlineStr">
        <is>
          <t>Coordinador SST</t>
        </is>
      </c>
      <c r="D94" s="3" t="inlineStr">
        <is>
          <t>TEMPOTRABAJO S.A.S</t>
        </is>
      </c>
      <c r="E94" s="7" t="n">
        <v>0.55</v>
      </c>
      <c r="F94" s="2" t="inlineStr">
        <is>
          <t>Remoto</t>
        </is>
      </c>
      <c r="G94" s="5">
        <f>HYPERLINK("https://co.linkedin.com/jobs/view/coordinador-sst-at-tempotrabajo-s-a-s-4463662684",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a3c876ff52d7c00a</t>
        </is>
      </c>
      <c r="B95" s="2" t="inlineStr">
        <is>
          <t>2026-09-22 05:09</t>
        </is>
      </c>
      <c r="C95" s="3" t="inlineStr">
        <is>
          <t>COORDINADOR SST</t>
        </is>
      </c>
      <c r="D95" s="3" t="inlineStr">
        <is>
          <t>Instalaciones Hidráulicas, Sanitarias y de Gas Inocencio López SAS</t>
        </is>
      </c>
      <c r="E95" s="7" t="n">
        <v>0.55</v>
      </c>
      <c r="F95" s="2" t="inlineStr">
        <is>
          <t>Remoto</t>
        </is>
      </c>
      <c r="G95" s="5">
        <f>HYPERLINK("https://co.linkedin.com/jobs/view/coordinador-sst-at-instalaciones-hidr%C3%A1ulicas-sanitarias-y-de-gas-inocencio-l%C3%B3pez-sas-4423097456",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edfd638496b96148</t>
        </is>
      </c>
      <c r="B96" s="2" t="inlineStr">
        <is>
          <t>2026-09-22 05:09</t>
        </is>
      </c>
      <c r="C96" s="3" t="inlineStr">
        <is>
          <t>Especialista en diseño geométrico</t>
        </is>
      </c>
      <c r="D96" s="3" t="inlineStr">
        <is>
          <t>HMV Ingenieros</t>
        </is>
      </c>
      <c r="E96" s="7" t="n">
        <v>0.55</v>
      </c>
      <c r="F96" s="2" t="inlineStr">
        <is>
          <t>Remoto</t>
        </is>
      </c>
      <c r="G96" s="5">
        <f>HYPERLINK("https://co.linkedin.com/jobs/view/especialista-en-dise%C3%B1o-geom%C3%A9trico-at-hmv-ingenieros-4444748663", "Ver Vacante")</f>
        <v/>
      </c>
      <c r="H96" s="6" t="inlineStr"/>
      <c r="I96" s="3" t="inlineStr">
        <is>
          <t>[Afinidad: 55/100 - Afinidad Moderada] Afinidad parcial en infraestructura vial y transporte.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7e3c2555b7ec0e75</t>
        </is>
      </c>
      <c r="B97" s="2" t="inlineStr">
        <is>
          <t>2026-09-22 05:09</t>
        </is>
      </c>
      <c r="C97" s="3" t="inlineStr">
        <is>
          <t>Civil 3D Modeler</t>
        </is>
      </c>
      <c r="D97" s="3" t="inlineStr">
        <is>
          <t>WSP en Colombia</t>
        </is>
      </c>
      <c r="E97" s="7" t="n">
        <v>0.55</v>
      </c>
      <c r="F97" s="2" t="inlineStr">
        <is>
          <t>Remoto</t>
        </is>
      </c>
      <c r="G97" s="5">
        <f>HYPERLINK("https://co.linkedin.com/jobs/view/civil-3d-modeler-at-wsp-en-colombia-4459262136", "Ver Vacante")</f>
        <v/>
      </c>
      <c r="H97" s="6" t="inlineStr"/>
      <c r="I97" s="3" t="inlineStr">
        <is>
          <t>[Afinidad: 55/100 - Afinidad Moderada] Afinidad parcial en infraestructura vial y transporte.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c207043b76222b67</t>
        </is>
      </c>
      <c r="B98" s="2" t="inlineStr">
        <is>
          <t>2026-09-22 05:09</t>
        </is>
      </c>
      <c r="C98" s="3" t="inlineStr">
        <is>
          <t>Especialista Seguridad y Salud en el Trabajo</t>
        </is>
      </c>
      <c r="D98" s="3" t="inlineStr">
        <is>
          <t>D1 S.A.S</t>
        </is>
      </c>
      <c r="E98" s="7" t="n">
        <v>0.55</v>
      </c>
      <c r="F98" s="2" t="inlineStr">
        <is>
          <t>Remoto</t>
        </is>
      </c>
      <c r="G98" s="5">
        <f>HYPERLINK("https://co.linkedin.com/jobs/view/especialista-seguridad-y-salud-en-el-trabajo-at-d1-s-a-s-4460341281",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3cbe044b124adb25</t>
        </is>
      </c>
      <c r="B99" s="2" t="inlineStr">
        <is>
          <t>2026-09-22 05:09</t>
        </is>
      </c>
      <c r="C99" s="3" t="inlineStr">
        <is>
          <t>Coordinador/a Plan estratégico de seguridad vial</t>
        </is>
      </c>
      <c r="D99" s="3" t="inlineStr">
        <is>
          <t>EMPRESA TRANSPORTADORA SAN GABRIEL SAS</t>
        </is>
      </c>
      <c r="E99" s="7" t="n">
        <v>0.53</v>
      </c>
      <c r="F99" s="2" t="inlineStr">
        <is>
          <t>Remoto</t>
        </is>
      </c>
      <c r="G99" s="5">
        <f>HYPERLINK("https://co.computrabajo.com/ofertas-de-trabajo/oferta-de-trabajo-de-coordinadora-plan-estrategico-de-seguridad-vial-pesv-bogota-en-bogota-dc-2AE9BF94CB16F8FA61373E686DCF3405", "Ver Vacante")</f>
        <v/>
      </c>
      <c r="H99" s="6" t="inlineStr">
        <is>
          <t>$ 3.710.000,00 (Mensual)</t>
        </is>
      </c>
      <c r="I99" s="3" t="inlineStr">
        <is>
          <t>[Afinidad: 53/100 - Afinidad Moderada] Alta coincidencia técnica en infraestructura vial, diseño geométrico y pavimentos.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f93c2e5eedb2fde7</t>
        </is>
      </c>
      <c r="B100" s="2" t="inlineStr">
        <is>
          <t>2026-09-22 05:09</t>
        </is>
      </c>
      <c r="C100" s="3" t="inlineStr">
        <is>
          <t>Coordinador seguridad industrial y sst - plantas de producción</t>
        </is>
      </c>
      <c r="D100" s="3" t="inlineStr">
        <is>
          <t>Confidencial</t>
        </is>
      </c>
      <c r="E100" s="7" t="n">
        <v>0.53</v>
      </c>
      <c r="F100" s="2" t="inlineStr">
        <is>
          <t>Remoto</t>
        </is>
      </c>
      <c r="G100" s="5">
        <f>HYPERLINK("https://www.elempleo.com/co/ofertas-trabajo/coordinador-seguridad-industrial-y-sst-plantas-de-produccion-1886745985", "Ver Vacante")</f>
        <v/>
      </c>
      <c r="H100" s="6" t="inlineStr"/>
      <c r="I100" s="3" t="inlineStr">
        <is>
          <t>[Afinidad: 53/100 - Afinidad Moderada] Alta coincidencia en gestión de Seguridad y Salud en el Trabajo (SST).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a1c66287744c7791</t>
        </is>
      </c>
      <c r="B101" s="2" t="inlineStr">
        <is>
          <t>2026-09-22 05:09</t>
        </is>
      </c>
      <c r="C101" s="3" t="inlineStr">
        <is>
          <t>Coordinador/a Plan estratégico de seguridad vial</t>
        </is>
      </c>
      <c r="D101" s="3" t="inlineStr">
        <is>
          <t>Empresa Transportadora San Gabriel S.A.S.</t>
        </is>
      </c>
      <c r="E101" s="7" t="n">
        <v>0.53</v>
      </c>
      <c r="F101" s="2" t="inlineStr">
        <is>
          <t>Remoto</t>
        </is>
      </c>
      <c r="G101" s="5">
        <f>HYPERLINK("https://co.linkedin.com/jobs/view/coordinador-a-plan-estrat%C3%A9gico-de-seguridad-vial-pesv-at-empresa-transportadora-san-gabriel-s-a-s-4469263436", "Ver Vacante")</f>
        <v/>
      </c>
      <c r="H101" s="6" t="inlineStr"/>
      <c r="I101" s="3" t="inlineStr">
        <is>
          <t>[Afinidad: 53/100 - Afinidad Moderada] Alta coincidencia técnica en infraestructura vial, diseño geométrico y pavimentos.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aab045c9be9eca86</t>
        </is>
      </c>
      <c r="B102" s="2" t="inlineStr">
        <is>
          <t>2026-09-22 03:17</t>
        </is>
      </c>
      <c r="C102" s="3" t="inlineStr">
        <is>
          <t>Ingeniero infraestructura - bilingue - remoto</t>
        </is>
      </c>
      <c r="D102" s="3" t="inlineStr">
        <is>
          <t>MICHAEL PAGE INTERNATIONAL</t>
        </is>
      </c>
      <c r="E102" s="7" t="n">
        <v>0.5</v>
      </c>
      <c r="F102" s="2" t="inlineStr">
        <is>
          <t>Remoto</t>
        </is>
      </c>
      <c r="G102" s="5">
        <f>HYPERLINK("https://www.elempleo.com/co/ofertas-trabajo/ingeniero-infraestructura-bilingue-remoto-1886744267", "Ver Vacante")</f>
        <v/>
      </c>
      <c r="H102" s="6" t="inlineStr"/>
      <c r="I102" s="3" t="inlineStr">
        <is>
          <t>[Afinidad: 50/100 - Afinidad Moderada] Afinidad parcial en infraestructura vial y transporte.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1a61ce5041122a0a</t>
        </is>
      </c>
      <c r="B103" s="2" t="inlineStr">
        <is>
          <t>2026-09-22 03:17</t>
        </is>
      </c>
      <c r="C103" s="3" t="inlineStr">
        <is>
          <t>Ingeniero de infraestructura (servidores/aws) - remoto</t>
        </is>
      </c>
      <c r="D103" s="3" t="inlineStr">
        <is>
          <t>Cinte Colombia SAS</t>
        </is>
      </c>
      <c r="E103" s="7" t="n">
        <v>0.5</v>
      </c>
      <c r="F103" s="2" t="inlineStr">
        <is>
          <t>Remoto</t>
        </is>
      </c>
      <c r="G103" s="5">
        <f>HYPERLINK("https://www.elempleo.com/co/ofertas-trabajo/ingeniero-de-infraestructura-servidores-aws-remoto-1886744007", "Ver Vacante")</f>
        <v/>
      </c>
      <c r="H103" s="6" t="inlineStr"/>
      <c r="I103" s="3" t="inlineStr">
        <is>
          <t>[Afinidad: 50/100 - Afinidad Moderada] Afinidad parcial en infraestructura vial y transporte.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1c3cc968f8905c3e</t>
        </is>
      </c>
      <c r="B104" s="2" t="inlineStr">
        <is>
          <t>2026-09-22 03:17</t>
        </is>
      </c>
      <c r="C104" s="3" t="inlineStr">
        <is>
          <t>Ingeniero/a de infraestructura y conectividad cloud remoto</t>
        </is>
      </c>
      <c r="D104" s="3" t="inlineStr">
        <is>
          <t>TALYCAP GLOBAL SAS</t>
        </is>
      </c>
      <c r="E104" s="7" t="n">
        <v>0.5</v>
      </c>
      <c r="F104" s="2" t="inlineStr">
        <is>
          <t>Remoto</t>
        </is>
      </c>
      <c r="G104" s="5">
        <f>HYPERLINK("https://www.elempleo.com/co/ofertas-trabajo/ingeniero-a-de-infraestructura-y-conectividad-cloud-remoto-1886768627", "Ver Vacante")</f>
        <v/>
      </c>
      <c r="H104" s="6" t="inlineStr"/>
      <c r="I104" s="3" t="inlineStr">
        <is>
          <t>[Afinidad: 50/100 - Afinidad Moderada] Afinidad parcial en infraestructura vial y transporte.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d1d0c6736a34b513</t>
        </is>
      </c>
      <c r="B105" s="2" t="inlineStr">
        <is>
          <t>2026-09-22 03:17</t>
        </is>
      </c>
      <c r="C105" s="3" t="inlineStr">
        <is>
          <t>Ingeniero/a de infraestructura y conectividad cloud 100% remoto</t>
        </is>
      </c>
      <c r="D105" s="3" t="inlineStr">
        <is>
          <t>TALYCAP GLOBAL SAS</t>
        </is>
      </c>
      <c r="E105" s="7" t="n">
        <v>0.5</v>
      </c>
      <c r="F105" s="2" t="inlineStr">
        <is>
          <t>Remoto</t>
        </is>
      </c>
      <c r="G105" s="5">
        <f>HYPERLINK("https://www.elempleo.com/co/ofertas-trabajo/ingeniero-a-de-infraestructura-y-conectividad-cloud-100-remoto-1886768625", "Ver Vacante")</f>
        <v/>
      </c>
      <c r="H105" s="6" t="inlineStr"/>
      <c r="I105" s="3" t="inlineStr">
        <is>
          <t>[Afinidad: 50/100 - Afinidad Moderada] Afinidad parcial en infraestructura vial y transporte.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ec4f785d321ad6f2</t>
        </is>
      </c>
      <c r="B106" s="2" t="inlineStr">
        <is>
          <t>2026-09-22 03:17</t>
        </is>
      </c>
      <c r="C106" s="3" t="inlineStr">
        <is>
          <t>Ingeniero de infraestructura</t>
        </is>
      </c>
      <c r="D106" s="3" t="inlineStr">
        <is>
          <t>Confidencial</t>
        </is>
      </c>
      <c r="E106" s="7" t="n">
        <v>0.5</v>
      </c>
      <c r="F106" s="2" t="inlineStr">
        <is>
          <t>Remoto</t>
        </is>
      </c>
      <c r="G106" s="5">
        <f>HYPERLINK("https://www.elempleo.com/co/ofertas-trabajo/ingeniero-de-infraestructura-1886755031", "Ver Vacante")</f>
        <v/>
      </c>
      <c r="H106" s="6" t="inlineStr"/>
      <c r="I106" s="3" t="inlineStr">
        <is>
          <t>[Afinidad: 50/100 - Afinidad Moderada] Afinidad parcial en infraestructura vial y transporte.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0948ea95da6f92b1</t>
        </is>
      </c>
      <c r="B107" s="2" t="inlineStr">
        <is>
          <t>2026-09-22 03:17</t>
        </is>
      </c>
      <c r="C107" s="3" t="inlineStr">
        <is>
          <t>Director de interventoría concesión</t>
        </is>
      </c>
      <c r="D107" s="3" t="inlineStr">
        <is>
          <t>Confidencial</t>
        </is>
      </c>
      <c r="E107" s="7" t="n">
        <v>0.5</v>
      </c>
      <c r="F107" s="2" t="inlineStr">
        <is>
          <t>Remoto</t>
        </is>
      </c>
      <c r="G107" s="5">
        <f>HYPERLINK("https://www.elempleo.com/co/ofertas-trabajo/director-de-interventoria-concesion-1886746971", "Ver Vacante")</f>
        <v/>
      </c>
      <c r="H107" s="6" t="inlineStr"/>
      <c r="I1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c9f286b043467fde</t>
        </is>
      </c>
      <c r="B108" s="2" t="inlineStr">
        <is>
          <t>2026-09-22 03:17</t>
        </is>
      </c>
      <c r="C108" s="3" t="inlineStr">
        <is>
          <t>Director de interventoría proyectos de tecnología</t>
        </is>
      </c>
      <c r="D108" s="3" t="inlineStr">
        <is>
          <t>Confidencial</t>
        </is>
      </c>
      <c r="E108" s="7" t="n">
        <v>0.5</v>
      </c>
      <c r="F108" s="2" t="inlineStr">
        <is>
          <t>Remoto</t>
        </is>
      </c>
      <c r="G108" s="5">
        <f>HYPERLINK("https://www.elempleo.com/co/ofertas-trabajo/director-de-interventoria-proyectos-de-tecnologia-1886751669", "Ver Vacante")</f>
        <v/>
      </c>
      <c r="H108" s="6" t="inlineStr"/>
      <c r="I1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1a624bde0aabf417</t>
        </is>
      </c>
      <c r="B109" s="2" t="inlineStr">
        <is>
          <t>2026-09-22 03:17</t>
        </is>
      </c>
      <c r="C109" s="3" t="inlineStr">
        <is>
          <t>Director de interventoria civil | yumbo - valle del cauca</t>
        </is>
      </c>
      <c r="D109" s="3" t="inlineStr">
        <is>
          <t>INP PROYECTOS</t>
        </is>
      </c>
      <c r="E109" s="7" t="n">
        <v>0.5</v>
      </c>
      <c r="F109" s="2" t="inlineStr">
        <is>
          <t>Remoto</t>
        </is>
      </c>
      <c r="G109" s="5">
        <f>HYPERLINK("https://www.elempleo.com/co/ofertas-trabajo/director-de-interventoria-civil-yumbo-valle-del-cauca-1886761247", "Ver Vacante")</f>
        <v/>
      </c>
      <c r="H109" s="6" t="inlineStr"/>
      <c r="I1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5a15c71034d6360d</t>
        </is>
      </c>
      <c r="B110" s="2" t="inlineStr">
        <is>
          <t>2026-09-22 03:17</t>
        </is>
      </c>
      <c r="C110" s="3" t="inlineStr">
        <is>
          <t>Director de interventoría / mosquera, cundinamarca</t>
        </is>
      </c>
      <c r="D110" s="3" t="inlineStr">
        <is>
          <t>Confidencial</t>
        </is>
      </c>
      <c r="E110" s="7" t="n">
        <v>0.5</v>
      </c>
      <c r="F110" s="2" t="inlineStr">
        <is>
          <t>Remoto</t>
        </is>
      </c>
      <c r="G110" s="5">
        <f>HYPERLINK("https://www.elempleo.com/co/ofertas-trabajo/director-de-interventoria-mosquera-cundinamarca-1886761828", "Ver Vacante")</f>
        <v/>
      </c>
      <c r="H110" s="6" t="inlineStr"/>
      <c r="I1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deca148c608f5071</t>
        </is>
      </c>
      <c r="B111" s="2" t="inlineStr">
        <is>
          <t>2026-09-22 03:17</t>
        </is>
      </c>
      <c r="C111" s="3" t="inlineStr">
        <is>
          <t>Director hseq - chia</t>
        </is>
      </c>
      <c r="D111" s="3" t="inlineStr">
        <is>
          <t>Confidencial</t>
        </is>
      </c>
      <c r="E111" s="7" t="n">
        <v>0.5</v>
      </c>
      <c r="F111" s="2" t="inlineStr">
        <is>
          <t>Remoto</t>
        </is>
      </c>
      <c r="G111" s="5">
        <f>HYPERLINK("https://www.elempleo.com/co/ofertas-trabajo/director-hseq-chia-1886755279", "Ver Vacante")</f>
        <v/>
      </c>
      <c r="H111" s="6" t="inlineStr"/>
      <c r="I111" s="3" t="inlineStr">
        <is>
          <t>[Afinidad: 50/100 -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158a5b888f4835d9</t>
        </is>
      </c>
      <c r="B112" s="2" t="inlineStr">
        <is>
          <t>2026-09-22 03:17</t>
        </is>
      </c>
      <c r="C112" s="3" t="inlineStr">
        <is>
          <t>Ingeniero Civil Senior Estructural Obras Hidráulicas</t>
        </is>
      </c>
      <c r="D112" s="3" t="inlineStr">
        <is>
          <t>IDOM Consulting, Engineering, Architecture</t>
        </is>
      </c>
      <c r="E112" s="7" t="n">
        <v>0.5</v>
      </c>
      <c r="F112" s="2" t="inlineStr">
        <is>
          <t>Remoto</t>
        </is>
      </c>
      <c r="G112" s="5">
        <f>HYPERLINK("https://co.linkedin.com/jobs/view/ingeniero-civil-senior-estructural-obras-hidr%C3%A1ulicas-at-idom-consulting-engineering-architecture-4449786446", "Ver Vacante")</f>
        <v/>
      </c>
      <c r="H112" s="6" t="inlineStr"/>
      <c r="I1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f1bdba926234f67e</t>
        </is>
      </c>
      <c r="B113" s="2" t="inlineStr">
        <is>
          <t>2026-09-22 03:27</t>
        </is>
      </c>
      <c r="C113" s="3" t="inlineStr">
        <is>
          <t>Director (a) Comercial ARL y SST</t>
        </is>
      </c>
      <c r="D113" s="3" t="inlineStr">
        <is>
          <t>MASTER SST</t>
        </is>
      </c>
      <c r="E113" s="7" t="n">
        <v>0.5</v>
      </c>
      <c r="F113" s="2" t="inlineStr">
        <is>
          <t>Remoto</t>
        </is>
      </c>
      <c r="G113" s="5">
        <f>HYPERLINK("https://co.computrabajo.com/ofertas-de-trabajo/oferta-de-trabajo-de-director-a-comercial-arl-y-sst-bogota-y-zonas-aledanas-en-bogota-dc-AD10DBD96F164F8C61373E686DCF3405", "Ver Vacante")</f>
        <v/>
      </c>
      <c r="H113" s="6" t="inlineStr">
        <is>
          <t>$ 3.000.000,00 (Mensual) + Comisiones</t>
        </is>
      </c>
      <c r="I113" s="3" t="inlineStr">
        <is>
          <t>[Afinidad: 50/100 -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90c3670c335038e4</t>
        </is>
      </c>
      <c r="B114" s="2" t="inlineStr">
        <is>
          <t>2026-09-22 05:09</t>
        </is>
      </c>
      <c r="C114" s="3" t="inlineStr">
        <is>
          <t>Director de Proyecto</t>
        </is>
      </c>
      <c r="D114" s="3" t="inlineStr">
        <is>
          <t>ADRIAN MAFIOLI Y CIA S.A.S</t>
        </is>
      </c>
      <c r="E114" s="7" t="n">
        <v>0.5</v>
      </c>
      <c r="F114" s="2" t="inlineStr">
        <is>
          <t>Remoto</t>
        </is>
      </c>
      <c r="G114" s="5">
        <f>HYPERLINK("https://co.computrabajo.com/ofertas-de-trabajo/oferta-de-trabajo-de-director-de-proyecto-ingeniero-en-transporte-y-vias-ingeniero-civil-en-lebrija-04F373EC97EDC4CB61373E686DCF3405", "Ver Vacante")</f>
        <v/>
      </c>
      <c r="H114" s="6" t="inlineStr"/>
      <c r="I1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1af0455db2f829b8</t>
        </is>
      </c>
      <c r="B115" s="2" t="inlineStr">
        <is>
          <t>2026-09-22 05:09</t>
        </is>
      </c>
      <c r="C115" s="3" t="inlineStr">
        <is>
          <t>Consultora en Seguridad y Salud en el trabajo</t>
        </is>
      </c>
      <c r="D115" s="3" t="inlineStr">
        <is>
          <t>MEZZA Y CIA LTDA</t>
        </is>
      </c>
      <c r="E115" s="7" t="n">
        <v>0.5</v>
      </c>
      <c r="F115" s="2" t="inlineStr">
        <is>
          <t>Remoto</t>
        </is>
      </c>
      <c r="G115" s="5">
        <f>HYPERLINK("https://co.computrabajo.com/ofertas-de-trabajo/oferta-de-trabajo-de-consultora-en-seguridad-y-salud-en-el-trabajo-en-bogota-dc-07E9BF3B6742F79361373E686DCF3405", "Ver Vacante")</f>
        <v/>
      </c>
      <c r="H115" s="6" t="inlineStr">
        <is>
          <t>Presencial y remoto</t>
        </is>
      </c>
      <c r="I115" s="3" t="inlineStr">
        <is>
          <t>[Afinidad: 50/100 -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1feadbd74bd9bfbe</t>
        </is>
      </c>
      <c r="B116" s="2" t="inlineStr">
        <is>
          <t>2026-09-22 05:09</t>
        </is>
      </c>
      <c r="C116" s="3" t="inlineStr">
        <is>
          <t>Director de interventoría</t>
        </is>
      </c>
      <c r="D116" s="3" t="inlineStr">
        <is>
          <t>AMERICAS GBS SAS</t>
        </is>
      </c>
      <c r="E116" s="7" t="n">
        <v>0.5</v>
      </c>
      <c r="F116" s="2" t="inlineStr">
        <is>
          <t>Remoto</t>
        </is>
      </c>
      <c r="G116" s="5">
        <f>HYPERLINK("https://co.computrabajo.com/ofertas-de-trabajo/oferta-de-trabajo-de-director-de-interventoria-director-de-obra-en--643E1A399D2C177561373E686DCF3405", "Ver Vacante")</f>
        <v/>
      </c>
      <c r="H116" s="6" t="inlineStr"/>
      <c r="I1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58e1b7cc06edffaf</t>
        </is>
      </c>
      <c r="B117" s="2" t="inlineStr">
        <is>
          <t>2026-09-22 05:09</t>
        </is>
      </c>
      <c r="C117" s="3" t="inlineStr">
        <is>
          <t>Gerente de proyecto sector inmobiliario</t>
        </is>
      </c>
      <c r="D117" s="3" t="inlineStr">
        <is>
          <t>AGENCIA DE EMPLEO COMFAMA</t>
        </is>
      </c>
      <c r="E117" s="7" t="n">
        <v>0.5</v>
      </c>
      <c r="F117" s="2" t="inlineStr">
        <is>
          <t>Remoto</t>
        </is>
      </c>
      <c r="G117" s="5">
        <f>HYPERLINK("https://co.computrabajo.com/ofertas-de-trabajo/oferta-de-trabajo-de-gerente-de-proyecto-sector-inmobiliario-en-medellin-1D6BC514AC61985761373E686DCF3405", "Ver Vacante")</f>
        <v/>
      </c>
      <c r="H117" s="6" t="inlineStr">
        <is>
          <t>$ 12.000.000,00 (Mensual)</t>
        </is>
      </c>
      <c r="I1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511ca640d20d7c32</t>
        </is>
      </c>
      <c r="B118" s="2" t="inlineStr">
        <is>
          <t>2026-09-22 05:09</t>
        </is>
      </c>
      <c r="C118" s="3" t="inlineStr">
        <is>
          <t>Ingeniero infraestructura - bilingue - remoto</t>
        </is>
      </c>
      <c r="D118" s="3" t="inlineStr">
        <is>
          <t>MICHAEL PAGE INTERNATIONAL</t>
        </is>
      </c>
      <c r="E118" s="7" t="n">
        <v>0.5</v>
      </c>
      <c r="F118" s="2" t="inlineStr">
        <is>
          <t>Remoto</t>
        </is>
      </c>
      <c r="G118" s="5">
        <f>HYPERLINK("https://www.elempleo.com/co/ofertas-trabajo/ingeniero-infraestructura-bilingue-remoto-1886744267", "Ver Vacante")</f>
        <v/>
      </c>
      <c r="H118" s="6" t="inlineStr"/>
      <c r="I118" s="3" t="inlineStr">
        <is>
          <t>[Afinidad: 50/100 - Afinidad Moderada] Afinidad parcial en infraestructura vial y transporte.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c4c55096ea3e18ec</t>
        </is>
      </c>
      <c r="B119" s="2" t="inlineStr">
        <is>
          <t>2026-09-22 05:09</t>
        </is>
      </c>
      <c r="C119" s="3" t="inlineStr">
        <is>
          <t>Ingeniero de infraestructura (servidores/aws) - remoto</t>
        </is>
      </c>
      <c r="D119" s="3" t="inlineStr">
        <is>
          <t>Cinte Colombia SAS</t>
        </is>
      </c>
      <c r="E119" s="7" t="n">
        <v>0.5</v>
      </c>
      <c r="F119" s="2" t="inlineStr">
        <is>
          <t>Remoto</t>
        </is>
      </c>
      <c r="G119" s="5">
        <f>HYPERLINK("https://www.elempleo.com/co/ofertas-trabajo/ingeniero-de-infraestructura-servidores-aws-remoto-1886744007", "Ver Vacante")</f>
        <v/>
      </c>
      <c r="H119" s="6" t="inlineStr"/>
      <c r="I119" s="3" t="inlineStr">
        <is>
          <t>[Afinidad: 50/100 - Afinidad Moderada] Afinidad parcial en infraestructura vial y transporte.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9bf756e884703fa1</t>
        </is>
      </c>
      <c r="B120" s="2" t="inlineStr">
        <is>
          <t>2026-09-22 05:09</t>
        </is>
      </c>
      <c r="C120" s="3" t="inlineStr">
        <is>
          <t>Ingeniero/a de infraestructura y conectividad cloud remoto</t>
        </is>
      </c>
      <c r="D120" s="3" t="inlineStr">
        <is>
          <t>TALYCAP GLOBAL SAS</t>
        </is>
      </c>
      <c r="E120" s="7" t="n">
        <v>0.5</v>
      </c>
      <c r="F120" s="2" t="inlineStr">
        <is>
          <t>Remoto</t>
        </is>
      </c>
      <c r="G120" s="5">
        <f>HYPERLINK("https://www.elempleo.com/co/ofertas-trabajo/ingeniero-a-de-infraestructura-y-conectividad-cloud-remoto-1886768627", "Ver Vacante")</f>
        <v/>
      </c>
      <c r="H120" s="6" t="inlineStr"/>
      <c r="I120" s="3" t="inlineStr">
        <is>
          <t>[Afinidad: 50/100 - Afinidad Moderada] Afinidad parcial en infraestructura vial y transporte.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6f66992aface828b</t>
        </is>
      </c>
      <c r="B121" s="2" t="inlineStr">
        <is>
          <t>2026-09-22 05:09</t>
        </is>
      </c>
      <c r="C121" s="3" t="inlineStr">
        <is>
          <t>Ingeniero/a de infraestructura y conectividad cloud 100% remoto</t>
        </is>
      </c>
      <c r="D121" s="3" t="inlineStr">
        <is>
          <t>TALYCAP GLOBAL SAS</t>
        </is>
      </c>
      <c r="E121" s="7" t="n">
        <v>0.5</v>
      </c>
      <c r="F121" s="2" t="inlineStr">
        <is>
          <t>Remoto</t>
        </is>
      </c>
      <c r="G121" s="5">
        <f>HYPERLINK("https://www.elempleo.com/co/ofertas-trabajo/ingeniero-a-de-infraestructura-y-conectividad-cloud-100-remoto-1886768625", "Ver Vacante")</f>
        <v/>
      </c>
      <c r="H121" s="6" t="inlineStr"/>
      <c r="I121" s="3" t="inlineStr">
        <is>
          <t>[Afinidad: 50/100 - Afinidad Moderada] Afinidad parcial en infraestructura vial y transporte.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aa9466dfe7d6ea2b</t>
        </is>
      </c>
      <c r="B122" s="2" t="inlineStr">
        <is>
          <t>2026-09-22 05:09</t>
        </is>
      </c>
      <c r="C122" s="3" t="inlineStr">
        <is>
          <t>Ingeniero de infraestructura</t>
        </is>
      </c>
      <c r="D122" s="3" t="inlineStr">
        <is>
          <t>Confidencial</t>
        </is>
      </c>
      <c r="E122" s="7" t="n">
        <v>0.5</v>
      </c>
      <c r="F122" s="2" t="inlineStr">
        <is>
          <t>Remoto</t>
        </is>
      </c>
      <c r="G122" s="5">
        <f>HYPERLINK("https://www.elempleo.com/co/ofertas-trabajo/ingeniero-de-infraestructura-1886755031", "Ver Vacante")</f>
        <v/>
      </c>
      <c r="H122" s="6" t="inlineStr"/>
      <c r="I122" s="3" t="inlineStr">
        <is>
          <t>[Afinidad: 50/100 - Afinidad Moderada] Afinidad parcial en infraestructura vial y transporte.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b6b37cabc98817e3</t>
        </is>
      </c>
      <c r="B123" s="2" t="inlineStr">
        <is>
          <t>2026-09-22 05:09</t>
        </is>
      </c>
      <c r="C123" s="3" t="inlineStr">
        <is>
          <t>Director de interventoría concesión</t>
        </is>
      </c>
      <c r="D123" s="3" t="inlineStr">
        <is>
          <t>Confidencial</t>
        </is>
      </c>
      <c r="E123" s="7" t="n">
        <v>0.5</v>
      </c>
      <c r="F123" s="2" t="inlineStr">
        <is>
          <t>Remoto</t>
        </is>
      </c>
      <c r="G123" s="5">
        <f>HYPERLINK("https://www.elempleo.com/co/ofertas-trabajo/director-de-interventoria-concesion-1886746971", "Ver Vacante")</f>
        <v/>
      </c>
      <c r="H123" s="6" t="inlineStr"/>
      <c r="I1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ce17946994d038a1</t>
        </is>
      </c>
      <c r="B124" s="2" t="inlineStr">
        <is>
          <t>2026-09-22 05:09</t>
        </is>
      </c>
      <c r="C124" s="3" t="inlineStr">
        <is>
          <t>Director de interventoría proyectos de tecnología</t>
        </is>
      </c>
      <c r="D124" s="3" t="inlineStr">
        <is>
          <t>Confidencial</t>
        </is>
      </c>
      <c r="E124" s="7" t="n">
        <v>0.5</v>
      </c>
      <c r="F124" s="2" t="inlineStr">
        <is>
          <t>Remoto</t>
        </is>
      </c>
      <c r="G124" s="5">
        <f>HYPERLINK("https://www.elempleo.com/co/ofertas-trabajo/director-de-interventoria-proyectos-de-tecnologia-1886751669", "Ver Vacante")</f>
        <v/>
      </c>
      <c r="H124" s="6" t="inlineStr"/>
      <c r="I1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bda13b98253a2a50</t>
        </is>
      </c>
      <c r="B125" s="2" t="inlineStr">
        <is>
          <t>2026-09-22 05:09</t>
        </is>
      </c>
      <c r="C125" s="3" t="inlineStr">
        <is>
          <t>Director de interventoria civil | yumbo - valle del cauca</t>
        </is>
      </c>
      <c r="D125" s="3" t="inlineStr">
        <is>
          <t>INP PROYECTOS</t>
        </is>
      </c>
      <c r="E125" s="7" t="n">
        <v>0.5</v>
      </c>
      <c r="F125" s="2" t="inlineStr">
        <is>
          <t>Remoto</t>
        </is>
      </c>
      <c r="G125" s="5">
        <f>HYPERLINK("https://www.elempleo.com/co/ofertas-trabajo/director-de-interventoria-civil-yumbo-valle-del-cauca-1886761247", "Ver Vacante")</f>
        <v/>
      </c>
      <c r="H125" s="6" t="inlineStr"/>
      <c r="I1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5f9ea780b98f8c1e</t>
        </is>
      </c>
      <c r="B126" s="2" t="inlineStr">
        <is>
          <t>2026-09-22 05:09</t>
        </is>
      </c>
      <c r="C126" s="3" t="inlineStr">
        <is>
          <t>Director de interventoría / mosquera, cundinamarca</t>
        </is>
      </c>
      <c r="D126" s="3" t="inlineStr">
        <is>
          <t>Confidencial</t>
        </is>
      </c>
      <c r="E126" s="7" t="n">
        <v>0.5</v>
      </c>
      <c r="F126" s="2" t="inlineStr">
        <is>
          <t>Remoto</t>
        </is>
      </c>
      <c r="G126" s="5">
        <f>HYPERLINK("https://www.elempleo.com/co/ofertas-trabajo/director-de-interventoria-mosquera-cundinamarca-1886761828", "Ver Vacante")</f>
        <v/>
      </c>
      <c r="H126" s="6" t="inlineStr"/>
      <c r="I1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fc3b5b2ce1bd6c85</t>
        </is>
      </c>
      <c r="B127" s="2" t="inlineStr">
        <is>
          <t>2026-09-22 05:09</t>
        </is>
      </c>
      <c r="C127" s="3" t="inlineStr">
        <is>
          <t>Director hseq - chia</t>
        </is>
      </c>
      <c r="D127" s="3" t="inlineStr">
        <is>
          <t>Confidencial</t>
        </is>
      </c>
      <c r="E127" s="7" t="n">
        <v>0.5</v>
      </c>
      <c r="F127" s="2" t="inlineStr">
        <is>
          <t>Remoto</t>
        </is>
      </c>
      <c r="G127" s="5">
        <f>HYPERLINK("https://www.elempleo.com/co/ofertas-trabajo/director-hseq-chia-1886755279", "Ver Vacante")</f>
        <v/>
      </c>
      <c r="H127" s="6" t="inlineStr"/>
      <c r="I127" s="3" t="inlineStr">
        <is>
          <t>[Afinidad: 50/100 -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7d9a8688b4af9ac9</t>
        </is>
      </c>
      <c r="B128" s="2" t="inlineStr">
        <is>
          <t>2026-09-22 05:09</t>
        </is>
      </c>
      <c r="C128" s="3" t="inlineStr">
        <is>
          <t>Ingeniero hseq - neiva</t>
        </is>
      </c>
      <c r="D128" s="3" t="inlineStr">
        <is>
          <t>ICONTEC</t>
        </is>
      </c>
      <c r="E128" s="7" t="n">
        <v>0.5</v>
      </c>
      <c r="F128" s="2" t="inlineStr">
        <is>
          <t>Remoto</t>
        </is>
      </c>
      <c r="G128" s="5">
        <f>HYPERLINK("https://www.elempleo.com/co/ofertas-trabajo/ingeniero-hseq-neiva-1886744084", "Ver Vacante")</f>
        <v/>
      </c>
      <c r="H128" s="6" t="inlineStr"/>
      <c r="I128" s="3" t="inlineStr">
        <is>
          <t>[Afinidad: 50/100 -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9672c07df7f7c273</t>
        </is>
      </c>
      <c r="B129" s="2" t="inlineStr">
        <is>
          <t>2026-09-22 05:09</t>
        </is>
      </c>
      <c r="C129" s="3" t="inlineStr">
        <is>
          <t>Bogota - consultor de sistemas de gestion - hseq</t>
        </is>
      </c>
      <c r="D129" s="3" t="inlineStr">
        <is>
          <t>Confidencial</t>
        </is>
      </c>
      <c r="E129" s="7" t="n">
        <v>0.5</v>
      </c>
      <c r="F129" s="2" t="inlineStr">
        <is>
          <t>Remoto</t>
        </is>
      </c>
      <c r="G129" s="5">
        <f>HYPERLINK("https://www.elempleo.com/co/ofertas-trabajo/bogota-consultor-de-sistemas-de-gestion-hseq-1886769154", "Ver Vacante")</f>
        <v/>
      </c>
      <c r="H129" s="6" t="inlineStr"/>
      <c r="I129" s="3" t="inlineStr">
        <is>
          <t>[Afinidad: 50/100 -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0a1acb8adf7421ab</t>
        </is>
      </c>
      <c r="B130" s="2" t="inlineStr">
        <is>
          <t>2026-09-22 05:09</t>
        </is>
      </c>
      <c r="C130" s="3" t="inlineStr">
        <is>
          <t>Medellin - consultor de sistemas de gestion - hseq</t>
        </is>
      </c>
      <c r="D130" s="3" t="inlineStr">
        <is>
          <t>Confidencial</t>
        </is>
      </c>
      <c r="E130" s="7" t="n">
        <v>0.5</v>
      </c>
      <c r="F130" s="2" t="inlineStr">
        <is>
          <t>Remoto</t>
        </is>
      </c>
      <c r="G130" s="5">
        <f>HYPERLINK("https://www.elempleo.com/co/ofertas-trabajo/medellin-consultor-de-sistemas-de-gestion-hseq-1886769144", "Ver Vacante")</f>
        <v/>
      </c>
      <c r="H130" s="6" t="inlineStr"/>
      <c r="I130" s="3" t="inlineStr">
        <is>
          <t>[Afinidad: 50/100 -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df96de49b7d10c23</t>
        </is>
      </c>
      <c r="B131" s="2" t="inlineStr">
        <is>
          <t>2026-09-22 05:09</t>
        </is>
      </c>
      <c r="C131" s="3" t="inlineStr">
        <is>
          <t>Consultor(a) sistema de gestión hseq - bucaramanga</t>
        </is>
      </c>
      <c r="D131" s="3" t="inlineStr">
        <is>
          <t>Confidencial</t>
        </is>
      </c>
      <c r="E131" s="7" t="n">
        <v>0.5</v>
      </c>
      <c r="F131" s="2" t="inlineStr">
        <is>
          <t>Remoto</t>
        </is>
      </c>
      <c r="G131" s="5">
        <f>HYPERLINK("https://www.elempleo.com/co/ofertas-trabajo/consultora-sistema-de-gestion-hseq-bucaramanga-1886759378", "Ver Vacante")</f>
        <v/>
      </c>
      <c r="H131" s="6" t="inlineStr"/>
      <c r="I131" s="3" t="inlineStr">
        <is>
          <t>[Afinidad: 50/100 -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40659dd2e41fd444</t>
        </is>
      </c>
      <c r="B132" s="2" t="inlineStr">
        <is>
          <t>2026-09-22 05:09</t>
        </is>
      </c>
      <c r="C132" s="3" t="inlineStr">
        <is>
          <t>Ingeniero topográfico - especialista senior</t>
        </is>
      </c>
      <c r="D132" s="3" t="inlineStr">
        <is>
          <t>Confidencial</t>
        </is>
      </c>
      <c r="E132" s="7" t="n">
        <v>0.5</v>
      </c>
      <c r="F132" s="2" t="inlineStr">
        <is>
          <t>Remoto</t>
        </is>
      </c>
      <c r="G132" s="5">
        <f>HYPERLINK("https://www.elempleo.com/co/ofertas-trabajo/ingeniero-topografico-especialista-senior-1886765054", "Ver Vacante")</f>
        <v/>
      </c>
      <c r="H132" s="6" t="inlineStr"/>
      <c r="I1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7b0f7c3850ec6f61</t>
        </is>
      </c>
      <c r="B133" s="2" t="inlineStr">
        <is>
          <t>2026-09-22 05:09</t>
        </is>
      </c>
      <c r="C133" s="3" t="inlineStr">
        <is>
          <t>Coordinador (a) senior - especialista en bioequivalencias</t>
        </is>
      </c>
      <c r="D133" s="3" t="inlineStr">
        <is>
          <t>LABORATORIOS BUSSIE</t>
        </is>
      </c>
      <c r="E133" s="7" t="n">
        <v>0.5</v>
      </c>
      <c r="F133" s="2" t="inlineStr">
        <is>
          <t>Remoto</t>
        </is>
      </c>
      <c r="G133" s="5">
        <f>HYPERLINK("https://www.elempleo.com/co/ofertas-trabajo/coordinador-a-senior-especialista-en-bioequivalencias-1886769840", "Ver Vacante")</f>
        <v/>
      </c>
      <c r="H133" s="6" t="inlineStr"/>
      <c r="I1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aeaf42aeea186cb0</t>
        </is>
      </c>
      <c r="B134" s="2" t="inlineStr">
        <is>
          <t>2026-09-22 05:09</t>
        </is>
      </c>
      <c r="C134" s="3" t="inlineStr">
        <is>
          <t>Profesional en sst o ingeniero esp en sst - rio negro</t>
        </is>
      </c>
      <c r="D134" s="3" t="inlineStr">
        <is>
          <t>Quirón Prevención Colombia S.A.S</t>
        </is>
      </c>
      <c r="E134" s="7" t="n">
        <v>0.5</v>
      </c>
      <c r="F134" s="2" t="inlineStr">
        <is>
          <t>Remoto</t>
        </is>
      </c>
      <c r="G134" s="5">
        <f>HYPERLINK("https://www.elempleo.com/co/ofertas-trabajo/profesional-en-sst-o-ingeniero-esp-en-sst-rio-negro-1886758412", "Ver Vacante")</f>
        <v/>
      </c>
      <c r="H134" s="6" t="inlineStr"/>
      <c r="I134" s="3" t="inlineStr">
        <is>
          <t>[Afinidad: 50/100 -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07f1ee6c04e40269</t>
        </is>
      </c>
      <c r="B135" s="2" t="inlineStr">
        <is>
          <t>2026-09-22 05:09</t>
        </is>
      </c>
      <c r="C135" s="3" t="inlineStr">
        <is>
          <t>Profesional en sst o ingeniero esp en sst - rio negro</t>
        </is>
      </c>
      <c r="D135" s="3" t="inlineStr">
        <is>
          <t>Quirón Prevención Colombia S.A.S</t>
        </is>
      </c>
      <c r="E135" s="7" t="n">
        <v>0.5</v>
      </c>
      <c r="F135" s="2" t="inlineStr">
        <is>
          <t>Remoto</t>
        </is>
      </c>
      <c r="G135" s="5">
        <f>HYPERLINK("https://www.elempleo.com/co/ofertas-trabajo/profesional-en-sst-o-ingeniero-esp-en-sst-rio-negro-1886752068", "Ver Vacante")</f>
        <v/>
      </c>
      <c r="H135" s="6" t="inlineStr"/>
      <c r="I135" s="3" t="inlineStr">
        <is>
          <t>[Afinidad: 50/100 -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09443eef5570ce96</t>
        </is>
      </c>
      <c r="B136" s="2" t="inlineStr">
        <is>
          <t>2026-09-22 05:09</t>
        </is>
      </c>
      <c r="C136" s="3" t="inlineStr">
        <is>
          <t>Director de proyecto movilidad</t>
        </is>
      </c>
      <c r="D136" s="3" t="inlineStr">
        <is>
          <t>JAHV MC GREGOR S.A.S</t>
        </is>
      </c>
      <c r="E136" s="7" t="n">
        <v>0.5</v>
      </c>
      <c r="F136" s="2" t="inlineStr">
        <is>
          <t>Remoto</t>
        </is>
      </c>
      <c r="G136" s="5">
        <f>HYPERLINK("https://www.elempleo.com/co/ofertas-trabajo/director-de-proyecto-movilidad-1886766486", "Ver Vacante")</f>
        <v/>
      </c>
      <c r="H136" s="6" t="inlineStr"/>
      <c r="I1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b54c3610b3497128</t>
        </is>
      </c>
      <c r="B137" s="2" t="inlineStr">
        <is>
          <t>2026-09-22 05:09</t>
        </is>
      </c>
      <c r="C137" s="3" t="inlineStr">
        <is>
          <t>Líder proyectos e ingeniería</t>
        </is>
      </c>
      <c r="D137" s="3" t="inlineStr">
        <is>
          <t>SinapSer</t>
        </is>
      </c>
      <c r="E137" s="7" t="n">
        <v>0.5</v>
      </c>
      <c r="F137" s="2" t="inlineStr">
        <is>
          <t>Remoto</t>
        </is>
      </c>
      <c r="G137" s="5">
        <f>HYPERLINK("https://www.elempleo.com/co/ofertas-trabajo/lider-proyectos-e-ingenieria-1886749715", "Ver Vacante")</f>
        <v/>
      </c>
      <c r="H137" s="6" t="inlineStr"/>
      <c r="I1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d554349d14476076</t>
        </is>
      </c>
      <c r="B138" s="2" t="inlineStr">
        <is>
          <t>2026-09-22 05:09</t>
        </is>
      </c>
      <c r="C138" s="3" t="inlineStr">
        <is>
          <t>Director de proyecto</t>
        </is>
      </c>
      <c r="D138" s="3" t="inlineStr">
        <is>
          <t>Confidencial</t>
        </is>
      </c>
      <c r="E138" s="7" t="n">
        <v>0.5</v>
      </c>
      <c r="F138" s="2" t="inlineStr">
        <is>
          <t>Remoto</t>
        </is>
      </c>
      <c r="G138" s="5">
        <f>HYPERLINK("https://www.elempleo.com/co/ofertas-trabajo/director-de-proyecto-1886769375", "Ver Vacante")</f>
        <v/>
      </c>
      <c r="H138" s="6" t="inlineStr"/>
      <c r="I1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772da76a91611419</t>
        </is>
      </c>
      <c r="B139" s="2" t="inlineStr">
        <is>
          <t>2026-09-22 05:09</t>
        </is>
      </c>
      <c r="C139" s="3" t="inlineStr">
        <is>
          <t>Gerente de proyectos</t>
        </is>
      </c>
      <c r="D139" s="3" t="inlineStr">
        <is>
          <t>SUMMAR PRODUCTIVIDAD S.A.S</t>
        </is>
      </c>
      <c r="E139" s="7" t="n">
        <v>0.5</v>
      </c>
      <c r="F139" s="2" t="inlineStr">
        <is>
          <t>Remoto</t>
        </is>
      </c>
      <c r="G139" s="5">
        <f>HYPERLINK("https://www.elempleo.com/co/ofertas-trabajo/gerente-de-proyectos-1886767600", "Ver Vacante")</f>
        <v/>
      </c>
      <c r="H139" s="6" t="inlineStr"/>
      <c r="I1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2fb7132270011cb4</t>
        </is>
      </c>
      <c r="B140" s="2" t="inlineStr">
        <is>
          <t>2026-09-22 05:09</t>
        </is>
      </c>
      <c r="C140" s="3" t="inlineStr">
        <is>
          <t>Gerente de proyecto tic</t>
        </is>
      </c>
      <c r="D140" s="3" t="inlineStr">
        <is>
          <t>MANPOWER</t>
        </is>
      </c>
      <c r="E140" s="7" t="n">
        <v>0.5</v>
      </c>
      <c r="F140" s="2" t="inlineStr">
        <is>
          <t>Remoto</t>
        </is>
      </c>
      <c r="G140" s="5">
        <f>HYPERLINK("https://www.elempleo.com/co/ofertas-trabajo/gerente-de-proyecto-tic-1886743669", "Ver Vacante")</f>
        <v/>
      </c>
      <c r="H140" s="6" t="inlineStr"/>
      <c r="I1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3f55a2f61ab57bc3</t>
        </is>
      </c>
      <c r="B141" s="2" t="inlineStr">
        <is>
          <t>2026-09-22 05:09</t>
        </is>
      </c>
      <c r="C141" s="3" t="inlineStr">
        <is>
          <t>Gerente de proyectos para empresa de tecnología</t>
        </is>
      </c>
      <c r="D141" s="3" t="inlineStr">
        <is>
          <t>Gattaca Outsourcing S.A.S.</t>
        </is>
      </c>
      <c r="E141" s="7" t="n">
        <v>0.5</v>
      </c>
      <c r="F141" s="2" t="inlineStr">
        <is>
          <t>Remoto</t>
        </is>
      </c>
      <c r="G141" s="5">
        <f>HYPERLINK("https://www.elempleo.com/co/ofertas-trabajo/gerente-de-proyectos-para-empresa-de-tecnologia-1886747783", "Ver Vacante")</f>
        <v/>
      </c>
      <c r="H141" s="6" t="inlineStr"/>
      <c r="I1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66e63adcbcc1d616</t>
        </is>
      </c>
      <c r="B142" s="2" t="inlineStr">
        <is>
          <t>2026-09-22 05:09</t>
        </is>
      </c>
      <c r="C142" s="3" t="inlineStr">
        <is>
          <t>Consultor de soporte gestión humana y sst</t>
        </is>
      </c>
      <c r="D142" s="3" t="inlineStr">
        <is>
          <t>Confidencial</t>
        </is>
      </c>
      <c r="E142" s="7" t="n">
        <v>0.5</v>
      </c>
      <c r="F142" s="2" t="inlineStr">
        <is>
          <t>Remoto</t>
        </is>
      </c>
      <c r="G142" s="5">
        <f>HYPERLINK("https://www.elempleo.com/co/ofertas-trabajo/consultor-de-soporte-gestion-humana-y-sst-1886759036", "Ver Vacante")</f>
        <v/>
      </c>
      <c r="H142" s="6" t="inlineStr"/>
      <c r="I142" s="3" t="inlineStr">
        <is>
          <t>[Afinidad: 50/100 -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4b86da36a8f7b158</t>
        </is>
      </c>
      <c r="B143" s="2" t="inlineStr">
        <is>
          <t>2026-09-22 05:09</t>
        </is>
      </c>
      <c r="C143" s="3" t="inlineStr">
        <is>
          <t>Ingeniero esp en sst - palmira</t>
        </is>
      </c>
      <c r="D143" s="3" t="inlineStr">
        <is>
          <t>Quirón Prevención Colombia S.A.S</t>
        </is>
      </c>
      <c r="E143" s="7" t="n">
        <v>0.5</v>
      </c>
      <c r="F143" s="2" t="inlineStr">
        <is>
          <t>Remoto</t>
        </is>
      </c>
      <c r="G143" s="5">
        <f>HYPERLINK("https://www.elempleo.com/co/ofertas-trabajo/ingeniero-esp-en-sst-palmira-1886743728", "Ver Vacante")</f>
        <v/>
      </c>
      <c r="H143" s="6" t="inlineStr"/>
      <c r="I143" s="3" t="inlineStr">
        <is>
          <t>[Afinidad: 50/100 -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0a9344b068ffdb17</t>
        </is>
      </c>
      <c r="B144" s="2" t="inlineStr">
        <is>
          <t>2026-09-22 05:09</t>
        </is>
      </c>
      <c r="C144" s="3" t="inlineStr">
        <is>
          <t>Ingeniero esp en sst - palmira</t>
        </is>
      </c>
      <c r="D144" s="3" t="inlineStr">
        <is>
          <t>Quirón Prevención Colombia S.A.S</t>
        </is>
      </c>
      <c r="E144" s="7" t="n">
        <v>0.5</v>
      </c>
      <c r="F144" s="2" t="inlineStr">
        <is>
          <t>Remoto</t>
        </is>
      </c>
      <c r="G144" s="5">
        <f>HYPERLINK("https://www.elempleo.com/co/ofertas-trabajo/ingeniero-esp-en-sst-palmira-1886760865", "Ver Vacante")</f>
        <v/>
      </c>
      <c r="H144" s="6" t="inlineStr"/>
      <c r="I144" s="3" t="inlineStr">
        <is>
          <t>[Afinidad: 50/100 -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193cfde3b5dfbfaa</t>
        </is>
      </c>
      <c r="B145" s="2" t="inlineStr">
        <is>
          <t>2026-09-22 05:09</t>
        </is>
      </c>
      <c r="C145" s="3" t="inlineStr">
        <is>
          <t>Director(a) de talento humano y sst</t>
        </is>
      </c>
      <c r="D145" s="3" t="inlineStr">
        <is>
          <t>Confidencial</t>
        </is>
      </c>
      <c r="E145" s="7" t="n">
        <v>0.5</v>
      </c>
      <c r="F145" s="2" t="inlineStr">
        <is>
          <t>Remoto</t>
        </is>
      </c>
      <c r="G145" s="5">
        <f>HYPERLINK("https://www.elempleo.com/co/ofertas-trabajo/directora-de-talento-humano-y-sst-1886746502", "Ver Vacante")</f>
        <v/>
      </c>
      <c r="H145" s="6" t="inlineStr"/>
      <c r="I145" s="3" t="inlineStr">
        <is>
          <t>[Afinidad: 50/100 -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6386ae2cdd0ca648</t>
        </is>
      </c>
      <c r="B146" s="2" t="inlineStr">
        <is>
          <t>2026-09-22 05:09</t>
        </is>
      </c>
      <c r="C146" s="3" t="inlineStr">
        <is>
          <t>Ingeniero hseq - hidrocarburos</t>
        </is>
      </c>
      <c r="D146" s="3" t="inlineStr">
        <is>
          <t>ADECCO COLOMBIA S A</t>
        </is>
      </c>
      <c r="E146" s="7" t="n">
        <v>0.5</v>
      </c>
      <c r="F146" s="2" t="inlineStr">
        <is>
          <t>Remoto</t>
        </is>
      </c>
      <c r="G146" s="5">
        <f>HYPERLINK("https://www.elempleo.com/co/ofertas-trabajo/ingeniero-hseq-hidrocarburos-1886757090", "Ver Vacante")</f>
        <v/>
      </c>
      <c r="H146" s="6" t="inlineStr"/>
      <c r="I146" s="3" t="inlineStr">
        <is>
          <t>[Afinidad: 50/100 -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7e3a819c5137691c</t>
        </is>
      </c>
      <c r="B147" s="2" t="inlineStr">
        <is>
          <t>2026-09-22 05:09</t>
        </is>
      </c>
      <c r="C147" s="3" t="inlineStr">
        <is>
          <t>Bogota - consultor sistemas de gestión sst- con licencia en sst</t>
        </is>
      </c>
      <c r="D147" s="3" t="inlineStr">
        <is>
          <t>Confidencial</t>
        </is>
      </c>
      <c r="E147" s="7" t="n">
        <v>0.5</v>
      </c>
      <c r="F147" s="2" t="inlineStr">
        <is>
          <t>Remoto</t>
        </is>
      </c>
      <c r="G147" s="5">
        <f>HYPERLINK("https://www.elempleo.com/co/ofertas-trabajo/bogota-consultor-sistemas-de-gestion-sst-con-licencia-en-sst-1886759829", "Ver Vacante")</f>
        <v/>
      </c>
      <c r="H147" s="6" t="inlineStr"/>
      <c r="I147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8a9cbfc1b1d76c90</t>
        </is>
      </c>
      <c r="B148" s="2" t="inlineStr">
        <is>
          <t>2026-09-22 05:09</t>
        </is>
      </c>
      <c r="C148" s="3" t="inlineStr">
        <is>
          <t>Bogota - consultor sistemas de gestión sst- con licencia en sst</t>
        </is>
      </c>
      <c r="D148" s="3" t="inlineStr">
        <is>
          <t>Confidencial</t>
        </is>
      </c>
      <c r="E148" s="7" t="n">
        <v>0.5</v>
      </c>
      <c r="F148" s="2" t="inlineStr">
        <is>
          <t>Remoto</t>
        </is>
      </c>
      <c r="G148" s="5">
        <f>HYPERLINK("https://www.elempleo.com/co/ofertas-trabajo/bogota-consultor-sistemas-de-gestion-sst-con-licencia-en-sst-1886764895", "Ver Vacante")</f>
        <v/>
      </c>
      <c r="H148" s="6" t="inlineStr"/>
      <c r="I14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654baa524215581d</t>
        </is>
      </c>
      <c r="B149" s="2" t="inlineStr">
        <is>
          <t>2026-09-22 05:09</t>
        </is>
      </c>
      <c r="C149" s="3" t="inlineStr">
        <is>
          <t>Medellín - consultor sistemas de gestión sst- con licencia en sst</t>
        </is>
      </c>
      <c r="D149" s="3" t="inlineStr">
        <is>
          <t>Confidencial</t>
        </is>
      </c>
      <c r="E149" s="7" t="n">
        <v>0.5</v>
      </c>
      <c r="F149" s="2" t="inlineStr">
        <is>
          <t>Remoto</t>
        </is>
      </c>
      <c r="G149" s="5">
        <f>HYPERLINK("https://www.elempleo.com/co/ofertas-trabajo/medellin-consultor-sistemas-de-gestion-sst-con-licencia-en-sst-1886764969", "Ver Vacante")</f>
        <v/>
      </c>
      <c r="H149" s="6" t="inlineStr"/>
      <c r="I14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cfad72f86eb60cd6</t>
        </is>
      </c>
      <c r="B150" s="2" t="inlineStr">
        <is>
          <t>2026-09-22 05:09</t>
        </is>
      </c>
      <c r="C150" s="3" t="inlineStr">
        <is>
          <t>Consultor sst freelance</t>
        </is>
      </c>
      <c r="D150" s="3" t="inlineStr">
        <is>
          <t>SELECTED HR</t>
        </is>
      </c>
      <c r="E150" s="7" t="n">
        <v>0.5</v>
      </c>
      <c r="F150" s="2" t="inlineStr">
        <is>
          <t>Remoto</t>
        </is>
      </c>
      <c r="G150" s="5">
        <f>HYPERLINK("https://www.elempleo.com/co/ofertas-trabajo/consultor-sst-freelance-1886758665", "Ver Vacante")</f>
        <v/>
      </c>
      <c r="H150" s="6" t="inlineStr"/>
      <c r="I150" s="3" t="inlineStr">
        <is>
          <t>[Afinidad: 50/100 -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b7e5ecf9972019b8</t>
        </is>
      </c>
      <c r="B151" s="2" t="inlineStr">
        <is>
          <t>2026-09-22 05:09</t>
        </is>
      </c>
      <c r="C151" s="3" t="inlineStr">
        <is>
          <t>Cali - consultor de sistemas de gestion sst independiente</t>
        </is>
      </c>
      <c r="D151" s="3" t="inlineStr">
        <is>
          <t>Confidencial</t>
        </is>
      </c>
      <c r="E151" s="7" t="n">
        <v>0.5</v>
      </c>
      <c r="F151" s="2" t="inlineStr">
        <is>
          <t>Remoto</t>
        </is>
      </c>
      <c r="G151" s="5">
        <f>HYPERLINK("https://www.elempleo.com/co/ofertas-trabajo/cali-consultor-de-sistemas-de-gestion-sst-independiente-1886766615", "Ver Vacante")</f>
        <v/>
      </c>
      <c r="H151" s="6" t="inlineStr"/>
      <c r="I151" s="3" t="inlineStr">
        <is>
          <t>[Afinidad: 50/100 -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45156e9fe504104c</t>
        </is>
      </c>
      <c r="B152" s="2" t="inlineStr">
        <is>
          <t>2026-09-22 05:09</t>
        </is>
      </c>
      <c r="C152" s="3" t="inlineStr">
        <is>
          <t>Barranquilla - consultor de sistemas de gestion sst independiente</t>
        </is>
      </c>
      <c r="D152" s="3" t="inlineStr">
        <is>
          <t>Confidencial</t>
        </is>
      </c>
      <c r="E152" s="7" t="n">
        <v>0.5</v>
      </c>
      <c r="F152" s="2" t="inlineStr">
        <is>
          <t>Remoto</t>
        </is>
      </c>
      <c r="G152" s="5">
        <f>HYPERLINK("https://www.elempleo.com/co/ofertas-trabajo/barranquilla-consultor-de-sistemas-de-gestion-sst-independiente-1886765182", "Ver Vacante")</f>
        <v/>
      </c>
      <c r="H152" s="6" t="inlineStr"/>
      <c r="I152" s="3" t="inlineStr">
        <is>
          <t>[Afinidad: 50/100 -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2414c05d0c98b4bf</t>
        </is>
      </c>
      <c r="B153" s="2" t="inlineStr">
        <is>
          <t>2026-09-22 05:09</t>
        </is>
      </c>
      <c r="C153" s="3" t="inlineStr">
        <is>
          <t>Consultor(a) sst - gestión del riesgo químico - barrancabermeja</t>
        </is>
      </c>
      <c r="D153" s="3" t="inlineStr">
        <is>
          <t>Confidencial</t>
        </is>
      </c>
      <c r="E153" s="7" t="n">
        <v>0.5</v>
      </c>
      <c r="F153" s="2" t="inlineStr">
        <is>
          <t>Remoto</t>
        </is>
      </c>
      <c r="G153" s="5">
        <f>HYPERLINK("https://www.elempleo.com/co/ofertas-trabajo/consultora-sst-gestion-del-riesgo-quimico-barrancabermeja-1886746280", "Ver Vacante")</f>
        <v/>
      </c>
      <c r="H153" s="6" t="inlineStr"/>
      <c r="I153" s="3" t="inlineStr">
        <is>
          <t>[Afinidad: 50/100 -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3d360078771e726a</t>
        </is>
      </c>
      <c r="B154" s="2" t="inlineStr">
        <is>
          <t>2026-09-22 05:09</t>
        </is>
      </c>
      <c r="C154" s="3" t="inlineStr">
        <is>
          <t>Ingeniero hseq</t>
        </is>
      </c>
      <c r="D154" s="3" t="inlineStr">
        <is>
          <t>CONCONCRETO S.A.</t>
        </is>
      </c>
      <c r="E154" s="7" t="n">
        <v>0.5</v>
      </c>
      <c r="F154" s="2" t="inlineStr">
        <is>
          <t>Remoto</t>
        </is>
      </c>
      <c r="G154" s="5">
        <f>HYPERLINK("https://www.elempleo.com/co/ofertas-trabajo/ingeniero-hseq-1886755671", "Ver Vacante")</f>
        <v/>
      </c>
      <c r="H154" s="6" t="inlineStr"/>
      <c r="I154" s="3" t="inlineStr">
        <is>
          <t>[Afinidad: 50/100 -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596e039a845e32eb</t>
        </is>
      </c>
      <c r="B155" s="2" t="inlineStr">
        <is>
          <t>2026-09-22 05:09</t>
        </is>
      </c>
      <c r="C155" s="3" t="inlineStr">
        <is>
          <t>Ingeniero de infraestructura ti</t>
        </is>
      </c>
      <c r="D155" s="3" t="inlineStr">
        <is>
          <t>Confidencial</t>
        </is>
      </c>
      <c r="E155" s="7" t="n">
        <v>0.5</v>
      </c>
      <c r="F155" s="2" t="inlineStr">
        <is>
          <t>Remoto</t>
        </is>
      </c>
      <c r="G155" s="5">
        <f>HYPERLINK("https://www.elempleo.com/co/ofertas-trabajo/ingeniero-de-infraestructura-ti-1886762110", "Ver Vacante")</f>
        <v/>
      </c>
      <c r="H155" s="6" t="inlineStr"/>
      <c r="I155" s="3" t="inlineStr">
        <is>
          <t>[Afinidad: 50/100 - Afinidad Moderada] Afinidad parcial en infraestructura vial y transporte.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eff7bc9185d1d6d6</t>
        </is>
      </c>
      <c r="B156" s="2" t="inlineStr">
        <is>
          <t>2026-09-22 05:09</t>
        </is>
      </c>
      <c r="C156" s="3" t="inlineStr">
        <is>
          <t>Avaluador - especialista senior en seguimiento, control e interventoría de obra.</t>
        </is>
      </c>
      <c r="D156" s="3" t="inlineStr">
        <is>
          <t>Confidencial</t>
        </is>
      </c>
      <c r="E156" s="7" t="n">
        <v>0.5</v>
      </c>
      <c r="F156" s="2" t="inlineStr">
        <is>
          <t>Remoto</t>
        </is>
      </c>
      <c r="G156" s="5">
        <f>HYPERLINK("https://www.elempleo.com/co/ofertas-trabajo/avaluador-especialista-senior-en-seguimiento-control-e-interventoria-de-obra-1886733468", "Ver Vacante")</f>
        <v/>
      </c>
      <c r="H156" s="6" t="inlineStr"/>
      <c r="I1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4628b75d3c64d84f</t>
        </is>
      </c>
      <c r="B157" s="2" t="inlineStr">
        <is>
          <t>2026-09-22 05:09</t>
        </is>
      </c>
      <c r="C157" s="3" t="inlineStr">
        <is>
          <t>Analista senior de control de proyectos sector inmobiliario, obra civil, construcción en bogota</t>
        </is>
      </c>
      <c r="D157" s="3" t="inlineStr">
        <is>
          <t>MANPOWER</t>
        </is>
      </c>
      <c r="E157" s="7" t="n">
        <v>0.5</v>
      </c>
      <c r="F157" s="2" t="inlineStr">
        <is>
          <t>Remoto</t>
        </is>
      </c>
      <c r="G157" s="5">
        <f>HYPERLINK("https://www.elempleo.com/co/ofertas-trabajo/analista-senior-de-control-de-proyectos-sector-inmobiliario-obra-civil-construccion-en-bogota-1886762627", "Ver Vacante")</f>
        <v/>
      </c>
      <c r="H157" s="6" t="inlineStr"/>
      <c r="I1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a3bdfbb53c8050bc</t>
        </is>
      </c>
      <c r="B158" s="2" t="inlineStr">
        <is>
          <t>2026-09-22 05:09</t>
        </is>
      </c>
      <c r="C158" s="3" t="inlineStr">
        <is>
          <t>Líder Técnico - Colombia</t>
        </is>
      </c>
      <c r="D158" s="3" t="inlineStr">
        <is>
          <t>SETI S.A.S</t>
        </is>
      </c>
      <c r="E158" s="7" t="n">
        <v>0.5</v>
      </c>
      <c r="F158" s="2" t="inlineStr">
        <is>
          <t>Remoto</t>
        </is>
      </c>
      <c r="G158" s="5">
        <f>HYPERLINK("https://co.linkedin.com/jobs/view/l%C3%ADder-t%C3%A9cnico-colombia-at-seti-s-a-s-4464254507", "Ver Vacante")</f>
        <v/>
      </c>
      <c r="H158" s="6" t="inlineStr"/>
      <c r="I1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9876a1d7b57c2e9d</t>
        </is>
      </c>
      <c r="B159" s="2" t="inlineStr">
        <is>
          <t>2026-09-22 05:09</t>
        </is>
      </c>
      <c r="C159" s="3" t="inlineStr">
        <is>
          <t>Diseñador Civil Senior/Senior Civil Designer</t>
        </is>
      </c>
      <c r="D159" s="3" t="inlineStr">
        <is>
          <t>Pond &amp; Company</t>
        </is>
      </c>
      <c r="E159" s="7" t="n">
        <v>0.5</v>
      </c>
      <c r="F159" s="2" t="inlineStr">
        <is>
          <t>Remoto</t>
        </is>
      </c>
      <c r="G159" s="5">
        <f>HYPERLINK("https://co.linkedin.com/jobs/view/dise%C3%B1ador-civil-senior-senior-civil-designer-at-pond-company-4448248118", "Ver Vacante")</f>
        <v/>
      </c>
      <c r="H159" s="6" t="inlineStr"/>
      <c r="I1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c5c945234866a1f1</t>
        </is>
      </c>
      <c r="B160" s="2" t="inlineStr">
        <is>
          <t>2026-09-22 05:09</t>
        </is>
      </c>
      <c r="C160" s="3" t="inlineStr">
        <is>
          <t>Gerente HSE - Barranquilla</t>
        </is>
      </c>
      <c r="D160" s="3" t="inlineStr">
        <is>
          <t>ADAMA Ltd.</t>
        </is>
      </c>
      <c r="E160" s="7" t="n">
        <v>0.5</v>
      </c>
      <c r="F160" s="2" t="inlineStr">
        <is>
          <t>Remoto</t>
        </is>
      </c>
      <c r="G160" s="5">
        <f>HYPERLINK("https://co.linkedin.com/jobs/view/gerente-hse-barranquilla-colombia-at-adama-ltd-4468291249", "Ver Vacante")</f>
        <v/>
      </c>
      <c r="H160" s="6" t="inlineStr"/>
      <c r="I160" s="3" t="inlineStr">
        <is>
          <t>[Afinidad: 50/100 -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mock_nonmatch_008</t>
        </is>
      </c>
      <c r="B161" s="2" t="inlineStr">
        <is>
          <t>2026-09-23 09:45</t>
        </is>
      </c>
      <c r="C161" s="3" t="inlineStr">
        <is>
          <t>Especialista Hidráulico y Sanitario para Plantas de Tratamiento de Aguas Residuales</t>
        </is>
      </c>
      <c r="D161" s="3" t="inlineStr">
        <is>
          <t>Aguas y Cuencas Ambientales S.A.S. E.S.P.</t>
        </is>
      </c>
      <c r="E161" s="7" t="n">
        <v>0.5</v>
      </c>
      <c r="F161" s="2" t="inlineStr">
        <is>
          <t>Remoto</t>
        </is>
      </c>
      <c r="G161" s="5">
        <f>HYPERLINK("https://www.elempleo.com/co/ofertas-trabajo/mock-nonmatch-008", "Ver Vacante")</f>
        <v/>
      </c>
      <c r="H161" s="6" t="inlineStr">
        <is>
          <t>$ 7.500.000 COP</t>
        </is>
      </c>
      <c r="I1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4426b2c17306f519</t>
        </is>
      </c>
      <c r="B162" s="2" t="inlineStr">
        <is>
          <t>2026-09-22 05:09</t>
        </is>
      </c>
      <c r="C162" s="3" t="inlineStr">
        <is>
          <t>Residente de Seguridad y Salud en el trabajo</t>
        </is>
      </c>
      <c r="D162" s="3" t="inlineStr">
        <is>
          <t>Cal y Mayor y Asociados S.C</t>
        </is>
      </c>
      <c r="E162" s="8" t="n">
        <v>0.48</v>
      </c>
      <c r="F162" s="2" t="inlineStr">
        <is>
          <t>Remoto</t>
        </is>
      </c>
      <c r="G162" s="5">
        <f>HYPERLINK("https://co.computrabajo.com/ofertas-de-trabajo/oferta-de-trabajo-de-residente-de-seguridad-y-salud-en-el-trabajo-sst-sst-en-bogota-dc-D67E64C3D53E0D6961373E686DCF3405", "Ver Vacante")</f>
        <v/>
      </c>
      <c r="H162" s="6" t="inlineStr">
        <is>
          <t>$ 4.200.000,00 (Mensual)</t>
        </is>
      </c>
      <c r="I162" s="3" t="inlineStr">
        <is>
          <t>[Afinidad: 48/100 - Baja Afinidad] Alta coincidencia en gestión de Seguridad y Salud en el Trabajo (SST).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83015d6afb890f1d</t>
        </is>
      </c>
      <c r="B163" s="2" t="inlineStr">
        <is>
          <t>2026-09-22 05:09</t>
        </is>
      </c>
      <c r="C163" s="3" t="inlineStr">
        <is>
          <t>Analista/profesional HSEQ / SST Sesquile o Alrededores</t>
        </is>
      </c>
      <c r="D163" s="3" t="inlineStr">
        <is>
          <t>ACTIVOS S A S</t>
        </is>
      </c>
      <c r="E163" s="8" t="n">
        <v>0.48</v>
      </c>
      <c r="F163" s="2" t="inlineStr">
        <is>
          <t>Remoto</t>
        </is>
      </c>
      <c r="G163" s="5">
        <f>HYPERLINK("https://co.computrabajo.com/ofertas-de-trabajo/oferta-de-trabajo-de-analistaprofesional-hseq-sst-sesquile-o-alrededores-sector-consumo-masivo-en-sesquile-632A9566338A59E361373E686DCF3405", "Ver Vacante")</f>
        <v/>
      </c>
      <c r="H163" s="6" t="inlineStr">
        <is>
          <t>$ 4.000.000,00 (Mensual)</t>
        </is>
      </c>
      <c r="I163" s="3" t="inlineStr">
        <is>
          <t>[Afinidad: 48/100 - Baja Afinidad] Alta coincidencia en gestión de Seguridad y Salud en el Trabajo (SST).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8ea51395379548db</t>
        </is>
      </c>
      <c r="B164" s="2" t="inlineStr">
        <is>
          <t>2026-09-22 05:09</t>
        </is>
      </c>
      <c r="C164" s="3" t="inlineStr">
        <is>
          <t>Analista de SST/Inspector HSEQ Cartagena / si estas dispuesto a mudarte aplica</t>
        </is>
      </c>
      <c r="D164" s="3" t="inlineStr">
        <is>
          <t>Tiempos SAS</t>
        </is>
      </c>
      <c r="E164" s="8" t="n">
        <v>0.48</v>
      </c>
      <c r="F164" s="2" t="inlineStr">
        <is>
          <t>Remoto</t>
        </is>
      </c>
      <c r="G164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164" s="6" t="inlineStr">
        <is>
          <t>$ 4.000.000,00 (Mensual)</t>
        </is>
      </c>
      <c r="I164" s="3" t="inlineStr">
        <is>
          <t>[Afinidad: 48/100 - Baja Afinidad] Alta coincidencia en gestión de Seguridad y Salud en el Trabajo (SST).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320b8f08496a2670</t>
        </is>
      </c>
      <c r="B165" s="2" t="inlineStr">
        <is>
          <t>2026-09-22 05:09</t>
        </is>
      </c>
      <c r="C165" s="3" t="inlineStr">
        <is>
          <t>Analista HSEQ SST</t>
        </is>
      </c>
      <c r="D165" s="3" t="inlineStr">
        <is>
          <t>Importante empresa del sector</t>
        </is>
      </c>
      <c r="E165" s="8" t="n">
        <v>0.48</v>
      </c>
      <c r="F165" s="2" t="inlineStr">
        <is>
          <t>Remoto</t>
        </is>
      </c>
      <c r="G165" s="5">
        <f>HYPERLINK("https://co.computrabajo.com/ofertas-de-trabajo/oferta-de-trabajo-de-analista-hseq-sst-en-bogota-dc-4F507CBF0E27FD0E61373E686DCF3405", "Ver Vacante")</f>
        <v/>
      </c>
      <c r="H165" s="6" t="inlineStr">
        <is>
          <t>$ 1.750.905,00 (Mensual)</t>
        </is>
      </c>
      <c r="I165" s="3" t="inlineStr">
        <is>
          <t>[Afinidad: 48/100 - Baja Afinidad] Alta coincidencia en gestión de Seguridad y Salud en el Trabajo (SST).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bc0b38b5129e0905</t>
        </is>
      </c>
      <c r="B166" s="2" t="inlineStr">
        <is>
          <t>2026-09-22 05:09</t>
        </is>
      </c>
      <c r="C166" s="3" t="inlineStr">
        <is>
          <t>Profesional en seguridad y salud en el trabajo SST</t>
        </is>
      </c>
      <c r="D166" s="3" t="inlineStr">
        <is>
          <t>Seguridad y Vigilancia Exito de Colombia</t>
        </is>
      </c>
      <c r="E166" s="8" t="n">
        <v>0.48</v>
      </c>
      <c r="F166" s="2" t="inlineStr">
        <is>
          <t>Remoto</t>
        </is>
      </c>
      <c r="G16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166" s="6" t="inlineStr">
        <is>
          <t>$ 3.200.000,00 (Mensual)</t>
        </is>
      </c>
      <c r="I166" s="3" t="inlineStr">
        <is>
          <t>[Afinidad: 48/100 - Baja Afinidad] Alta coincidencia en gestión de Seguridad y Salud en el Trabajo (SST).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e15ce00dbe5c21b5</t>
        </is>
      </c>
      <c r="B167" s="2" t="inlineStr">
        <is>
          <t>2026-09-22 05:09</t>
        </is>
      </c>
      <c r="C167" s="3" t="inlineStr">
        <is>
          <t>Tecnólogo HSEQ / Seguridad y Salud en el Trabajo</t>
        </is>
      </c>
      <c r="D167" s="3" t="inlineStr">
        <is>
          <t>Lighgen Ingeniería Ltda</t>
        </is>
      </c>
      <c r="E167" s="8" t="n">
        <v>0.48</v>
      </c>
      <c r="F167" s="2" t="inlineStr">
        <is>
          <t>Remoto</t>
        </is>
      </c>
      <c r="G167" s="5">
        <f>HYPERLINK("https://co.computrabajo.com/ofertas-de-trabajo/oferta-de-trabajo-de-tecnologo-hseq-seguridad-y-salud-en-el-trabajo-con-experiencia-2-anos-en-bogota-dc-87DB3FCAFEA8E12861373E686DCF3405", "Ver Vacante")</f>
        <v/>
      </c>
      <c r="H167" s="6" t="inlineStr"/>
      <c r="I167" s="3" t="inlineStr">
        <is>
          <t>[Afinidad: 48/100 - Baja Afinidad] Alta coincidencia en gestión de Seguridad y Salud en el Trabajo (SST).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1f3bf8b16a58f0b4</t>
        </is>
      </c>
      <c r="B168" s="2" t="inlineStr">
        <is>
          <t>2026-09-22 05:09</t>
        </is>
      </c>
      <c r="C168" s="3" t="inlineStr">
        <is>
          <t>Inspector (a) de vias y urbanismo</t>
        </is>
      </c>
      <c r="D168" s="3" t="inlineStr">
        <is>
          <t>METRO LINEA 1 S.A.S.</t>
        </is>
      </c>
      <c r="E168" s="8" t="n">
        <v>0.48</v>
      </c>
      <c r="F168" s="2" t="inlineStr">
        <is>
          <t>Remoto</t>
        </is>
      </c>
      <c r="G168" s="5">
        <f>HYPERLINK("https://www.elempleo.com/co/ofertas-trabajo/inspector-a-de-vias-y-urbanismo-1886728733", "Ver Vacante")</f>
        <v/>
      </c>
      <c r="H168" s="6" t="inlineStr"/>
      <c r="I168" s="3" t="inlineStr">
        <is>
          <t>[Afinidad: 48/100 - Baja Afinidad] Alta coincidencia técnica en infraestructura vial, diseño geométrico y pavimentos.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8fd843a922654d9e</t>
        </is>
      </c>
      <c r="B169" s="2" t="inlineStr">
        <is>
          <t>2026-09-22 05:09</t>
        </is>
      </c>
      <c r="C169" s="3" t="inlineStr">
        <is>
          <t>Oficial de obra</t>
        </is>
      </c>
      <c r="D169" s="3" t="inlineStr">
        <is>
          <t>TERMOTECNICA COINDUSTRIAL SAS</t>
        </is>
      </c>
      <c r="E169" s="8" t="n">
        <v>0.48</v>
      </c>
      <c r="F169" s="2" t="inlineStr">
        <is>
          <t>Remoto</t>
        </is>
      </c>
      <c r="G169" s="5">
        <f>HYPERLINK("https://www.elempleo.com/co/ofertas-trabajo/oficial-de-obra-puentevias-1886766237", "Ver Vacante")</f>
        <v/>
      </c>
      <c r="H169" s="6" t="inlineStr"/>
      <c r="I169" s="3" t="inlineStr">
        <is>
          <t>[Afinidad: 48/100 - Baja Afinidad] Alta coincidencia técnica en infraestructura vial, diseño geométrico y pavimentos.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03eab73111095faa</t>
        </is>
      </c>
      <c r="B170" s="2" t="inlineStr">
        <is>
          <t>2026-09-22 05:09</t>
        </is>
      </c>
      <c r="C170" s="3" t="inlineStr">
        <is>
          <t>Residente estructuras</t>
        </is>
      </c>
      <c r="D170" s="3" t="inlineStr">
        <is>
          <t>CONCONCRETO S.A.</t>
        </is>
      </c>
      <c r="E170" s="8" t="n">
        <v>0.48</v>
      </c>
      <c r="F170" s="2" t="inlineStr">
        <is>
          <t>Remoto</t>
        </is>
      </c>
      <c r="G170" s="5">
        <f>HYPERLINK("https://www.elempleo.com/co/ofertas-trabajo/residente-estructuras-experiencia-en-infraestructura-vial-y-talud-1886757305", "Ver Vacante")</f>
        <v/>
      </c>
      <c r="H170" s="6" t="inlineStr"/>
      <c r="I170" s="3" t="inlineStr">
        <is>
          <t>[Afinidad: 48/100 - Baja Afinidad] Alta coincidencia técnica en infraestructura vial, diseño geométrico y pavimentos.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c5911c7562546e3c</t>
        </is>
      </c>
      <c r="B171" s="2" t="inlineStr">
        <is>
          <t>2026-09-22 05:09</t>
        </is>
      </c>
      <c r="C171" s="3" t="inlineStr">
        <is>
          <t>Profesional con experiencia en el sector de transporte marítimo y/o por vías navegables</t>
        </is>
      </c>
      <c r="D171" s="3" t="inlineStr">
        <is>
          <t>ICONTEC</t>
        </is>
      </c>
      <c r="E171" s="8" t="n">
        <v>0.48</v>
      </c>
      <c r="F171" s="2" t="inlineStr">
        <is>
          <t>Remoto</t>
        </is>
      </c>
      <c r="G171" s="5">
        <f>HYPERLINK("https://www.elempleo.com/co/ofertas-trabajo/profesional-con-experiencia-en-el-sector-de-transporte-maritimo-y-o-por-vias-navegables-1886761682", "Ver Vacante")</f>
        <v/>
      </c>
      <c r="H171" s="6" t="inlineStr"/>
      <c r="I171" s="3" t="inlineStr">
        <is>
          <t>[Afinidad: 48/100 - Baja Afinidad] Alta coincidencia técnica en infraestructura vial, diseño geométrico y pavimentos.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c2903e245a44de39</t>
        </is>
      </c>
      <c r="B172" s="2" t="inlineStr">
        <is>
          <t>2026-09-22 05:09</t>
        </is>
      </c>
      <c r="C172" s="3" t="inlineStr">
        <is>
          <t>Encargado de obra</t>
        </is>
      </c>
      <c r="D172" s="3" t="inlineStr">
        <is>
          <t>TERMOTECNICA COINDUSTRIAL SAS</t>
        </is>
      </c>
      <c r="E172" s="8" t="n">
        <v>0.48</v>
      </c>
      <c r="F172" s="2" t="inlineStr">
        <is>
          <t>Remoto</t>
        </is>
      </c>
      <c r="G172" s="5">
        <f>HYPERLINK("https://www.elempleo.com/co/ofertas-trabajo/encargado-de-obra-puentes-vias-1886762620", "Ver Vacante")</f>
        <v/>
      </c>
      <c r="H172" s="6" t="inlineStr"/>
      <c r="I172" s="3" t="inlineStr">
        <is>
          <t>[Afinidad: 48/100 - Baja Afinidad] Alta coincidencia técnica en infraestructura vial, diseño geométrico y pavimentos.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a5bd833e8b837d34</t>
        </is>
      </c>
      <c r="B173" s="2" t="inlineStr">
        <is>
          <t>2026-09-22 05:09</t>
        </is>
      </c>
      <c r="C173" s="3" t="inlineStr">
        <is>
          <t>Residente en seguridad y salud en el trabajo</t>
        </is>
      </c>
      <c r="D173" s="3" t="inlineStr">
        <is>
          <t>Confidencial</t>
        </is>
      </c>
      <c r="E173" s="8" t="n">
        <v>0.48</v>
      </c>
      <c r="F173" s="2" t="inlineStr">
        <is>
          <t>Remoto</t>
        </is>
      </c>
      <c r="G173" s="5">
        <f>HYPERLINK("https://www.elempleo.com/co/ofertas-trabajo/residente-en-seguridad-y-salud-en-el-trabajo-sst-1886762728", "Ver Vacante")</f>
        <v/>
      </c>
      <c r="H173" s="6" t="inlineStr"/>
      <c r="I173" s="3" t="inlineStr">
        <is>
          <t>[Afinidad: 48/100 - Baja Afinidad] Alta coincidencia en gestión de Seguridad y Salud en el Trabajo (SST).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55e7967f3b4afa02</t>
        </is>
      </c>
      <c r="B174" s="2" t="inlineStr">
        <is>
          <t>2026-09-22 05:09</t>
        </is>
      </c>
      <c r="C174" s="3" t="inlineStr">
        <is>
          <t>Tecnólogo/a en Seguridad y Salud en el Trabajo</t>
        </is>
      </c>
      <c r="D174" s="3" t="inlineStr">
        <is>
          <t>EOSOL</t>
        </is>
      </c>
      <c r="E174" s="8" t="n">
        <v>0.48</v>
      </c>
      <c r="F174" s="2" t="inlineStr">
        <is>
          <t>Remoto</t>
        </is>
      </c>
      <c r="G174" s="5">
        <f>HYPERLINK("https://co.linkedin.com/jobs/view/tecn%C3%B3logo-a-en-seguridad-y-salud-en-el-trabajo-sst-at-eosol-4464868638", "Ver Vacante")</f>
        <v/>
      </c>
      <c r="H174" s="6" t="inlineStr"/>
      <c r="I174" s="3" t="inlineStr">
        <is>
          <t>[Afinidad: 48/100 - Baja Afinidad] Alta coincidencia en gestión de Seguridad y Salud en el Trabajo (SST).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6df905e482fe09b1</t>
        </is>
      </c>
      <c r="B175" s="2" t="inlineStr">
        <is>
          <t>2026-09-22 05:09</t>
        </is>
      </c>
      <c r="C175" s="3" t="inlineStr">
        <is>
          <t>Aprendiz SENA - Técnico(a) de Salud Ocupacional o Seguridad y Salud en el Trabajo - Ginebra</t>
        </is>
      </c>
      <c r="D175" s="3" t="inlineStr">
        <is>
          <t>Cargill</t>
        </is>
      </c>
      <c r="E175" s="8" t="n">
        <v>0.48</v>
      </c>
      <c r="F175" s="2" t="inlineStr">
        <is>
          <t>Remoto</t>
        </is>
      </c>
      <c r="G175" s="5">
        <f>HYPERLINK("https://co.linkedin.com/jobs/view/aprendiz-sena-t%C3%A9cnico-a-de-salud-ocupacional-o-seguridad-y-salud-en-el-trabajo-ginebra-at-cargill-4466994159", "Ver Vacante")</f>
        <v/>
      </c>
      <c r="H175" s="6" t="inlineStr"/>
      <c r="I175" s="3" t="inlineStr">
        <is>
          <t>[Afinidad: 48/100 - Baja Afinidad] Alta coincidencia en gestión de Seguridad y Salud en el Trabajo (SST).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1772334a45880aca</t>
        </is>
      </c>
      <c r="B176" s="2" t="inlineStr">
        <is>
          <t>2026-09-22 05:09</t>
        </is>
      </c>
      <c r="C176" s="3" t="inlineStr">
        <is>
          <t>Analista de Seguridad y Salud en el Trabajo (SST) / Medellin</t>
        </is>
      </c>
      <c r="D176" s="3" t="inlineStr">
        <is>
          <t>Domina Entrega Total S.A.S</t>
        </is>
      </c>
      <c r="E176" s="8" t="n">
        <v>0.48</v>
      </c>
      <c r="F176" s="2" t="inlineStr">
        <is>
          <t>Remoto</t>
        </is>
      </c>
      <c r="G176" s="5">
        <f>HYPERLINK("https://co.linkedin.com/jobs/view/analista-de-seguridad-y-salud-en-el-trabajo-sst-medellin-at-domina-entrega-total-s-a-s-4462184090", "Ver Vacante")</f>
        <v/>
      </c>
      <c r="H176" s="6" t="inlineStr"/>
      <c r="I176" s="3" t="inlineStr">
        <is>
          <t>[Afinidad: 48/100 - Baja Afinidad] Alta coincidencia en gestión de Seguridad y Salud en el Trabajo (SST).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06656fbb2d452086</t>
        </is>
      </c>
      <c r="B177" s="2" t="inlineStr">
        <is>
          <t>2026-09-22 05:09</t>
        </is>
      </c>
      <c r="C177" s="3" t="inlineStr">
        <is>
          <t>Residente de Seguridad y Salud en el trabajo</t>
        </is>
      </c>
      <c r="D177" s="3" t="inlineStr">
        <is>
          <t>Grupo Cal y Mayor</t>
        </is>
      </c>
      <c r="E177" s="8" t="n">
        <v>0.48</v>
      </c>
      <c r="F177" s="2" t="inlineStr">
        <is>
          <t>Remoto</t>
        </is>
      </c>
      <c r="G177" s="5">
        <f>HYPERLINK("https://co.linkedin.com/jobs/view/residente-de-seguridad-y-salud-en-el-trabajo-sst-at-cal-y-mayor-4468610572", "Ver Vacante")</f>
        <v/>
      </c>
      <c r="H177" s="6" t="inlineStr"/>
      <c r="I177" s="3" t="inlineStr">
        <is>
          <t>[Afinidad: 48/100 - Baja Afinidad] Alta coincidencia en gestión de Seguridad y Salud en el Trabajo (SST).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7796e088dce85b5a</t>
        </is>
      </c>
      <c r="B178" s="2" t="inlineStr">
        <is>
          <t>2026-09-22 05:09</t>
        </is>
      </c>
      <c r="C178" s="3" t="inlineStr">
        <is>
          <t>Civil Engineer (Fire Sprinkler Design))</t>
        </is>
      </c>
      <c r="D178" s="3" t="inlineStr">
        <is>
          <t>Hyremote</t>
        </is>
      </c>
      <c r="E178" s="8" t="n">
        <v>0.45</v>
      </c>
      <c r="F178" s="2" t="inlineStr">
        <is>
          <t>Remoto</t>
        </is>
      </c>
      <c r="G178" s="5">
        <f>HYPERLINK("https://co.computrabajo.com/ofertas-de-trabajo/oferta-de-trabajo-de-civil-engineer-fire-sprinkler-design-english-c1-remote-en-bogota-dc-A2EE61A321FC0D3361373E686DCF3405", "Ver Vacante")</f>
        <v/>
      </c>
      <c r="H178" s="6" t="inlineStr">
        <is>
          <t>$ 4.499.993,00 (Mensual)</t>
        </is>
      </c>
      <c r="I1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48463526ca7c8ada</t>
        </is>
      </c>
      <c r="B179" s="2" t="inlineStr">
        <is>
          <t>2026-09-22 05:09</t>
        </is>
      </c>
      <c r="C179" s="3" t="inlineStr">
        <is>
          <t>Ingeniero Civil Especialista en Hidrología e Hidráulica</t>
        </is>
      </c>
      <c r="D179" s="3" t="inlineStr">
        <is>
          <t>ATLAS INFRASTRUCTURE DESIGN LIMITED</t>
        </is>
      </c>
      <c r="E179" s="8" t="n">
        <v>0.45</v>
      </c>
      <c r="F179" s="2" t="inlineStr">
        <is>
          <t>Remoto</t>
        </is>
      </c>
      <c r="G179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179" s="6" t="inlineStr">
        <is>
          <t>Remoto</t>
        </is>
      </c>
      <c r="I1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2d406567ceb21bf8</t>
        </is>
      </c>
      <c r="B180" s="2" t="inlineStr">
        <is>
          <t>2026-09-22 05:09</t>
        </is>
      </c>
      <c r="C180" s="3" t="inlineStr">
        <is>
          <t>Ingeniero Civil de Diseño</t>
        </is>
      </c>
      <c r="D180" s="3" t="inlineStr">
        <is>
          <t>ATLAS INFRASTRUCTURE DESIGN LIMITED</t>
        </is>
      </c>
      <c r="E180" s="8" t="n">
        <v>0.45</v>
      </c>
      <c r="F180" s="2" t="inlineStr">
        <is>
          <t>Remoto</t>
        </is>
      </c>
      <c r="G180" s="5">
        <f>HYPERLINK("https://co.computrabajo.com/ofertas-de-trabajo/oferta-de-trabajo-de-ingeniero-civil-de-diseno-tiempo-completo-en-remoto-en-colombia-4CB8F30B6D8FBF7261373E686DCF3405", "Ver Vacante")</f>
        <v/>
      </c>
      <c r="H180" s="6" t="inlineStr">
        <is>
          <t>Remoto</t>
        </is>
      </c>
      <c r="I1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4d4013d19591d2a5</t>
        </is>
      </c>
      <c r="B181" s="2" t="inlineStr">
        <is>
          <t>2026-09-22 05:09</t>
        </is>
      </c>
      <c r="C181" s="3" t="inlineStr">
        <is>
          <t>Especialista en Salud y Seguridad en el trabajo con especialización en medio Ambiente</t>
        </is>
      </c>
      <c r="D181" s="3" t="inlineStr">
        <is>
          <t>DEXTERA S.A.S</t>
        </is>
      </c>
      <c r="E181" s="8" t="n">
        <v>0.45</v>
      </c>
      <c r="F181" s="2" t="inlineStr">
        <is>
          <t>Remoto</t>
        </is>
      </c>
      <c r="G181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181" s="6" t="inlineStr"/>
      <c r="I1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cf70d2ca6e5c25de</t>
        </is>
      </c>
      <c r="B182" s="2" t="inlineStr">
        <is>
          <t>2026-09-22 05:09</t>
        </is>
      </c>
      <c r="C182" s="3" t="inlineStr">
        <is>
          <t>Ingeniero civil</t>
        </is>
      </c>
      <c r="D182" s="3" t="inlineStr">
        <is>
          <t>Importante empresa del sector</t>
        </is>
      </c>
      <c r="E182" s="8" t="n">
        <v>0.45</v>
      </c>
      <c r="F182" s="2" t="inlineStr">
        <is>
          <t>Remoto</t>
        </is>
      </c>
      <c r="G182" s="5">
        <f>HYPERLINK("https://co.computrabajo.com/ofertas-de-trabajo/oferta-de-trabajo-de-ingeniero-civil-con-experiencia-en-sistemas-fotovoltaicos-en-bogota-dc-8BCBCD7DF8FE589C61373E686DCF3405", "Ver Vacante")</f>
        <v/>
      </c>
      <c r="H182" s="6" t="inlineStr">
        <is>
          <t>$ 3.300.000,00 (Mensual)</t>
        </is>
      </c>
      <c r="I1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bb8237cc7ed8d56b</t>
        </is>
      </c>
      <c r="B183" s="2" t="inlineStr">
        <is>
          <t>2026-09-22 05:09</t>
        </is>
      </c>
      <c r="C183" s="3" t="inlineStr">
        <is>
          <t>Coordinador de Proyectos Mejoramientos de Vivienda</t>
        </is>
      </c>
      <c r="D183" s="3" t="inlineStr">
        <is>
          <t>Socya</t>
        </is>
      </c>
      <c r="E183" s="8" t="n">
        <v>0.45</v>
      </c>
      <c r="F183" s="2" t="inlineStr">
        <is>
          <t>Remoto</t>
        </is>
      </c>
      <c r="G183" s="5">
        <f>HYPERLINK("https://co.computrabajo.com/ofertas-de-trabajo/oferta-de-trabajo-de-coordinador-de-proyectos-mejoramientos-de-vivienda-medellin-antioquia-en-medellin-7E29781CFFD4058961373E686DCF3405", "Ver Vacante")</f>
        <v/>
      </c>
      <c r="H183" s="6" t="inlineStr"/>
      <c r="I1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c41dc091e876cb10</t>
        </is>
      </c>
      <c r="B184" s="2" t="inlineStr">
        <is>
          <t>2026-09-22 05:09</t>
        </is>
      </c>
      <c r="C184" s="3" t="inlineStr">
        <is>
          <t>Especialista de Milk Collection</t>
        </is>
      </c>
      <c r="D184" s="3" t="inlineStr">
        <is>
          <t>LACTALIS</t>
        </is>
      </c>
      <c r="E184" s="8" t="n">
        <v>0.45</v>
      </c>
      <c r="F184" s="2" t="inlineStr">
        <is>
          <t>Remoto</t>
        </is>
      </c>
      <c r="G184" s="5">
        <f>HYPERLINK("https://co.computrabajo.com/ofertas-de-trabajo/oferta-de-trabajo-de-especialista-de-milk-collection-optimizacion-y-analisis-de-datos-en-bogota-dc-B007F5172FEA6F6461373E686DCF3405", "Ver Vacante")</f>
        <v/>
      </c>
      <c r="H184" s="6" t="inlineStr">
        <is>
          <t>$ 6.000.000,00 (Mensual)</t>
        </is>
      </c>
      <c r="I1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4f38d6c20430e4bb</t>
        </is>
      </c>
      <c r="B185" s="2" t="inlineStr">
        <is>
          <t>2026-09-22 05:09</t>
        </is>
      </c>
      <c r="C185" s="3" t="inlineStr">
        <is>
          <t>ingeniero civil</t>
        </is>
      </c>
      <c r="D185" s="3" t="inlineStr">
        <is>
          <t>EVALTEC S.A.S.</t>
        </is>
      </c>
      <c r="E185" s="8" t="n">
        <v>0.45</v>
      </c>
      <c r="F185" s="2" t="inlineStr">
        <is>
          <t>Remoto</t>
        </is>
      </c>
      <c r="G185" s="5">
        <f>HYPERLINK("https://co.computrabajo.com/ofertas-de-trabajo/oferta-de-trabajo-de-ingeniero-civil-o-areas-afines-en-medellin-0E02F682AB12631061373E686DCF3405", "Ver Vacante")</f>
        <v/>
      </c>
      <c r="H185" s="6" t="inlineStr"/>
      <c r="I1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af38dd28fbbad8f4</t>
        </is>
      </c>
      <c r="B186" s="2" t="inlineStr">
        <is>
          <t>2026-09-22 05:09</t>
        </is>
      </c>
      <c r="C186" s="3" t="inlineStr">
        <is>
          <t>Tecnólogo Auxiliar Civil</t>
        </is>
      </c>
      <c r="D186" s="3" t="inlineStr">
        <is>
          <t>Importante empresa del sector</t>
        </is>
      </c>
      <c r="E186" s="8" t="n">
        <v>0.45</v>
      </c>
      <c r="F186" s="2" t="inlineStr">
        <is>
          <t>Remoto</t>
        </is>
      </c>
      <c r="G186" s="5">
        <f>HYPERLINK("https://co.computrabajo.com/ofertas-de-trabajo/oferta-de-trabajo-de-tecnologo-auxiliar-civil-antioquia-en-liborina-B380460DDA9F98D061373E686DCF3405", "Ver Vacante")</f>
        <v/>
      </c>
      <c r="H186" s="6" t="inlineStr"/>
      <c r="I1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7cc53930dd68fddd</t>
        </is>
      </c>
      <c r="B187" s="2" t="inlineStr">
        <is>
          <t>2026-09-22 05:09</t>
        </is>
      </c>
      <c r="C187" s="3" t="inlineStr">
        <is>
          <t>Líder de Seguridad y salud en el trabajo</t>
        </is>
      </c>
      <c r="D187" s="3" t="inlineStr">
        <is>
          <t>Importante empresa del sector</t>
        </is>
      </c>
      <c r="E187" s="8" t="n">
        <v>0.45</v>
      </c>
      <c r="F187" s="2" t="inlineStr">
        <is>
          <t>Remoto</t>
        </is>
      </c>
      <c r="G187" s="5">
        <f>HYPERLINK("https://co.computrabajo.com/ofertas-de-trabajo/oferta-de-trabajo-de-lider-de-seguridad-y-salud-en-el-trabajo-en-bogota-dc-1FA3664D15D5571061373E686DCF3405", "Ver Vacante")</f>
        <v/>
      </c>
      <c r="H187" s="6" t="inlineStr"/>
      <c r="I187" s="3" t="inlineStr">
        <is>
          <t>[Afinidad: 45/100 - Baja Afinidad]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19e74768ce848880</t>
        </is>
      </c>
      <c r="B188" s="2" t="inlineStr">
        <is>
          <t>2026-09-22 05:09</t>
        </is>
      </c>
      <c r="C188" s="3" t="inlineStr">
        <is>
          <t>Coordinador HSEQ</t>
        </is>
      </c>
      <c r="D188" s="3" t="inlineStr">
        <is>
          <t>Agencia de empleo de Comfenalco Cartagena</t>
        </is>
      </c>
      <c r="E188" s="8" t="n">
        <v>0.45</v>
      </c>
      <c r="F188" s="2" t="inlineStr">
        <is>
          <t>Remoto</t>
        </is>
      </c>
      <c r="G188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188" s="6" t="inlineStr">
        <is>
          <t>$ 2.500.000,00 (Mensual)</t>
        </is>
      </c>
      <c r="I188" s="3" t="inlineStr">
        <is>
          <t>[Afinidad: 45/100 - Baja Afinidad]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38c9a9481706de58</t>
        </is>
      </c>
      <c r="B189" s="2" t="inlineStr">
        <is>
          <t>2026-09-22 05:09</t>
        </is>
      </c>
      <c r="C189" s="3" t="inlineStr">
        <is>
          <t>Coordinador de seguridad vial y monitoreo</t>
        </is>
      </c>
      <c r="D189" s="3" t="inlineStr">
        <is>
          <t>MEGACOMERCIAL S.A.S</t>
        </is>
      </c>
      <c r="E189" s="8" t="n">
        <v>0.45</v>
      </c>
      <c r="F189" s="2" t="inlineStr">
        <is>
          <t>Remoto</t>
        </is>
      </c>
      <c r="G189" s="5">
        <f>HYPERLINK("https://co.computrabajo.com/ofertas-de-trabajo/oferta-de-trabajo-de-coordinador-de-seguridad-vial-y-monitoreo-abierto-a-nivel-nacional-en-bogota-dc-B9B593A780889F2A61373E686DCF3405", "Ver Vacante")</f>
        <v/>
      </c>
      <c r="H189" s="6" t="inlineStr">
        <is>
          <t>$ 5.000.000,00 (Mensual)</t>
        </is>
      </c>
      <c r="I189" s="3" t="inlineStr">
        <is>
          <t>[Afinidad: 45/100 - Baja Afinidad] Afinidad parcial en infraestructura vial y transporte.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aecc6c18fdd71383</t>
        </is>
      </c>
      <c r="B190" s="2" t="inlineStr">
        <is>
          <t>2026-09-22 05:09</t>
        </is>
      </c>
      <c r="C190" s="3" t="inlineStr">
        <is>
          <t>Coordinador de PESV</t>
        </is>
      </c>
      <c r="D190" s="3" t="inlineStr">
        <is>
          <t>Agencia de Empleo de Comfenalco Antioquia</t>
        </is>
      </c>
      <c r="E190" s="8" t="n">
        <v>0.45</v>
      </c>
      <c r="F190" s="2" t="inlineStr">
        <is>
          <t>Remoto</t>
        </is>
      </c>
      <c r="G190" s="5">
        <f>HYPERLINK("https://co.computrabajo.com/ofertas-de-trabajo/oferta-de-trabajo-de-coordinador-de-pesv-en-medellin-67C3B78E9A85885161373E686DCF3405", "Ver Vacante")</f>
        <v/>
      </c>
      <c r="H190" s="6" t="inlineStr">
        <is>
          <t>$ 2.800.000,00 (Mensual)</t>
        </is>
      </c>
      <c r="I190" s="3" t="inlineStr">
        <is>
          <t>[Afinidad: 45/100 - Baja Afinidad] Afinidad parcial en infraestructura vial y transporte.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1558fc20863bdd35</t>
        </is>
      </c>
      <c r="B191" s="2" t="inlineStr">
        <is>
          <t>2026-09-22 05:09</t>
        </is>
      </c>
      <c r="C191" s="3" t="inlineStr">
        <is>
          <t>Coordinador HSEQ</t>
        </is>
      </c>
      <c r="D191" s="3" t="inlineStr">
        <is>
          <t>COMPAÑIA DE INGENIEROS CONSTRUCTORES S.A.S.</t>
        </is>
      </c>
      <c r="E191" s="8" t="n">
        <v>0.45</v>
      </c>
      <c r="F191" s="2" t="inlineStr">
        <is>
          <t>Remoto</t>
        </is>
      </c>
      <c r="G191" s="5">
        <f>HYPERLINK("https://co.computrabajo.com/ofertas-de-trabajo/oferta-de-trabajo-de-coordinador-hseq-en-barranquilla-F4898EBB71CAF3ED61373E686DCF3405", "Ver Vacante")</f>
        <v/>
      </c>
      <c r="H191" s="6" t="inlineStr"/>
      <c r="I191" s="3" t="inlineStr">
        <is>
          <t>[Afinidad: 45/100 - Baja Afinidad]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0bf63022dc93885b</t>
        </is>
      </c>
      <c r="B192" s="2" t="inlineStr">
        <is>
          <t>2026-09-22 05:09</t>
        </is>
      </c>
      <c r="C192" s="3" t="inlineStr">
        <is>
          <t>ingeniero civil</t>
        </is>
      </c>
      <c r="D192" s="3" t="inlineStr">
        <is>
          <t>FRANCISCO ANGULO M INGENIEROS S.A.S.</t>
        </is>
      </c>
      <c r="E192" s="8" t="n">
        <v>0.45</v>
      </c>
      <c r="F192" s="2" t="inlineStr">
        <is>
          <t>Remoto</t>
        </is>
      </c>
      <c r="G192" s="5">
        <f>HYPERLINK("https://co.computrabajo.com/ofertas-de-trabajo/oferta-de-trabajo-de-ingeniero-civil-residente-de-interventoria-yo-supervision-tecnica-en-cali-D2AE78FA9B23778161373E686DCF3405", "Ver Vacante")</f>
        <v/>
      </c>
      <c r="H192" s="6" t="inlineStr"/>
      <c r="I1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baa61a6e15a2de77</t>
        </is>
      </c>
      <c r="B193" s="2" t="inlineStr">
        <is>
          <t>2026-09-22 05:09</t>
        </is>
      </c>
      <c r="C193" s="3" t="inlineStr">
        <is>
          <t>Arquitecto(a) / Ingeniero(a) Civil</t>
        </is>
      </c>
      <c r="D193" s="3" t="inlineStr">
        <is>
          <t>Importante empresa del sector</t>
        </is>
      </c>
      <c r="E193" s="8" t="n">
        <v>0.45</v>
      </c>
      <c r="F193" s="2" t="inlineStr">
        <is>
          <t>Remoto</t>
        </is>
      </c>
      <c r="G193" s="5">
        <f>HYPERLINK("https://co.computrabajo.com/ofertas-de-trabajo/oferta-de-trabajo-de-arquitectoa-ingenieroa-civil-en-bucaramanga-8D15AF34F304555F61373E686DCF3405", "Ver Vacante")</f>
        <v/>
      </c>
      <c r="H193" s="6" t="inlineStr"/>
      <c r="I1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448d93b15d9b7dec</t>
        </is>
      </c>
      <c r="B194" s="2" t="inlineStr">
        <is>
          <t>2026-09-22 05:09</t>
        </is>
      </c>
      <c r="C194" s="3" t="inlineStr">
        <is>
          <t>Ingeniero especialista fortinet</t>
        </is>
      </c>
      <c r="D194" s="3" t="inlineStr">
        <is>
          <t>ATCG DE COLOMBIA S.A.S</t>
        </is>
      </c>
      <c r="E194" s="8" t="n">
        <v>0.45</v>
      </c>
      <c r="F194" s="2" t="inlineStr">
        <is>
          <t>Remoto</t>
        </is>
      </c>
      <c r="G194" s="5">
        <f>HYPERLINK("https://www.elempleo.com/co/ofertas-trabajo/ingeniero-especialista-fortinet-1886742914", "Ver Vacante")</f>
        <v/>
      </c>
      <c r="H194" s="6" t="inlineStr"/>
      <c r="I1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f2fc6f9471f81665</t>
        </is>
      </c>
      <c r="B195" s="2" t="inlineStr">
        <is>
          <t>2026-09-22 05:09</t>
        </is>
      </c>
      <c r="C195" s="3" t="inlineStr">
        <is>
          <t>Coordinador/a nacional de redes e infraestructura de ti - presencial bucaramanga</t>
        </is>
      </c>
      <c r="D195" s="3" t="inlineStr">
        <is>
          <t>Confidencial</t>
        </is>
      </c>
      <c r="E195" s="8" t="n">
        <v>0.45</v>
      </c>
      <c r="F195" s="2" t="inlineStr">
        <is>
          <t>Remoto</t>
        </is>
      </c>
      <c r="G195" s="5">
        <f>HYPERLINK("https://www.elempleo.com/co/ofertas-trabajo/coordinador-a-nacional-de-redes-e-infraestructura-de-ti-presencial-bucaramanga-1886769481", "Ver Vacante")</f>
        <v/>
      </c>
      <c r="H195" s="6" t="inlineStr"/>
      <c r="I195" s="3" t="inlineStr">
        <is>
          <t>[Afinidad: 45/100 - Baja Afinidad] Afinidad parcial en infraestructura vial y transporte.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53e1a775996a36c5</t>
        </is>
      </c>
      <c r="B196" s="2" t="inlineStr">
        <is>
          <t>2026-09-22 05:09</t>
        </is>
      </c>
      <c r="C196" s="3" t="inlineStr">
        <is>
          <t>Ingeniero civil</t>
        </is>
      </c>
      <c r="D196" s="3" t="inlineStr">
        <is>
          <t>Proyectos de Diseño y Construccion sas</t>
        </is>
      </c>
      <c r="E196" s="8" t="n">
        <v>0.45</v>
      </c>
      <c r="F196" s="2" t="inlineStr">
        <is>
          <t>Remoto</t>
        </is>
      </c>
      <c r="G196" s="5">
        <f>HYPERLINK("https://www.elempleo.com/co/ofertas-trabajo/ingeniero-civil-1886757049", "Ver Vacante")</f>
        <v/>
      </c>
      <c r="H196" s="6" t="inlineStr"/>
      <c r="I1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1072d76e2f18ea50</t>
        </is>
      </c>
      <c r="B197" s="2" t="inlineStr">
        <is>
          <t>2026-09-22 05:09</t>
        </is>
      </c>
      <c r="C197" s="3" t="inlineStr">
        <is>
          <t>Ingeniero civil</t>
        </is>
      </c>
      <c r="D197" s="3" t="inlineStr">
        <is>
          <t>R2P SOLUCIONES Y CONSTRUCCIONES SAS</t>
        </is>
      </c>
      <c r="E197" s="8" t="n">
        <v>0.45</v>
      </c>
      <c r="F197" s="2" t="inlineStr">
        <is>
          <t>Remoto</t>
        </is>
      </c>
      <c r="G197" s="5">
        <f>HYPERLINK("https://www.elempleo.com/co/ofertas-trabajo/ingeniero-civil-1886758475", "Ver Vacante")</f>
        <v/>
      </c>
      <c r="H197" s="6" t="inlineStr"/>
      <c r="I1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2c943591cc334f5a</t>
        </is>
      </c>
      <c r="B198" s="2" t="inlineStr">
        <is>
          <t>2026-09-22 05:09</t>
        </is>
      </c>
      <c r="C198" s="3" t="inlineStr">
        <is>
          <t>Ejecutivo/ade ingeniera</t>
        </is>
      </c>
      <c r="D198" s="3" t="inlineStr">
        <is>
          <t>Confidencial</t>
        </is>
      </c>
      <c r="E198" s="8" t="n">
        <v>0.45</v>
      </c>
      <c r="F198" s="2" t="inlineStr">
        <is>
          <t>Remoto</t>
        </is>
      </c>
      <c r="G198" s="5">
        <f>HYPERLINK("https://www.elempleo.com/co/ofertas-trabajo/ejecutivo-ade-ingeniera-1886752134", "Ver Vacante")</f>
        <v/>
      </c>
      <c r="H198" s="6" t="inlineStr"/>
      <c r="I1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7d4067502e572780</t>
        </is>
      </c>
      <c r="B199" s="2" t="inlineStr">
        <is>
          <t>2026-09-22 05:09</t>
        </is>
      </c>
      <c r="C199" s="3" t="inlineStr">
        <is>
          <t>Ingeniera de ventas - cali</t>
        </is>
      </c>
      <c r="D199" s="3" t="inlineStr">
        <is>
          <t>PIPOL EXPERT SAS</t>
        </is>
      </c>
      <c r="E199" s="8" t="n">
        <v>0.45</v>
      </c>
      <c r="F199" s="2" t="inlineStr">
        <is>
          <t>Remoto</t>
        </is>
      </c>
      <c r="G199" s="5">
        <f>HYPERLINK("https://www.elempleo.com/co/ofertas-trabajo/ingeniera-de-ventas-cali-1886754430", "Ver Vacante")</f>
        <v/>
      </c>
      <c r="H199" s="6" t="inlineStr"/>
      <c r="I1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a3a688084650de1c</t>
        </is>
      </c>
      <c r="B200" s="2" t="inlineStr">
        <is>
          <t>2026-09-22 05:09</t>
        </is>
      </c>
      <c r="C200" s="3" t="inlineStr">
        <is>
          <t>Ingeniera comercial electrica - cali</t>
        </is>
      </c>
      <c r="D200" s="3" t="inlineStr">
        <is>
          <t>PIPOL EXPERT SAS</t>
        </is>
      </c>
      <c r="E200" s="8" t="n">
        <v>0.45</v>
      </c>
      <c r="F200" s="2" t="inlineStr">
        <is>
          <t>Remoto</t>
        </is>
      </c>
      <c r="G200" s="5">
        <f>HYPERLINK("https://www.elempleo.com/co/ofertas-trabajo/ingeniera-comercial-electrica-cali-1886752104", "Ver Vacante")</f>
        <v/>
      </c>
      <c r="H200" s="6" t="inlineStr"/>
      <c r="I2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359d47915a2e74e6</t>
        </is>
      </c>
      <c r="B201" s="2" t="inlineStr">
        <is>
          <t>2026-09-22 05:09</t>
        </is>
      </c>
      <c r="C201" s="3" t="inlineStr">
        <is>
          <t>Supervisor civil - obra</t>
        </is>
      </c>
      <c r="D201" s="3" t="inlineStr">
        <is>
          <t>CONCONCRETO S.A.</t>
        </is>
      </c>
      <c r="E201" s="8" t="n">
        <v>0.45</v>
      </c>
      <c r="F201" s="2" t="inlineStr">
        <is>
          <t>Remoto</t>
        </is>
      </c>
      <c r="G201" s="5">
        <f>HYPERLINK("https://www.elempleo.com/co/ofertas-trabajo/supervisor-civil-obra-1886750435", "Ver Vacante")</f>
        <v/>
      </c>
      <c r="H201" s="6" t="inlineStr"/>
      <c r="I2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78244d2897084f6a</t>
        </is>
      </c>
      <c r="B202" s="2" t="inlineStr">
        <is>
          <t>2026-09-22 05:09</t>
        </is>
      </c>
      <c r="C202" s="3" t="inlineStr">
        <is>
          <t>Ingeniera comercial sector industrial - cali</t>
        </is>
      </c>
      <c r="D202" s="3" t="inlineStr">
        <is>
          <t>PIPOL EXPERT SAS</t>
        </is>
      </c>
      <c r="E202" s="8" t="n">
        <v>0.45</v>
      </c>
      <c r="F202" s="2" t="inlineStr">
        <is>
          <t>Remoto</t>
        </is>
      </c>
      <c r="G202" s="5">
        <f>HYPERLINK("https://www.elempleo.com/co/ofertas-trabajo/ingeniera-comercial-sector-industrial-cali-1886753949", "Ver Vacante")</f>
        <v/>
      </c>
      <c r="H202" s="6" t="inlineStr"/>
      <c r="I2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a4d1239b8910f7cf</t>
        </is>
      </c>
      <c r="B203" s="2" t="inlineStr">
        <is>
          <t>2026-09-22 05:09</t>
        </is>
      </c>
      <c r="C203" s="3" t="inlineStr">
        <is>
          <t>Ingeniera electrica comercial - bogotá</t>
        </is>
      </c>
      <c r="D203" s="3" t="inlineStr">
        <is>
          <t>PIPOL EXPERT SAS</t>
        </is>
      </c>
      <c r="E203" s="8" t="n">
        <v>0.45</v>
      </c>
      <c r="F203" s="2" t="inlineStr">
        <is>
          <t>Remoto</t>
        </is>
      </c>
      <c r="G203" s="5">
        <f>HYPERLINK("https://www.elempleo.com/co/ofertas-trabajo/ingeniera-electrica-comercial-bogota-1886756984", "Ver Vacante")</f>
        <v/>
      </c>
      <c r="H203" s="6" t="inlineStr"/>
      <c r="I2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366f049dd1eaf173</t>
        </is>
      </c>
      <c r="B204" s="2" t="inlineStr">
        <is>
          <t>2026-09-22 05:09</t>
        </is>
      </c>
      <c r="C204" s="3" t="inlineStr">
        <is>
          <t>Civil engineering-in-training</t>
        </is>
      </c>
      <c r="D204" s="3" t="inlineStr">
        <is>
          <t>WSP COLOMBIA SAS</t>
        </is>
      </c>
      <c r="E204" s="8" t="n">
        <v>0.45</v>
      </c>
      <c r="F204" s="2" t="inlineStr">
        <is>
          <t>Remoto</t>
        </is>
      </c>
      <c r="G204" s="5">
        <f>HYPERLINK("https://www.elempleo.com/co/ofertas-trabajo/civil-engineeringintraining-1886759044", "Ver Vacante")</f>
        <v/>
      </c>
      <c r="H204" s="6" t="inlineStr"/>
      <c r="I2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555a755e56fc6a80</t>
        </is>
      </c>
      <c r="B205" s="2" t="inlineStr">
        <is>
          <t>2026-09-22 05:09</t>
        </is>
      </c>
      <c r="C205" s="3" t="inlineStr">
        <is>
          <t>Civil engineering-in-training</t>
        </is>
      </c>
      <c r="D205" s="3" t="inlineStr">
        <is>
          <t>WSP COLOMBIA SAS</t>
        </is>
      </c>
      <c r="E205" s="8" t="n">
        <v>0.45</v>
      </c>
      <c r="F205" s="2" t="inlineStr">
        <is>
          <t>Remoto</t>
        </is>
      </c>
      <c r="G205" s="5">
        <f>HYPERLINK("https://www.elempleo.com/co/ofertas-trabajo/civil-engineeringintraining-1886758755", "Ver Vacante")</f>
        <v/>
      </c>
      <c r="H205" s="6" t="inlineStr"/>
      <c r="I2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776483d4ec602e40</t>
        </is>
      </c>
      <c r="B206" s="2" t="inlineStr">
        <is>
          <t>2026-09-22 05:09</t>
        </is>
      </c>
      <c r="C206" s="3" t="inlineStr">
        <is>
          <t>Consultor senior sap pm - remoto colombia</t>
        </is>
      </c>
      <c r="D206" s="3" t="inlineStr">
        <is>
          <t>TALYCAP GLOBAL SAS</t>
        </is>
      </c>
      <c r="E206" s="8" t="n">
        <v>0.45</v>
      </c>
      <c r="F206" s="2" t="inlineStr">
        <is>
          <t>Remoto</t>
        </is>
      </c>
      <c r="G206" s="5">
        <f>HYPERLINK("https://www.elempleo.com/co/ofertas-trabajo/consultor-senior-sap-pm-remoto-colombia-1886747903", "Ver Vacante")</f>
        <v/>
      </c>
      <c r="H206" s="6" t="inlineStr"/>
      <c r="I2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b1cfe269bbc00011</t>
        </is>
      </c>
      <c r="B207" s="2" t="inlineStr">
        <is>
          <t>2026-09-22 05:09</t>
        </is>
      </c>
      <c r="C207" s="3" t="inlineStr">
        <is>
          <t>Coordinador de interventoría</t>
        </is>
      </c>
      <c r="D207" s="3" t="inlineStr">
        <is>
          <t>Confidencial</t>
        </is>
      </c>
      <c r="E207" s="8" t="n">
        <v>0.45</v>
      </c>
      <c r="F207" s="2" t="inlineStr">
        <is>
          <t>Remoto</t>
        </is>
      </c>
      <c r="G207" s="5">
        <f>HYPERLINK("https://www.elempleo.com/co/ofertas-trabajo/coordinador-de-interventoria-1886751671", "Ver Vacante")</f>
        <v/>
      </c>
      <c r="H207" s="6" t="inlineStr"/>
      <c r="I2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b7a3423e1ee1e624</t>
        </is>
      </c>
      <c r="B208" s="2" t="inlineStr">
        <is>
          <t>2026-09-22 05:09</t>
        </is>
      </c>
      <c r="C208" s="3" t="inlineStr">
        <is>
          <t>Especialista en urbanismo - proyecto vial</t>
        </is>
      </c>
      <c r="D208" s="3" t="inlineStr">
        <is>
          <t>INGEPLAN.CO SAS EMPRESA DE BENEFICIO E INTERES COLECTIVO BIC</t>
        </is>
      </c>
      <c r="E208" s="8" t="n">
        <v>0.45</v>
      </c>
      <c r="F208" s="2" t="inlineStr">
        <is>
          <t>Remoto</t>
        </is>
      </c>
      <c r="G208" s="5">
        <f>HYPERLINK("https://www.elempleo.com/co/ofertas-trabajo/especialista-en-urbanismo-proyecto-vial-1886755827", "Ver Vacante")</f>
        <v/>
      </c>
      <c r="H208" s="6" t="inlineStr"/>
      <c r="I2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8f2604180c4175aa</t>
        </is>
      </c>
      <c r="B209" s="2" t="inlineStr">
        <is>
          <t>2026-09-22 05:09</t>
        </is>
      </c>
      <c r="C209" s="3" t="inlineStr">
        <is>
          <t>Líder hseq</t>
        </is>
      </c>
      <c r="D209" s="3" t="inlineStr">
        <is>
          <t>Grupo Good</t>
        </is>
      </c>
      <c r="E209" s="8" t="n">
        <v>0.45</v>
      </c>
      <c r="F209" s="2" t="inlineStr">
        <is>
          <t>Remoto</t>
        </is>
      </c>
      <c r="G209" s="5">
        <f>HYPERLINK("https://www.elempleo.com/co/ofertas-trabajo/lider-hseq-1886758267", "Ver Vacante")</f>
        <v/>
      </c>
      <c r="H209" s="6" t="inlineStr"/>
      <c r="I209" s="3" t="inlineStr">
        <is>
          <t>[Afinidad: 45/100 - Baja Afinidad]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c996b309ea31c398</t>
        </is>
      </c>
      <c r="B210" s="2" t="inlineStr">
        <is>
          <t>2026-09-22 05:09</t>
        </is>
      </c>
      <c r="C210" s="3" t="inlineStr">
        <is>
          <t>Lider hseq</t>
        </is>
      </c>
      <c r="D210" s="3" t="inlineStr">
        <is>
          <t>Confidencial</t>
        </is>
      </c>
      <c r="E210" s="8" t="n">
        <v>0.45</v>
      </c>
      <c r="F210" s="2" t="inlineStr">
        <is>
          <t>Remoto</t>
        </is>
      </c>
      <c r="G210" s="5">
        <f>HYPERLINK("https://www.elempleo.com/co/ofertas-trabajo/lider-hseq-1886767416", "Ver Vacante")</f>
        <v/>
      </c>
      <c r="H210" s="6" t="inlineStr"/>
      <c r="I210" s="3" t="inlineStr">
        <is>
          <t>[Afinidad: 45/100 - Baja Afinidad]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fcb39d755657052e</t>
        </is>
      </c>
      <c r="B211" s="2" t="inlineStr">
        <is>
          <t>2026-09-22 05:09</t>
        </is>
      </c>
      <c r="C211" s="3" t="inlineStr">
        <is>
          <t>Coordinador hseq</t>
        </is>
      </c>
      <c r="D211" s="3" t="inlineStr">
        <is>
          <t>Confidencial</t>
        </is>
      </c>
      <c r="E211" s="8" t="n">
        <v>0.45</v>
      </c>
      <c r="F211" s="2" t="inlineStr">
        <is>
          <t>Remoto</t>
        </is>
      </c>
      <c r="G211" s="5">
        <f>HYPERLINK("https://www.elempleo.com/co/ofertas-trabajo/coordinador-hseq-1886747304", "Ver Vacante")</f>
        <v/>
      </c>
      <c r="H211" s="6" t="inlineStr"/>
      <c r="I211" s="3" t="inlineStr">
        <is>
          <t>[Afinidad: 45/100 - Baja Afinidad]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1a35e87760c6acbe</t>
        </is>
      </c>
      <c r="B212" s="2" t="inlineStr">
        <is>
          <t>2026-09-22 05:09</t>
        </is>
      </c>
      <c r="C212" s="3" t="inlineStr">
        <is>
          <t>Líder hseq</t>
        </is>
      </c>
      <c r="D212" s="3" t="inlineStr">
        <is>
          <t>Confidencial</t>
        </is>
      </c>
      <c r="E212" s="8" t="n">
        <v>0.45</v>
      </c>
      <c r="F212" s="2" t="inlineStr">
        <is>
          <t>Remoto</t>
        </is>
      </c>
      <c r="G212" s="5">
        <f>HYPERLINK("https://www.elempleo.com/co/ofertas-trabajo/lider-hseq-1886761912", "Ver Vacante")</f>
        <v/>
      </c>
      <c r="H212" s="6" t="inlineStr"/>
      <c r="I212" s="3" t="inlineStr">
        <is>
          <t>[Afinidad: 45/100 - Baja Afinidad]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9e2f0c16f1a50983</t>
        </is>
      </c>
      <c r="B213" s="2" t="inlineStr">
        <is>
          <t>2026-09-22 05:09</t>
        </is>
      </c>
      <c r="C213" s="3" t="inlineStr">
        <is>
          <t>Coordinador hseq</t>
        </is>
      </c>
      <c r="D213" s="3" t="inlineStr">
        <is>
          <t>Confidencial</t>
        </is>
      </c>
      <c r="E213" s="8" t="n">
        <v>0.45</v>
      </c>
      <c r="F213" s="2" t="inlineStr">
        <is>
          <t>Remoto</t>
        </is>
      </c>
      <c r="G213" s="5">
        <f>HYPERLINK("https://www.elempleo.com/co/ofertas-trabajo/coordinador-hseq-1886764155", "Ver Vacante")</f>
        <v/>
      </c>
      <c r="H213" s="6" t="inlineStr"/>
      <c r="I213" s="3" t="inlineStr">
        <is>
          <t>[Afinidad: 45/100 - Baja Afinidad]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9d4d87a631d5e8b8</t>
        </is>
      </c>
      <c r="B214" s="2" t="inlineStr">
        <is>
          <t>2026-09-22 05:09</t>
        </is>
      </c>
      <c r="C214" s="3" t="inlineStr">
        <is>
          <t>Coordinador hseq</t>
        </is>
      </c>
      <c r="D214" s="3" t="inlineStr">
        <is>
          <t>Confidencial</t>
        </is>
      </c>
      <c r="E214" s="8" t="n">
        <v>0.45</v>
      </c>
      <c r="F214" s="2" t="inlineStr">
        <is>
          <t>Remoto</t>
        </is>
      </c>
      <c r="G214" s="5">
        <f>HYPERLINK("https://www.elempleo.com/co/ofertas-trabajo/coordinador-hseq-1886760733", "Ver Vacante")</f>
        <v/>
      </c>
      <c r="H214" s="6" t="inlineStr"/>
      <c r="I214" s="3" t="inlineStr">
        <is>
          <t>[Afinidad: 45/100 - Baja Afinidad]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62d6690ef260f268</t>
        </is>
      </c>
      <c r="B215" s="2" t="inlineStr">
        <is>
          <t>2026-09-22 05:09</t>
        </is>
      </c>
      <c r="C215" s="3" t="inlineStr">
        <is>
          <t>Coordinador hseq cartagena</t>
        </is>
      </c>
      <c r="D215" s="3" t="inlineStr">
        <is>
          <t>APPLUS NORCONTROL COLOMBIA LTDA</t>
        </is>
      </c>
      <c r="E215" s="8" t="n">
        <v>0.45</v>
      </c>
      <c r="F215" s="2" t="inlineStr">
        <is>
          <t>Remoto</t>
        </is>
      </c>
      <c r="G215" s="5">
        <f>HYPERLINK("https://www.elempleo.com/co/ofertas-trabajo/coordinador-hseq-cartagena-1886754661", "Ver Vacante")</f>
        <v/>
      </c>
      <c r="H215" s="6" t="inlineStr"/>
      <c r="I215" s="3" t="inlineStr">
        <is>
          <t>[Afinidad: 45/100 - Baja Afinidad]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6e57e2acbfc11d12</t>
        </is>
      </c>
      <c r="B216" s="2" t="inlineStr">
        <is>
          <t>2026-09-22 05:09</t>
        </is>
      </c>
      <c r="C216" s="3" t="inlineStr">
        <is>
          <t>Especialista sig</t>
        </is>
      </c>
      <c r="D216" s="3" t="inlineStr">
        <is>
          <t>Confidencial</t>
        </is>
      </c>
      <c r="E216" s="8" t="n">
        <v>0.45</v>
      </c>
      <c r="F216" s="2" t="inlineStr">
        <is>
          <t>Remoto</t>
        </is>
      </c>
      <c r="G216" s="5">
        <f>HYPERLINK("https://www.elempleo.com/co/ofertas-trabajo/especialista-sig-1886757094", "Ver Vacante")</f>
        <v/>
      </c>
      <c r="H216" s="6" t="inlineStr"/>
      <c r="I2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11494a184e6f9290</t>
        </is>
      </c>
      <c r="B217" s="2" t="inlineStr">
        <is>
          <t>2026-09-22 05:09</t>
        </is>
      </c>
      <c r="C217" s="3" t="inlineStr">
        <is>
          <t>Especialista en ingeniería civil - coordinador técnico</t>
        </is>
      </c>
      <c r="D217" s="3" t="inlineStr">
        <is>
          <t>Confidencial</t>
        </is>
      </c>
      <c r="E217" s="8" t="n">
        <v>0.45</v>
      </c>
      <c r="F217" s="2" t="inlineStr">
        <is>
          <t>Remoto</t>
        </is>
      </c>
      <c r="G217" s="5">
        <f>HYPERLINK("https://www.elempleo.com/co/ofertas-trabajo/especialista-en-ingenieria-civil-coordinador-tecnico-honduras-1886745304", "Ver Vacante")</f>
        <v/>
      </c>
      <c r="H217" s="6" t="inlineStr"/>
      <c r="I2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327c6d2b54619849</t>
        </is>
      </c>
      <c r="B218" s="2" t="inlineStr">
        <is>
          <t>2026-09-22 05:09</t>
        </is>
      </c>
      <c r="C218" s="3" t="inlineStr">
        <is>
          <t>Especialista en psiquiatría</t>
        </is>
      </c>
      <c r="D218" s="3" t="inlineStr">
        <is>
          <t>Confidencial</t>
        </is>
      </c>
      <c r="E218" s="8" t="n">
        <v>0.45</v>
      </c>
      <c r="F218" s="2" t="inlineStr">
        <is>
          <t>Remoto</t>
        </is>
      </c>
      <c r="G218" s="5">
        <f>HYPERLINK("https://www.elempleo.com/co/ofertas-trabajo/especialista-en-psiquiatria-1886757353", "Ver Vacante")</f>
        <v/>
      </c>
      <c r="H218" s="6" t="inlineStr"/>
      <c r="I2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b637f33f588eb5ae</t>
        </is>
      </c>
      <c r="B219" s="2" t="inlineStr">
        <is>
          <t>2026-09-22 05:09</t>
        </is>
      </c>
      <c r="C219" s="3" t="inlineStr">
        <is>
          <t>Especialista en diseño hospitalario</t>
        </is>
      </c>
      <c r="D219" s="3" t="inlineStr">
        <is>
          <t>Confidencial</t>
        </is>
      </c>
      <c r="E219" s="8" t="n">
        <v>0.45</v>
      </c>
      <c r="F219" s="2" t="inlineStr">
        <is>
          <t>Remoto</t>
        </is>
      </c>
      <c r="G219" s="5">
        <f>HYPERLINK("https://www.elempleo.com/co/ofertas-trabajo/especialista-en-diseno-hospitalario-disponibilidad-viajar-a-peru-1886747220", "Ver Vacante")</f>
        <v/>
      </c>
      <c r="H219" s="6" t="inlineStr"/>
      <c r="I2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adcc2b47284b5d4d</t>
        </is>
      </c>
      <c r="B220" s="2" t="inlineStr">
        <is>
          <t>2026-09-22 05:09</t>
        </is>
      </c>
      <c r="C220" s="3" t="inlineStr">
        <is>
          <t>Analista de diseño e ingeniería de empaque - sector farmaceutico</t>
        </is>
      </c>
      <c r="D220" s="3" t="inlineStr">
        <is>
          <t>LABORATORIOS BUSSIE</t>
        </is>
      </c>
      <c r="E220" s="8" t="n">
        <v>0.45</v>
      </c>
      <c r="F220" s="2" t="inlineStr">
        <is>
          <t>Remoto</t>
        </is>
      </c>
      <c r="G220" s="5">
        <f>HYPERLINK("https://www.elempleo.com/co/ofertas-trabajo/analista-de-diseno-e-ingenieria-de-empaque-sector-farmaceutico-1886755492", "Ver Vacante")</f>
        <v/>
      </c>
      <c r="H220" s="6" t="inlineStr"/>
      <c r="I2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3ec3d2d34753ff04</t>
        </is>
      </c>
      <c r="B221" s="2" t="inlineStr">
        <is>
          <t>2026-09-22 05:09</t>
        </is>
      </c>
      <c r="C221" s="3" t="inlineStr">
        <is>
          <t>Especialista de diseño y arquitectura</t>
        </is>
      </c>
      <c r="D221" s="3" t="inlineStr">
        <is>
          <t>INTER RAPIDISIMO</t>
        </is>
      </c>
      <c r="E221" s="8" t="n">
        <v>0.45</v>
      </c>
      <c r="F221" s="2" t="inlineStr">
        <is>
          <t>Remoto</t>
        </is>
      </c>
      <c r="G221" s="5">
        <f>HYPERLINK("https://www.elempleo.com/co/ofertas-trabajo/especialista-de-diseno-y-arquitectura-1886761909", "Ver Vacante")</f>
        <v/>
      </c>
      <c r="H221" s="6" t="inlineStr"/>
      <c r="I2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4e917305e90b3efa</t>
        </is>
      </c>
      <c r="B222" s="2" t="inlineStr">
        <is>
          <t>2026-09-22 05:09</t>
        </is>
      </c>
      <c r="C222" s="3" t="inlineStr">
        <is>
          <t>Especialista en geología</t>
        </is>
      </c>
      <c r="D222" s="3" t="inlineStr">
        <is>
          <t>INGEPLAN.CO SAS EMPRESA DE BENEFICIO E INTERES COLECTIVO BIC</t>
        </is>
      </c>
      <c r="E222" s="8" t="n">
        <v>0.45</v>
      </c>
      <c r="F222" s="2" t="inlineStr">
        <is>
          <t>Remoto</t>
        </is>
      </c>
      <c r="G222" s="5">
        <f>HYPERLINK("https://www.elempleo.com/co/ofertas-trabajo/especialista-en-geologia-1886761263", "Ver Vacante")</f>
        <v/>
      </c>
      <c r="H222" s="6" t="inlineStr"/>
      <c r="I2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1aef5476d70bbe42</t>
        </is>
      </c>
      <c r="B223" s="2" t="inlineStr">
        <is>
          <t>2026-09-22 05:09</t>
        </is>
      </c>
      <c r="C223" s="3" t="inlineStr">
        <is>
          <t>Especialista en geología</t>
        </is>
      </c>
      <c r="D223" s="3" t="inlineStr">
        <is>
          <t>INGEPLAN.CO SAS EMPRESA DE BENEFICIO E INTERES COLECTIVO BIC</t>
        </is>
      </c>
      <c r="E223" s="8" t="n">
        <v>0.45</v>
      </c>
      <c r="F223" s="2" t="inlineStr">
        <is>
          <t>Remoto</t>
        </is>
      </c>
      <c r="G223" s="5">
        <f>HYPERLINK("https://www.elempleo.com/co/ofertas-trabajo/especialista-en-geologia-1886755729", "Ver Vacante")</f>
        <v/>
      </c>
      <c r="H223" s="6" t="inlineStr"/>
      <c r="I2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b46df3b678599255</t>
        </is>
      </c>
      <c r="B224" s="2" t="inlineStr">
        <is>
          <t>2026-09-22 05:09</t>
        </is>
      </c>
      <c r="C224" s="3" t="inlineStr">
        <is>
          <t>Especialista en estructuras</t>
        </is>
      </c>
      <c r="D224" s="3" t="inlineStr">
        <is>
          <t>Confidencial</t>
        </is>
      </c>
      <c r="E224" s="8" t="n">
        <v>0.45</v>
      </c>
      <c r="F224" s="2" t="inlineStr">
        <is>
          <t>Remoto</t>
        </is>
      </c>
      <c r="G224" s="5">
        <f>HYPERLINK("https://www.elempleo.com/co/ofertas-trabajo/especialista-en-estructuras-1886757080", "Ver Vacante")</f>
        <v/>
      </c>
      <c r="H224" s="6" t="inlineStr"/>
      <c r="I2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935035bdfa2ae0b7</t>
        </is>
      </c>
      <c r="B225" s="2" t="inlineStr">
        <is>
          <t>2026-09-22 05:09</t>
        </is>
      </c>
      <c r="C225" s="3" t="inlineStr">
        <is>
          <t>Especialista en gestión del riesgo</t>
        </is>
      </c>
      <c r="D225" s="3" t="inlineStr">
        <is>
          <t>INGEPLAN.CO SAS EMPRESA DE BENEFICIO E INTERES COLECTIVO BIC</t>
        </is>
      </c>
      <c r="E225" s="8" t="n">
        <v>0.45</v>
      </c>
      <c r="F225" s="2" t="inlineStr">
        <is>
          <t>Remoto</t>
        </is>
      </c>
      <c r="G225" s="5">
        <f>HYPERLINK("https://www.elempleo.com/co/ofertas-trabajo/especialista-en-gestion-del-riesgo-1886755709", "Ver Vacante")</f>
        <v/>
      </c>
      <c r="H225" s="6" t="inlineStr"/>
      <c r="I2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14a1c964238340ba</t>
        </is>
      </c>
      <c r="B226" s="2" t="inlineStr">
        <is>
          <t>2026-09-22 05:09</t>
        </is>
      </c>
      <c r="C226" s="3" t="inlineStr">
        <is>
          <t>Ingeniero civil nivel v</t>
        </is>
      </c>
      <c r="D226" s="3" t="inlineStr">
        <is>
          <t>Confidencial</t>
        </is>
      </c>
      <c r="E226" s="8" t="n">
        <v>0.45</v>
      </c>
      <c r="F226" s="2" t="inlineStr">
        <is>
          <t>Remoto</t>
        </is>
      </c>
      <c r="G226" s="5">
        <f>HYPERLINK("https://www.elempleo.com/co/ofertas-trabajo/ingeniero-civil-nivel-v-1886758046", "Ver Vacante")</f>
        <v/>
      </c>
      <c r="H226" s="6" t="inlineStr"/>
      <c r="I2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740f61bdbaa69d0e</t>
        </is>
      </c>
      <c r="B227" s="2" t="inlineStr">
        <is>
          <t>2026-09-22 05:09</t>
        </is>
      </c>
      <c r="C227" s="3" t="inlineStr">
        <is>
          <t>Coordinador de proyectos bilingüe</t>
        </is>
      </c>
      <c r="D227" s="3" t="inlineStr">
        <is>
          <t>EyS IT SAS</t>
        </is>
      </c>
      <c r="E227" s="8" t="n">
        <v>0.45</v>
      </c>
      <c r="F227" s="2" t="inlineStr">
        <is>
          <t>Remoto</t>
        </is>
      </c>
      <c r="G227" s="5">
        <f>HYPERLINK("https://www.elempleo.com/co/ofertas-trabajo/coordinador-de-proyectos-bilingue-1886749343", "Ver Vacante")</f>
        <v/>
      </c>
      <c r="H227" s="6" t="inlineStr"/>
      <c r="I2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63ef229552018ccd</t>
        </is>
      </c>
      <c r="B228" s="2" t="inlineStr">
        <is>
          <t>2026-09-22 05:09</t>
        </is>
      </c>
      <c r="C228" s="3" t="inlineStr">
        <is>
          <t>Coordinador de proyectos</t>
        </is>
      </c>
      <c r="D228" s="3" t="inlineStr">
        <is>
          <t>Confidencial</t>
        </is>
      </c>
      <c r="E228" s="8" t="n">
        <v>0.45</v>
      </c>
      <c r="F228" s="2" t="inlineStr">
        <is>
          <t>Remoto</t>
        </is>
      </c>
      <c r="G228" s="5">
        <f>HYPERLINK("https://www.elempleo.com/co/ofertas-trabajo/coordinador-de-proyectos-1886748647", "Ver Vacante")</f>
        <v/>
      </c>
      <c r="H228" s="6" t="inlineStr"/>
      <c r="I2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03750e25a7e1c016</t>
        </is>
      </c>
      <c r="B229" s="2" t="inlineStr">
        <is>
          <t>2026-09-22 05:09</t>
        </is>
      </c>
      <c r="C229" s="3" t="inlineStr">
        <is>
          <t>Coordinador de proyectos inmobiliarios</t>
        </is>
      </c>
      <c r="D229" s="3" t="inlineStr">
        <is>
          <t>GRUPO AR S.A.</t>
        </is>
      </c>
      <c r="E229" s="8" t="n">
        <v>0.45</v>
      </c>
      <c r="F229" s="2" t="inlineStr">
        <is>
          <t>Remoto</t>
        </is>
      </c>
      <c r="G229" s="5">
        <f>HYPERLINK("https://www.elempleo.com/co/ofertas-trabajo/coordinador-de-proyectos-inmobiliarios-1886745877", "Ver Vacante")</f>
        <v/>
      </c>
      <c r="H229" s="6" t="inlineStr"/>
      <c r="I2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5627e52731a73f27</t>
        </is>
      </c>
      <c r="B230" s="2" t="inlineStr">
        <is>
          <t>2026-09-22 05:09</t>
        </is>
      </c>
      <c r="C230" s="3" t="inlineStr">
        <is>
          <t>Coordinador de proyectos inmobiliarios</t>
        </is>
      </c>
      <c r="D230" s="3" t="inlineStr">
        <is>
          <t>GRUPO AR S.A.</t>
        </is>
      </c>
      <c r="E230" s="8" t="n">
        <v>0.45</v>
      </c>
      <c r="F230" s="2" t="inlineStr">
        <is>
          <t>Remoto</t>
        </is>
      </c>
      <c r="G230" s="5">
        <f>HYPERLINK("https://www.elempleo.com/co/ofertas-trabajo/coordinador-de-proyectos-inmobiliarios-1886704948", "Ver Vacante")</f>
        <v/>
      </c>
      <c r="H230" s="6" t="inlineStr"/>
      <c r="I2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b6af0024900baff6</t>
        </is>
      </c>
      <c r="B231" s="2" t="inlineStr">
        <is>
          <t>2026-09-22 05:09</t>
        </is>
      </c>
      <c r="C231" s="3" t="inlineStr">
        <is>
          <t>Ingeniero residente - ingeniero civil-cordoba</t>
        </is>
      </c>
      <c r="D231" s="3" t="inlineStr">
        <is>
          <t>OBCIPOL SAS</t>
        </is>
      </c>
      <c r="E231" s="8" t="n">
        <v>0.45</v>
      </c>
      <c r="F231" s="2" t="inlineStr">
        <is>
          <t>Remoto</t>
        </is>
      </c>
      <c r="G231" s="5">
        <f>HYPERLINK("https://www.elempleo.com/co/ofertas-trabajo/ingeniero-residente-ingeniero-civilcordoba-1886763488", "Ver Vacante")</f>
        <v/>
      </c>
      <c r="H231" s="6" t="inlineStr"/>
      <c r="I2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2a0453695fa88728</t>
        </is>
      </c>
      <c r="B232" s="2" t="inlineStr">
        <is>
          <t>2026-09-22 05:09</t>
        </is>
      </c>
      <c r="C232" s="3" t="inlineStr">
        <is>
          <t>Profesional ingenieria mecanica</t>
        </is>
      </c>
      <c r="D232" s="3" t="inlineStr">
        <is>
          <t>INZIGNIA CONSTRUCTION S.A</t>
        </is>
      </c>
      <c r="E232" s="8" t="n">
        <v>0.45</v>
      </c>
      <c r="F232" s="2" t="inlineStr">
        <is>
          <t>Remoto</t>
        </is>
      </c>
      <c r="G232" s="5">
        <f>HYPERLINK("https://www.elempleo.com/co/ofertas-trabajo/profesional-ingenieria-mecanica-1886767282", "Ver Vacante")</f>
        <v/>
      </c>
      <c r="H232" s="6" t="inlineStr"/>
      <c r="I2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edfe98c543194667</t>
        </is>
      </c>
      <c r="B233" s="2" t="inlineStr">
        <is>
          <t>2026-09-22 05:09</t>
        </is>
      </c>
      <c r="C233" s="3" t="inlineStr">
        <is>
          <t>Jefe de sst - nemocón - 1625991634-135</t>
        </is>
      </c>
      <c r="D233" s="3" t="inlineStr">
        <is>
          <t>AGENCIA DE EMPLEO Y FOMENTO EMPRESARIAL COMPENSAR</t>
        </is>
      </c>
      <c r="E233" s="8" t="n">
        <v>0.45</v>
      </c>
      <c r="F233" s="2" t="inlineStr">
        <is>
          <t>Remoto</t>
        </is>
      </c>
      <c r="G233" s="5">
        <f>HYPERLINK("https://www.elempleo.com/co/ofertas-trabajo/jefe-de-sst-nemocon-1625991634135-1886754873", "Ver Vacante")</f>
        <v/>
      </c>
      <c r="H233" s="6" t="inlineStr"/>
      <c r="I233" s="3" t="inlineStr">
        <is>
          <t>[Afinidad: 45/100 - Baja Afinidad]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6233e93ceb1dbeed</t>
        </is>
      </c>
      <c r="B234" s="2" t="inlineStr">
        <is>
          <t>2026-09-22 05:09</t>
        </is>
      </c>
      <c r="C234" s="3" t="inlineStr">
        <is>
          <t>Jefe de sst- nemocón</t>
        </is>
      </c>
      <c r="D234" s="3" t="inlineStr">
        <is>
          <t>Confidencial</t>
        </is>
      </c>
      <c r="E234" s="8" t="n">
        <v>0.45</v>
      </c>
      <c r="F234" s="2" t="inlineStr">
        <is>
          <t>Remoto</t>
        </is>
      </c>
      <c r="G234" s="5">
        <f>HYPERLINK("https://www.elempleo.com/co/ofertas-trabajo/jefe-de-sst-nemocon-1886757757", "Ver Vacante")</f>
        <v/>
      </c>
      <c r="H234" s="6" t="inlineStr"/>
      <c r="I234" s="3" t="inlineStr">
        <is>
          <t>[Afinidad: 45/100 - Baja Afinidad]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ddd0530c3b22efe7</t>
        </is>
      </c>
      <c r="B235" s="2" t="inlineStr">
        <is>
          <t>2026-09-22 05:09</t>
        </is>
      </c>
      <c r="C235" s="3" t="inlineStr">
        <is>
          <t>Lider sst para la guajira</t>
        </is>
      </c>
      <c r="D235" s="3" t="inlineStr">
        <is>
          <t>Confidencial</t>
        </is>
      </c>
      <c r="E235" s="8" t="n">
        <v>0.45</v>
      </c>
      <c r="F235" s="2" t="inlineStr">
        <is>
          <t>Remoto</t>
        </is>
      </c>
      <c r="G235" s="5">
        <f>HYPERLINK("https://www.elempleo.com/co/ofertas-trabajo/lider-sst-para-la-guajira-1886764349", "Ver Vacante")</f>
        <v/>
      </c>
      <c r="H235" s="6" t="inlineStr"/>
      <c r="I235" s="3" t="inlineStr">
        <is>
          <t>[Afinidad: 45/100 - Baja Afinidad]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ce75aab7a32f36a3</t>
        </is>
      </c>
      <c r="B236" s="2" t="inlineStr">
        <is>
          <t>2026-09-22 05:09</t>
        </is>
      </c>
      <c r="C236" s="3" t="inlineStr">
        <is>
          <t>Coordinador talento humano y sst - bogota- 1626427532-7</t>
        </is>
      </c>
      <c r="D236" s="3" t="inlineStr">
        <is>
          <t>AGENCIA DE EMPLEO Y FOMENTO EMPRESARIAL COMPENSAR</t>
        </is>
      </c>
      <c r="E236" s="8" t="n">
        <v>0.45</v>
      </c>
      <c r="F236" s="2" t="inlineStr">
        <is>
          <t>Remoto</t>
        </is>
      </c>
      <c r="G236" s="5">
        <f>HYPERLINK("https://www.elempleo.com/co/ofertas-trabajo/coordinador-talento-humano-y-sst-bogota-16264275327-1886753531", "Ver Vacante")</f>
        <v/>
      </c>
      <c r="H236" s="6" t="inlineStr"/>
      <c r="I236" s="3" t="inlineStr">
        <is>
          <t>[Afinidad: 45/100 - Baja Afinidad]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850731f7bb6cd73f</t>
        </is>
      </c>
      <c r="B237" s="2" t="inlineStr">
        <is>
          <t>2026-09-22 05:09</t>
        </is>
      </c>
      <c r="C237" s="3" t="inlineStr">
        <is>
          <t>Coordinador(a) de sst y medio ambiente</t>
        </is>
      </c>
      <c r="D237" s="3" t="inlineStr">
        <is>
          <t>ATIEMPO S.A.S</t>
        </is>
      </c>
      <c r="E237" s="8" t="n">
        <v>0.45</v>
      </c>
      <c r="F237" s="2" t="inlineStr">
        <is>
          <t>Remoto</t>
        </is>
      </c>
      <c r="G237" s="5">
        <f>HYPERLINK("https://www.elempleo.com/co/ofertas-trabajo/coordinadora-de-sst-y-medio-ambiente-1886759848", "Ver Vacante")</f>
        <v/>
      </c>
      <c r="H237" s="6" t="inlineStr"/>
      <c r="I237" s="3" t="inlineStr">
        <is>
          <t>[Afinidad: 45/100 - Baja Afinidad]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abaf8e513787b3f3</t>
        </is>
      </c>
      <c r="B238" s="2" t="inlineStr">
        <is>
          <t>2026-09-22 05:09</t>
        </is>
      </c>
      <c r="C238" s="3" t="inlineStr">
        <is>
          <t>Coordinador pesv</t>
        </is>
      </c>
      <c r="D238" s="3" t="inlineStr">
        <is>
          <t>Confidencial</t>
        </is>
      </c>
      <c r="E238" s="8" t="n">
        <v>0.45</v>
      </c>
      <c r="F238" s="2" t="inlineStr">
        <is>
          <t>Remoto</t>
        </is>
      </c>
      <c r="G238" s="5">
        <f>HYPERLINK("https://www.elempleo.com/co/ofertas-trabajo/coordinador-pesv-1886769643", "Ver Vacante")</f>
        <v/>
      </c>
      <c r="H238" s="6" t="inlineStr"/>
      <c r="I238" s="3" t="inlineStr">
        <is>
          <t>[Afinidad: 45/100 - Baja Afinidad] Afinidad parcial en infraestructura vial y transporte.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9dcdf501e5912b88</t>
        </is>
      </c>
      <c r="B239" s="2" t="inlineStr">
        <is>
          <t>2026-09-22 05:09</t>
        </is>
      </c>
      <c r="C239" s="3" t="inlineStr">
        <is>
          <t>Tecnico de obras civiles /girardot ref. 339166-82241</t>
        </is>
      </c>
      <c r="D239" s="3" t="inlineStr">
        <is>
          <t>AGENCIA DE EMPLEO Y FOMENTO EMPRESARIAL COMPENSAR</t>
        </is>
      </c>
      <c r="E239" s="8" t="n">
        <v>0.45</v>
      </c>
      <c r="F239" s="2" t="inlineStr">
        <is>
          <t>Remoto</t>
        </is>
      </c>
      <c r="G239" s="5">
        <f>HYPERLINK("https://www.elempleo.com/co/ofertas-trabajo/tecnico-de-obras-civiles-girardot-ref-33916682241-1886747302", "Ver Vacante")</f>
        <v/>
      </c>
      <c r="H239" s="6" t="inlineStr"/>
      <c r="I2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693b8a076a888f67</t>
        </is>
      </c>
      <c r="B240" s="2" t="inlineStr">
        <is>
          <t>2026-09-22 05:09</t>
        </is>
      </c>
      <c r="C240" s="3" t="inlineStr">
        <is>
          <t>Ingeniero civil - especializacion en estructuras</t>
        </is>
      </c>
      <c r="D240" s="3" t="inlineStr">
        <is>
          <t>Confidencial</t>
        </is>
      </c>
      <c r="E240" s="8" t="n">
        <v>0.45</v>
      </c>
      <c r="F240" s="2" t="inlineStr">
        <is>
          <t>Remoto</t>
        </is>
      </c>
      <c r="G240" s="5">
        <f>HYPERLINK("https://www.elempleo.com/co/ofertas-trabajo/ingeniero-civil-especializacion-en-estructuras-1886766956", "Ver Vacante")</f>
        <v/>
      </c>
      <c r="H240" s="6" t="inlineStr"/>
      <c r="I2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13bc527565632878</t>
        </is>
      </c>
      <c r="B241" s="2" t="inlineStr">
        <is>
          <t>2026-09-22 05:09</t>
        </is>
      </c>
      <c r="C241" s="3" t="inlineStr">
        <is>
          <t>Tecnico en contratacion de obra civil bogota</t>
        </is>
      </c>
      <c r="D241" s="3" t="inlineStr">
        <is>
          <t>Confidencial</t>
        </is>
      </c>
      <c r="E241" s="8" t="n">
        <v>0.45</v>
      </c>
      <c r="F241" s="2" t="inlineStr">
        <is>
          <t>Remoto</t>
        </is>
      </c>
      <c r="G241" s="5">
        <f>HYPERLINK("https://www.elempleo.com/co/ofertas-trabajo/tecnico-en-contratacion-de-obra-civil-bogota-1886759693", "Ver Vacante")</f>
        <v/>
      </c>
      <c r="H241" s="6" t="inlineStr"/>
      <c r="I2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6ccccd3a1ba05f7f</t>
        </is>
      </c>
      <c r="B242" s="2" t="inlineStr">
        <is>
          <t>2026-09-22 05:09</t>
        </is>
      </c>
      <c r="C242" s="3" t="inlineStr">
        <is>
          <t>14561-especialista interventoria-bogota</t>
        </is>
      </c>
      <c r="D242" s="3" t="inlineStr">
        <is>
          <t>APPLUS NORCONTROL COLOMBIA LTDA</t>
        </is>
      </c>
      <c r="E242" s="8" t="n">
        <v>0.45</v>
      </c>
      <c r="F242" s="2" t="inlineStr">
        <is>
          <t>Remoto</t>
        </is>
      </c>
      <c r="G242" s="5">
        <f>HYPERLINK("https://www.elempleo.com/co/ofertas-trabajo/14561especialista-interventoriabogota-1886768886", "Ver Vacante")</f>
        <v/>
      </c>
      <c r="H242" s="6" t="inlineStr"/>
      <c r="I2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5890db86961c728a</t>
        </is>
      </c>
      <c r="B243" s="2" t="inlineStr">
        <is>
          <t>2026-09-22 05:09</t>
        </is>
      </c>
      <c r="C243" s="3" t="inlineStr">
        <is>
          <t>Lider de proyectos de infraestructura</t>
        </is>
      </c>
      <c r="D243" s="3" t="inlineStr">
        <is>
          <t>Confidencial</t>
        </is>
      </c>
      <c r="E243" s="8" t="n">
        <v>0.45</v>
      </c>
      <c r="F243" s="2" t="inlineStr">
        <is>
          <t>Remoto</t>
        </is>
      </c>
      <c r="G243" s="5">
        <f>HYPERLINK("https://www.elempleo.com/co/ofertas-trabajo/lider-de-proyectos-de-infraestructura-1886763250", "Ver Vacante")</f>
        <v/>
      </c>
      <c r="H243" s="6" t="inlineStr"/>
      <c r="I243" s="3" t="inlineStr">
        <is>
          <t>[Afinidad: 45/100 - Baja Afinidad] Afinidad parcial en infraestructura vial y transporte.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8ad0c11c4f07472e</t>
        </is>
      </c>
      <c r="B244" s="2" t="inlineStr">
        <is>
          <t>2026-09-22 05:09</t>
        </is>
      </c>
      <c r="C244" s="3" t="inlineStr">
        <is>
          <t>Ingeniero Civil / Terracerías</t>
        </is>
      </c>
      <c r="D244" s="3" t="inlineStr">
        <is>
          <t>EOSOL</t>
        </is>
      </c>
      <c r="E244" s="8" t="n">
        <v>0.45</v>
      </c>
      <c r="F244" s="2" t="inlineStr">
        <is>
          <t>Remoto</t>
        </is>
      </c>
      <c r="G244" s="5">
        <f>HYPERLINK("https://co.linkedin.com/jobs/view/ingeniero-civil-terracer%C3%ADas-at-eosol-4445793534", "Ver Vacante")</f>
        <v/>
      </c>
      <c r="H244" s="6" t="inlineStr"/>
      <c r="I2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ed46085f88d06bf5</t>
        </is>
      </c>
      <c r="B245" s="2" t="inlineStr">
        <is>
          <t>2026-09-22 05:09</t>
        </is>
      </c>
      <c r="C245" s="3" t="inlineStr">
        <is>
          <t>Supervisor Civil</t>
        </is>
      </c>
      <c r="D245" s="3" t="inlineStr">
        <is>
          <t>EOSOL</t>
        </is>
      </c>
      <c r="E245" s="8" t="n">
        <v>0.45</v>
      </c>
      <c r="F245" s="2" t="inlineStr">
        <is>
          <t>Remoto</t>
        </is>
      </c>
      <c r="G245" s="5">
        <f>HYPERLINK("https://co.linkedin.com/jobs/view/supervisor-civil-at-eosol-4442238964", "Ver Vacante")</f>
        <v/>
      </c>
      <c r="H245" s="6" t="inlineStr"/>
      <c r="I2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dc949850c44ae2c9</t>
        </is>
      </c>
      <c r="B246" s="2" t="inlineStr">
        <is>
          <t>2026-09-22 05:09</t>
        </is>
      </c>
      <c r="C246" s="3" t="inlineStr">
        <is>
          <t>Civil Engineer</t>
        </is>
      </c>
      <c r="D246" s="3" t="inlineStr">
        <is>
          <t>Cresta</t>
        </is>
      </c>
      <c r="E246" s="8" t="n">
        <v>0.45</v>
      </c>
      <c r="F246" s="2" t="inlineStr">
        <is>
          <t>Remoto</t>
        </is>
      </c>
      <c r="G246" s="5">
        <f>HYPERLINK("https://co.linkedin.com/jobs/view/civil-engineer-at-cresta-4465582487", "Ver Vacante")</f>
        <v/>
      </c>
      <c r="H246" s="6" t="inlineStr"/>
      <c r="I2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4ad1a5acabdb8ad3</t>
        </is>
      </c>
      <c r="B247" s="2" t="inlineStr">
        <is>
          <t>2026-09-22 05:09</t>
        </is>
      </c>
      <c r="C247" s="3" t="inlineStr">
        <is>
          <t>Civil BIM Specialist</t>
        </is>
      </c>
      <c r="D247" s="3" t="inlineStr">
        <is>
          <t>ENG</t>
        </is>
      </c>
      <c r="E247" s="8" t="n">
        <v>0.45</v>
      </c>
      <c r="F247" s="2" t="inlineStr">
        <is>
          <t>Remoto</t>
        </is>
      </c>
      <c r="G247" s="5">
        <f>HYPERLINK("https://co.linkedin.com/jobs/view/civil-bim-specialist-at-eng-4469886677", "Ver Vacante")</f>
        <v/>
      </c>
      <c r="H247" s="6" t="inlineStr"/>
      <c r="I2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5ebaba0a0c9927fb</t>
        </is>
      </c>
      <c r="B248" s="2" t="inlineStr">
        <is>
          <t>2026-09-22 05:09</t>
        </is>
      </c>
      <c r="C248" s="3" t="inlineStr">
        <is>
          <t>Ingeniero/a Civil-Estructuras Hormigón/Acero</t>
        </is>
      </c>
      <c r="D248" s="3" t="inlineStr">
        <is>
          <t>IDOM Consulting, Engineering, Architecture</t>
        </is>
      </c>
      <c r="E248" s="8" t="n">
        <v>0.45</v>
      </c>
      <c r="F248" s="2" t="inlineStr">
        <is>
          <t>Remoto</t>
        </is>
      </c>
      <c r="G248" s="5">
        <f>HYPERLINK("https://co.linkedin.com/jobs/view/ingeniero-a-civil-estructuras-hormig%C3%B3n-acero-at-idom-consulting-engineering-architecture-4462998187", "Ver Vacante")</f>
        <v/>
      </c>
      <c r="H248" s="6" t="inlineStr"/>
      <c r="I2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5c954c66c2c9d655</t>
        </is>
      </c>
      <c r="B249" s="2" t="inlineStr">
        <is>
          <t>2026-09-22 05:09</t>
        </is>
      </c>
      <c r="C249" s="3" t="inlineStr">
        <is>
          <t>Civil Engineering-in-Training</t>
        </is>
      </c>
      <c r="D249" s="3" t="inlineStr">
        <is>
          <t>WSP en Colombia</t>
        </is>
      </c>
      <c r="E249" s="8" t="n">
        <v>0.45</v>
      </c>
      <c r="F249" s="2" t="inlineStr">
        <is>
          <t>Remoto</t>
        </is>
      </c>
      <c r="G249" s="5">
        <f>HYPERLINK("https://co.linkedin.com/jobs/view/civil-engineering-in-training-french-at-wsp-en-colombia-4458430104", "Ver Vacante")</f>
        <v/>
      </c>
      <c r="H249" s="6" t="inlineStr"/>
      <c r="I2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571ae2aa81fa07b5</t>
        </is>
      </c>
      <c r="B250" s="2" t="inlineStr">
        <is>
          <t>2026-09-22 05:09</t>
        </is>
      </c>
      <c r="C250" s="3" t="inlineStr">
        <is>
          <t>Civil Engineering-in-Training</t>
        </is>
      </c>
      <c r="D250" s="3" t="inlineStr">
        <is>
          <t>WSP en Colombia</t>
        </is>
      </c>
      <c r="E250" s="8" t="n">
        <v>0.45</v>
      </c>
      <c r="F250" s="2" t="inlineStr">
        <is>
          <t>Remoto</t>
        </is>
      </c>
      <c r="G250" s="5">
        <f>HYPERLINK("https://co.linkedin.com/jobs/view/civil-engineering-in-training-at-wsp-en-colombia-4458027784", "Ver Vacante")</f>
        <v/>
      </c>
      <c r="H250" s="6" t="inlineStr"/>
      <c r="I2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d94bcf92627b7b99</t>
        </is>
      </c>
      <c r="B251" s="2" t="inlineStr">
        <is>
          <t>2026-09-22 05:09</t>
        </is>
      </c>
      <c r="C251" s="3" t="inlineStr">
        <is>
          <t>Ingeniero civil</t>
        </is>
      </c>
      <c r="D251" s="3" t="inlineStr">
        <is>
          <t>HMV Ingenieros</t>
        </is>
      </c>
      <c r="E251" s="8" t="n">
        <v>0.45</v>
      </c>
      <c r="F251" s="2" t="inlineStr">
        <is>
          <t>Remoto</t>
        </is>
      </c>
      <c r="G251" s="5">
        <f>HYPERLINK("https://co.linkedin.com/jobs/view/ingeniero-civil-at-hmv-ingenieros-4461715824", "Ver Vacante")</f>
        <v/>
      </c>
      <c r="H251" s="6" t="inlineStr"/>
      <c r="I2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1be0a8e56fa4736b</t>
        </is>
      </c>
      <c r="B252" s="2" t="inlineStr">
        <is>
          <t>2026-09-22 05:09</t>
        </is>
      </c>
      <c r="C252" s="3" t="inlineStr">
        <is>
          <t>Civil Engineer</t>
        </is>
      </c>
      <c r="D252" s="3" t="inlineStr">
        <is>
          <t>Wood</t>
        </is>
      </c>
      <c r="E252" s="8" t="n">
        <v>0.45</v>
      </c>
      <c r="F252" s="2" t="inlineStr">
        <is>
          <t>Remoto</t>
        </is>
      </c>
      <c r="G252" s="5">
        <f>HYPERLINK("https://co.linkedin.com/jobs/view/civil-engineer-at-wood-4418961778", "Ver Vacante")</f>
        <v/>
      </c>
      <c r="H252" s="6" t="inlineStr"/>
      <c r="I2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0b3307883dd9e76d</t>
        </is>
      </c>
      <c r="B253" s="2" t="inlineStr">
        <is>
          <t>2026-09-22 05:09</t>
        </is>
      </c>
      <c r="C253" s="3" t="inlineStr">
        <is>
          <t>Líder de Infraestructura y Estructuración de Proyectos</t>
        </is>
      </c>
      <c r="D253" s="3" t="inlineStr">
        <is>
          <t>Innova Schools Colombia</t>
        </is>
      </c>
      <c r="E253" s="8" t="n">
        <v>0.45</v>
      </c>
      <c r="F253" s="2" t="inlineStr">
        <is>
          <t>Remoto</t>
        </is>
      </c>
      <c r="G253" s="5">
        <f>HYPERLINK("https://co.linkedin.com/jobs/view/l%C3%ADder-de-infraestructura-y-estructuraci%C3%B3n-de-proyectos-at-innova-schools-colombia-4462807966", "Ver Vacante")</f>
        <v/>
      </c>
      <c r="H253" s="6" t="inlineStr"/>
      <c r="I253" s="3" t="inlineStr">
        <is>
          <t>[Afinidad: 45/100 - Baja Afinidad] Afinidad parcial en infraestructura vial y transporte.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825c4e246cbd6b6b</t>
        </is>
      </c>
      <c r="B254" s="2" t="inlineStr">
        <is>
          <t>2026-09-22 05:09</t>
        </is>
      </c>
      <c r="C254" s="3" t="inlineStr">
        <is>
          <t>Civil Engineering Expert</t>
        </is>
      </c>
      <c r="D254" s="3" t="inlineStr">
        <is>
          <t>Anyone AI</t>
        </is>
      </c>
      <c r="E254" s="8" t="n">
        <v>0.45</v>
      </c>
      <c r="F254" s="2" t="inlineStr">
        <is>
          <t>Remoto</t>
        </is>
      </c>
      <c r="G254" s="5">
        <f>HYPERLINK("https://co.linkedin.com/jobs/view/civil-engineering-expert-at-anyone-ai-4462461832", "Ver Vacante")</f>
        <v/>
      </c>
      <c r="H254" s="6" t="inlineStr"/>
      <c r="I2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76740179a82340ae</t>
        </is>
      </c>
      <c r="B255" s="2" t="inlineStr">
        <is>
          <t>2026-09-22 05:09</t>
        </is>
      </c>
      <c r="C255" s="3" t="inlineStr">
        <is>
          <t>Profesional en Ingeniería Civil</t>
        </is>
      </c>
      <c r="D255" s="3" t="inlineStr">
        <is>
          <t>CMH Colombia</t>
        </is>
      </c>
      <c r="E255" s="8" t="n">
        <v>0.45</v>
      </c>
      <c r="F255" s="2" t="inlineStr">
        <is>
          <t>Remoto</t>
        </is>
      </c>
      <c r="G255" s="5">
        <f>HYPERLINK("https://co.linkedin.com/jobs/view/profesional-en-ingenier%C3%ADa-civil-at-minerales-c%C3%B3rdoba-4450022471", "Ver Vacante")</f>
        <v/>
      </c>
      <c r="H255" s="6" t="inlineStr"/>
      <c r="I2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5bea04b9e734c2fc</t>
        </is>
      </c>
      <c r="B256" s="2" t="inlineStr">
        <is>
          <t>2026-09-22 05:09</t>
        </is>
      </c>
      <c r="C256" s="3" t="inlineStr">
        <is>
          <t>Coordinador HSEQ</t>
        </is>
      </c>
      <c r="D256" s="3" t="inlineStr">
        <is>
          <t>ASSEMTEC</t>
        </is>
      </c>
      <c r="E256" s="8" t="n">
        <v>0.45</v>
      </c>
      <c r="F256" s="2" t="inlineStr">
        <is>
          <t>Remoto</t>
        </is>
      </c>
      <c r="G256" s="5">
        <f>HYPERLINK("https://co.linkedin.com/jobs/view/coordinador-hseq-at-assemtec-4457664932", "Ver Vacante")</f>
        <v/>
      </c>
      <c r="H256" s="6" t="inlineStr"/>
      <c r="I256" s="3" t="inlineStr">
        <is>
          <t>[Afinidad: 45/100 - Baja Afinidad]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6ba6bae2d7bfb226</t>
        </is>
      </c>
      <c r="B257" s="2" t="inlineStr">
        <is>
          <t>2026-09-22 05:09</t>
        </is>
      </c>
      <c r="C257" s="3" t="inlineStr">
        <is>
          <t>Inspector SST con Licencia, Coordinador de Alturas</t>
        </is>
      </c>
      <c r="D257" s="3" t="inlineStr">
        <is>
          <t>Asertempo Colombia S.A.S</t>
        </is>
      </c>
      <c r="E257" s="8" t="n">
        <v>0.45</v>
      </c>
      <c r="F257" s="2" t="inlineStr">
        <is>
          <t>Remoto</t>
        </is>
      </c>
      <c r="G257" s="5">
        <f>HYPERLINK("https://co.linkedin.com/jobs/view/inspector-sst-con-licencia-coordinador-de-alturas-at-asertempo-colombia-s-a-s-4464408367", "Ver Vacante")</f>
        <v/>
      </c>
      <c r="H257" s="6" t="inlineStr"/>
      <c r="I257" s="3" t="inlineStr">
        <is>
          <t>[Afinidad: 45/100 - Baja Afinidad]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0df4a63a82189896</t>
        </is>
      </c>
      <c r="B258" s="2" t="inlineStr">
        <is>
          <t>2026-09-22 05:09</t>
        </is>
      </c>
      <c r="C258" s="3" t="inlineStr">
        <is>
          <t>Especialista en Salud y Seguridad en el trabajo con especialización en medio Ambiente</t>
        </is>
      </c>
      <c r="D258" s="3" t="inlineStr">
        <is>
          <t>Dextera IT Services</t>
        </is>
      </c>
      <c r="E258" s="8" t="n">
        <v>0.45</v>
      </c>
      <c r="F258" s="2" t="inlineStr">
        <is>
          <t>Remoto</t>
        </is>
      </c>
      <c r="G258" s="5">
        <f>HYPERLINK("https://co.linkedin.com/jobs/view/especialista-en-salud-y-seguridad-en-el-trabajo-con-especializaci%C3%B3n-en-medio-ambiente-at-dextera-it-services-4464024362", "Ver Vacante")</f>
        <v/>
      </c>
      <c r="H258" s="6" t="inlineStr"/>
      <c r="I2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e8e3c75915d1945c</t>
        </is>
      </c>
      <c r="B259" s="2" t="inlineStr">
        <is>
          <t>2026-09-22 05:09</t>
        </is>
      </c>
      <c r="C259" s="3" t="inlineStr">
        <is>
          <t>Coordinador (a) profesional HSEQ</t>
        </is>
      </c>
      <c r="D259" s="3" t="inlineStr">
        <is>
          <t>SD SAS</t>
        </is>
      </c>
      <c r="E259" s="8" t="n">
        <v>0.45</v>
      </c>
      <c r="F259" s="2" t="inlineStr">
        <is>
          <t>Remoto</t>
        </is>
      </c>
      <c r="G259" s="5">
        <f>HYPERLINK("https://co.linkedin.com/jobs/view/coordinador-a-profesional-hseq-at-sd-sas-4444939872", "Ver Vacante")</f>
        <v/>
      </c>
      <c r="H259" s="6" t="inlineStr"/>
      <c r="I259" s="3" t="inlineStr">
        <is>
          <t>[Afinidad: 45/100 - Baja Afinidad]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fb37fc1bf485e650</t>
        </is>
      </c>
      <c r="B260" s="2" t="inlineStr">
        <is>
          <t>2026-09-22 05:09</t>
        </is>
      </c>
      <c r="C260" s="3" t="inlineStr">
        <is>
          <t>Técnico de trazado especialista en ISTRAM</t>
        </is>
      </c>
      <c r="D260" s="3" t="inlineStr">
        <is>
          <t>EADIC</t>
        </is>
      </c>
      <c r="E260" s="8" t="n">
        <v>0.45</v>
      </c>
      <c r="F260" s="2" t="inlineStr">
        <is>
          <t>Remoto</t>
        </is>
      </c>
      <c r="G260" s="5">
        <f>HYPERLINK("https://co.linkedin.com/jobs/view/t%C3%A9cnico-de-trazado-especialista-en-istram-at-eadic-4468780158", "Ver Vacante")</f>
        <v/>
      </c>
      <c r="H260" s="6" t="inlineStr"/>
      <c r="I2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0f01a66eb85a1ffd</t>
        </is>
      </c>
      <c r="B261" s="2" t="inlineStr">
        <is>
          <t>2026-09-22 05:09</t>
        </is>
      </c>
      <c r="C261" s="3" t="inlineStr">
        <is>
          <t>AUXILIAR MODELADOR BIM Y DIBUJANTE EN INGENIERÍA CIVIL</t>
        </is>
      </c>
      <c r="D261" s="3" t="inlineStr">
        <is>
          <t>Antea Group España y Latinoamérica</t>
        </is>
      </c>
      <c r="E261" s="8" t="n">
        <v>0.45</v>
      </c>
      <c r="F261" s="2" t="inlineStr">
        <is>
          <t>Remoto</t>
        </is>
      </c>
      <c r="G261" s="5">
        <f>HYPERLINK("https://co.linkedin.com/jobs/view/auxiliar-modelador-bim-y-dibujante-en-ingenier%C3%ADa-civil-at-antea-group-espa%C3%B1a-y-latinoam%C3%A9rica-4467605615", "Ver Vacante")</f>
        <v/>
      </c>
      <c r="H261" s="6" t="inlineStr"/>
      <c r="I2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cba614af5ce1fc3a</t>
        </is>
      </c>
      <c r="B262" s="2" t="inlineStr">
        <is>
          <t>2026-09-22 05:09</t>
        </is>
      </c>
      <c r="C262" s="3" t="inlineStr">
        <is>
          <t>Principal Pavement Engineer - Linear Infrastructure &amp; Site Civils</t>
        </is>
      </c>
      <c r="D262" s="3" t="inlineStr">
        <is>
          <t>AECOM</t>
        </is>
      </c>
      <c r="E262" s="8" t="n">
        <v>0.45</v>
      </c>
      <c r="F262" s="2" t="inlineStr">
        <is>
          <t>Remoto</t>
        </is>
      </c>
      <c r="G262" s="5">
        <f>HYPERLINK("https://co.linkedin.com/jobs/view/principal-pavement-engineer-linear-infrastructure-site-civils-at-aecom-4403657428", "Ver Vacante")</f>
        <v/>
      </c>
      <c r="H262" s="6" t="inlineStr"/>
      <c r="I2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2bafc4e5eb29746b</t>
        </is>
      </c>
      <c r="B263" s="2" t="inlineStr">
        <is>
          <t>2026-09-22 05:09</t>
        </is>
      </c>
      <c r="C263" s="3" t="inlineStr">
        <is>
          <t>Ingeniero/a Geotécnico/a Senior</t>
        </is>
      </c>
      <c r="D263" s="3" t="inlineStr">
        <is>
          <t>IDOM Consulting, Engineering, Architecture</t>
        </is>
      </c>
      <c r="E263" s="8" t="n">
        <v>0.45</v>
      </c>
      <c r="F263" s="2" t="inlineStr">
        <is>
          <t>Remoto</t>
        </is>
      </c>
      <c r="G263" s="5">
        <f>HYPERLINK("https://co.linkedin.com/jobs/view/ingeniero-a-geot%C3%A9cnico-a-senior-at-idom-consulting-engineering-architecture-4467729578", "Ver Vacante")</f>
        <v/>
      </c>
      <c r="H263" s="6" t="inlineStr"/>
      <c r="I2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f3290f3c2a2d0061</t>
        </is>
      </c>
      <c r="B264" s="2" t="inlineStr">
        <is>
          <t>2026-09-22 05:09</t>
        </is>
      </c>
      <c r="C264" s="3" t="inlineStr">
        <is>
          <t>Engenheiro Civil - Lisboa</t>
        </is>
      </c>
      <c r="D264" s="3" t="inlineStr">
        <is>
          <t>DDN GERENCIAMENTO</t>
        </is>
      </c>
      <c r="E264" s="8" t="n">
        <v>0.45</v>
      </c>
      <c r="F264" s="2" t="inlineStr">
        <is>
          <t>Remoto</t>
        </is>
      </c>
      <c r="G264" s="5">
        <f>HYPERLINK("https://co.linkedin.com/jobs/view/engenheiro-civil-lisboa-at-ddn-gerenciamento-4468408791", "Ver Vacante")</f>
        <v/>
      </c>
      <c r="H264" s="6" t="inlineStr"/>
      <c r="I2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d2feccf91b9b1f0b</t>
        </is>
      </c>
      <c r="B265" s="2" t="inlineStr">
        <is>
          <t>2026-09-22 05:09</t>
        </is>
      </c>
      <c r="C265" s="3" t="inlineStr">
        <is>
          <t>Ingeniero/a Civil especialista en Talleres y Patios Ferroviarios</t>
        </is>
      </c>
      <c r="D265" s="3" t="inlineStr">
        <is>
          <t>IDOM Consulting, Engineering, Architecture</t>
        </is>
      </c>
      <c r="E265" s="8" t="n">
        <v>0.45</v>
      </c>
      <c r="F265" s="2" t="inlineStr">
        <is>
          <t>Remoto</t>
        </is>
      </c>
      <c r="G265" s="5">
        <f>HYPERLINK("https://co.linkedin.com/jobs/view/ingeniero-a-civil-especialista-en-talleres-y-patios-ferroviarios-at-idom-consulting-engineering-architecture-4443713908", "Ver Vacante")</f>
        <v/>
      </c>
      <c r="H265" s="6" t="inlineStr"/>
      <c r="I2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152ea7f07f195fc8</t>
        </is>
      </c>
      <c r="B266" s="2" t="inlineStr">
        <is>
          <t>2026-09-22 05:09</t>
        </is>
      </c>
      <c r="C266" s="3" t="inlineStr">
        <is>
          <t>COORDINADOR DE INTERVENTORÍA-NIVEL 1 SECTOR HIDROCARBUROS</t>
        </is>
      </c>
      <c r="D266" s="3" t="inlineStr">
        <is>
          <t>Centro de Empleo y Talento</t>
        </is>
      </c>
      <c r="E266" s="8" t="n">
        <v>0.45</v>
      </c>
      <c r="F266" s="2" t="inlineStr">
        <is>
          <t>Remoto</t>
        </is>
      </c>
      <c r="G266" s="5">
        <f>HYPERLINK("https://co.linkedin.com/jobs/view/coordinador-de-interventor%C3%ADa-nivel-1-sector-hidrocarburos-at-centro-de-empleo-y-talento-4468030406", "Ver Vacante")</f>
        <v/>
      </c>
      <c r="H266" s="6" t="inlineStr"/>
      <c r="I2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b3dd7e9d8f53fb27</t>
        </is>
      </c>
      <c r="B267" s="2" t="inlineStr">
        <is>
          <t>2026-09-22 05:09</t>
        </is>
      </c>
      <c r="C267" s="3" t="inlineStr">
        <is>
          <t>Consultor (Desarrollador) Senior Appian</t>
        </is>
      </c>
      <c r="D267" s="3" t="inlineStr">
        <is>
          <t>VASS LATAM</t>
        </is>
      </c>
      <c r="E267" s="8" t="n">
        <v>0.45</v>
      </c>
      <c r="F267" s="2" t="inlineStr">
        <is>
          <t>Remoto</t>
        </is>
      </c>
      <c r="G267" s="5">
        <f>HYPERLINK("https://co.linkedin.com/jobs/view/consultor-desarrollador-senior-appian-at-vass-latam-4458249659", "Ver Vacante")</f>
        <v/>
      </c>
      <c r="H267" s="6" t="inlineStr"/>
      <c r="I2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0f895f69320d7d8d</t>
        </is>
      </c>
      <c r="B268" s="2" t="inlineStr">
        <is>
          <t>2026-09-22 05:09</t>
        </is>
      </c>
      <c r="C268" s="3" t="inlineStr">
        <is>
          <t>Coordinador hse Cartagena</t>
        </is>
      </c>
      <c r="D268" s="3" t="inlineStr">
        <is>
          <t>TRANSPORTES MONTEJO SAS</t>
        </is>
      </c>
      <c r="E268" s="8" t="n">
        <v>0.45</v>
      </c>
      <c r="F268" s="2" t="inlineStr">
        <is>
          <t>Remoto</t>
        </is>
      </c>
      <c r="G268" s="5">
        <f>HYPERLINK("https://co.linkedin.com/jobs/view/coordinador-hse-cartagena-at-transportes-montejo-sas-4458746462", "Ver Vacante")</f>
        <v/>
      </c>
      <c r="H268" s="6" t="inlineStr"/>
      <c r="I268" s="3" t="inlineStr">
        <is>
          <t>[Afinidad: 45/100 - Baja Afinidad]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b86d50ad2dd5f642</t>
        </is>
      </c>
      <c r="B269" s="2" t="inlineStr">
        <is>
          <t>2026-09-22 05:09</t>
        </is>
      </c>
      <c r="C269" s="3" t="inlineStr">
        <is>
          <t>Coordinador Regional SIG/ SST</t>
        </is>
      </c>
      <c r="D269" s="3" t="inlineStr">
        <is>
          <t>Interaseo S.A.S. E.S.P.</t>
        </is>
      </c>
      <c r="E269" s="8" t="n">
        <v>0.45</v>
      </c>
      <c r="F269" s="2" t="inlineStr">
        <is>
          <t>Remoto</t>
        </is>
      </c>
      <c r="G269" s="5">
        <f>HYPERLINK("https://co.linkedin.com/jobs/view/coordinador-regional-sig-sst-at-interaseo-s-a-s-e-s-p-4459088040", "Ver Vacante")</f>
        <v/>
      </c>
      <c r="H269" s="6" t="inlineStr"/>
      <c r="I269" s="3" t="inlineStr">
        <is>
          <t>[Afinidad: 45/100 - Baja Afinidad]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506296811a5a9cbb</t>
        </is>
      </c>
      <c r="B270" s="2" t="inlineStr">
        <is>
          <t>2026-09-22 05:09</t>
        </is>
      </c>
      <c r="C270" s="3" t="inlineStr">
        <is>
          <t>Coordinador/a de SST</t>
        </is>
      </c>
      <c r="D270" s="3" t="inlineStr">
        <is>
          <t>Estelar Food S.A.S</t>
        </is>
      </c>
      <c r="E270" s="8" t="n">
        <v>0.45</v>
      </c>
      <c r="F270" s="2" t="inlineStr">
        <is>
          <t>Remoto</t>
        </is>
      </c>
      <c r="G270" s="5">
        <f>HYPERLINK("https://co.linkedin.com/jobs/view/coordinador-a-de-sst-at-estelar-food-s-a-s-4462115593", "Ver Vacante")</f>
        <v/>
      </c>
      <c r="H270" s="6" t="inlineStr"/>
      <c r="I270" s="3" t="inlineStr">
        <is>
          <t>[Afinidad: 45/100 - Baja Afinidad]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0e4b8eed7f32714e</t>
        </is>
      </c>
      <c r="B271" s="2" t="inlineStr">
        <is>
          <t>2026-09-22 05:09</t>
        </is>
      </c>
      <c r="C271" s="3" t="inlineStr">
        <is>
          <t>coordinador de Seguridad y Salud en el Trabajo</t>
        </is>
      </c>
      <c r="D271" s="3" t="inlineStr">
        <is>
          <t>Asertempo Colombia S.A.S</t>
        </is>
      </c>
      <c r="E271" s="8" t="n">
        <v>0.45</v>
      </c>
      <c r="F271" s="2" t="inlineStr">
        <is>
          <t>Remoto</t>
        </is>
      </c>
      <c r="G271" s="5">
        <f>HYPERLINK("https://co.linkedin.com/jobs/view/coordinador-de-seguridad-y-salud-en-el-trabajo-at-asertempo-colombia-s-a-s-4461723686", "Ver Vacante")</f>
        <v/>
      </c>
      <c r="H271" s="6" t="inlineStr"/>
      <c r="I271" s="3" t="inlineStr">
        <is>
          <t>[Afinidad: 45/100 - Baja Afinidad]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aa2882af3c61095b</t>
        </is>
      </c>
      <c r="B272" s="2" t="inlineStr">
        <is>
          <t>2026-09-22 05:09</t>
        </is>
      </c>
      <c r="C272" s="3" t="inlineStr">
        <is>
          <t>Coordinador (a) SST / APH - Marmato</t>
        </is>
      </c>
      <c r="D272" s="3" t="inlineStr">
        <is>
          <t>Aris Mining Colombia</t>
        </is>
      </c>
      <c r="E272" s="8" t="n">
        <v>0.45</v>
      </c>
      <c r="F272" s="2" t="inlineStr">
        <is>
          <t>Remoto</t>
        </is>
      </c>
      <c r="G272" s="5">
        <f>HYPERLINK("https://co.linkedin.com/jobs/view/coordinador-a-sst-aph-marmato-at-aris-mining-colombia-4448929810", "Ver Vacante")</f>
        <v/>
      </c>
      <c r="H272" s="6" t="inlineStr"/>
      <c r="I272" s="3" t="inlineStr">
        <is>
          <t>[Afinidad: 45/100 - Baja Afinidad]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b16bf21d94be490a</t>
        </is>
      </c>
      <c r="B273" s="2" t="inlineStr">
        <is>
          <t>2026-09-22 05:09</t>
        </is>
      </c>
      <c r="C273" s="3" t="inlineStr">
        <is>
          <t>Líder HSEQ</t>
        </is>
      </c>
      <c r="D273" s="3" t="inlineStr">
        <is>
          <t>RH Group</t>
        </is>
      </c>
      <c r="E273" s="8" t="n">
        <v>0.45</v>
      </c>
      <c r="F273" s="2" t="inlineStr">
        <is>
          <t>Remoto</t>
        </is>
      </c>
      <c r="G273" s="5">
        <f>HYPERLINK("https://co.linkedin.com/jobs/view/l%C3%ADder-hseq-at-rh-group-4468612641", "Ver Vacante")</f>
        <v/>
      </c>
      <c r="H273" s="6" t="inlineStr"/>
      <c r="I273" s="3" t="inlineStr">
        <is>
          <t>[Afinidad: 45/100 - Baja Afinidad]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26cff43f13982962</t>
        </is>
      </c>
      <c r="B274" s="2" t="inlineStr">
        <is>
          <t>2026-09-22 05:09</t>
        </is>
      </c>
      <c r="C274" s="3" t="inlineStr">
        <is>
          <t>Consultor(a) Senior SOX TI</t>
        </is>
      </c>
      <c r="D274" s="3" t="inlineStr">
        <is>
          <t>Hitss Colombia</t>
        </is>
      </c>
      <c r="E274" s="8" t="n">
        <v>0.45</v>
      </c>
      <c r="F274" s="2" t="inlineStr">
        <is>
          <t>Remoto</t>
        </is>
      </c>
      <c r="G274" s="5">
        <f>HYPERLINK("https://co.linkedin.com/jobs/view/consultor-a-senior-sox-ti-at-hitss-colombia-4460766744", "Ver Vacante")</f>
        <v/>
      </c>
      <c r="H274" s="6" t="inlineStr"/>
      <c r="I2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87e367215ed55502</t>
        </is>
      </c>
      <c r="B275" s="2" t="inlineStr">
        <is>
          <t>2026-09-22 05:09</t>
        </is>
      </c>
      <c r="C275" s="3" t="inlineStr">
        <is>
          <t>Consultor(a) Senior Auditoría Interna</t>
        </is>
      </c>
      <c r="D275" s="3" t="inlineStr">
        <is>
          <t>Deloitte</t>
        </is>
      </c>
      <c r="E275" s="8" t="n">
        <v>0.45</v>
      </c>
      <c r="F275" s="2" t="inlineStr">
        <is>
          <t>Remoto</t>
        </is>
      </c>
      <c r="G275" s="5">
        <f>HYPERLINK("https://co.linkedin.com/jobs/view/consultor-a-senior-auditor%C3%ADa-interna-at-deloitte-4462090075", "Ver Vacante")</f>
        <v/>
      </c>
      <c r="H275" s="6" t="inlineStr"/>
      <c r="I2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e2e525b51bbd0e5e</t>
        </is>
      </c>
      <c r="B276" s="2" t="inlineStr">
        <is>
          <t>2026-09-22 05:09</t>
        </is>
      </c>
      <c r="C276" s="3" t="inlineStr">
        <is>
          <t>Coordinador/a de Salud y Bienestar (HSE) Latam</t>
        </is>
      </c>
      <c r="D276" s="3" t="inlineStr">
        <is>
          <t>Aqualia</t>
        </is>
      </c>
      <c r="E276" s="8" t="n">
        <v>0.45</v>
      </c>
      <c r="F276" s="2" t="inlineStr">
        <is>
          <t>Remoto</t>
        </is>
      </c>
      <c r="G276" s="5">
        <f>HYPERLINK("https://co.linkedin.com/jobs/view/coordinador-a-de-salud-y-bienestar-hse-latam-at-aqualia-4463977352", "Ver Vacante")</f>
        <v/>
      </c>
      <c r="H276" s="6" t="inlineStr"/>
      <c r="I276" s="3" t="inlineStr">
        <is>
          <t>[Afinidad: 45/100 - Baja Afinidad]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8ef614b651dfe9d9</t>
        </is>
      </c>
      <c r="B277" s="2" t="inlineStr">
        <is>
          <t>2026-09-22 05:09</t>
        </is>
      </c>
      <c r="C277" s="3" t="inlineStr">
        <is>
          <t>Lead Civil Site Engineer</t>
        </is>
      </c>
      <c r="D277" s="3" t="inlineStr">
        <is>
          <t>AECOM</t>
        </is>
      </c>
      <c r="E277" s="8" t="n">
        <v>0.45</v>
      </c>
      <c r="F277" s="2" t="inlineStr">
        <is>
          <t>Remoto</t>
        </is>
      </c>
      <c r="G277" s="5">
        <f>HYPERLINK("https://co.linkedin.com/jobs/view/lead-civil-site-engineer-at-aecom-4468059409", "Ver Vacante")</f>
        <v/>
      </c>
      <c r="H277" s="6" t="inlineStr"/>
      <c r="I2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b339389a0d32a94f</t>
        </is>
      </c>
      <c r="B278" s="2" t="inlineStr">
        <is>
          <t>2026-09-22 05:09</t>
        </is>
      </c>
      <c r="C278" s="3" t="inlineStr">
        <is>
          <t>Ingeniero civil</t>
        </is>
      </c>
      <c r="D278" s="3" t="inlineStr">
        <is>
          <t>constructora cumbrera</t>
        </is>
      </c>
      <c r="E278" s="8" t="n">
        <v>0.45</v>
      </c>
      <c r="F278" s="2" t="inlineStr">
        <is>
          <t>Remoto</t>
        </is>
      </c>
      <c r="G278" s="5">
        <f>HYPERLINK("https://co.linkedin.com/jobs/view/ingeniero-civil-4463108593", "Ver Vacante")</f>
        <v/>
      </c>
      <c r="H278" s="6" t="inlineStr"/>
      <c r="I2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93623c0212e39cb9</t>
        </is>
      </c>
      <c r="B279" s="2" t="inlineStr">
        <is>
          <t>2026-09-22 05:09</t>
        </is>
      </c>
      <c r="C279" s="3" t="inlineStr">
        <is>
          <t>Ingeniero(a) Civil</t>
        </is>
      </c>
      <c r="D279" s="3" t="inlineStr">
        <is>
          <t>CMH Colombia</t>
        </is>
      </c>
      <c r="E279" s="8" t="n">
        <v>0.45</v>
      </c>
      <c r="F279" s="2" t="inlineStr">
        <is>
          <t>Remoto</t>
        </is>
      </c>
      <c r="G279" s="5">
        <f>HYPERLINK("https://co.linkedin.com/jobs/view/ingeniero-a-civil-at-minerales-c%C3%B3rdoba-4417533007", "Ver Vacante")</f>
        <v/>
      </c>
      <c r="H279" s="6" t="inlineStr"/>
      <c r="I2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cd06fbe3d5b74888</t>
        </is>
      </c>
      <c r="B280" s="2" t="inlineStr">
        <is>
          <t>2026-09-22 05:09</t>
        </is>
      </c>
      <c r="C280" s="3" t="inlineStr">
        <is>
          <t>Oficial Obra Civil</t>
        </is>
      </c>
      <c r="D280" s="3" t="inlineStr">
        <is>
          <t>Equans Colombia</t>
        </is>
      </c>
      <c r="E280" s="8" t="n">
        <v>0.45</v>
      </c>
      <c r="F280" s="2" t="inlineStr">
        <is>
          <t>Remoto</t>
        </is>
      </c>
      <c r="G280" s="5">
        <f>HYPERLINK("https://co.linkedin.com/jobs/view/oficial-obra-civil-bogota-y-cundinamarca-at-equans-colombia-4470218146", "Ver Vacante")</f>
        <v/>
      </c>
      <c r="H280" s="6" t="inlineStr"/>
      <c r="I2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2026-09-23T14:52:42Z</dcterms:created>
  <dcterms:modified xmlns:dcterms="http://purl.org/dc/terms/" xmlns:xsi="http://www.w3.org/2001/XMLSchema-instance" xsi:type="dcterms:W3CDTF">2026-09-23T14:52:42Z</dcterms:modified>
</cp:coreProperties>
</file>